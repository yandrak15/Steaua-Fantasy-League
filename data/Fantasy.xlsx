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cd\Desktop\fantasy-shiny\app\data\"/>
    </mc:Choice>
  </mc:AlternateContent>
  <xr:revisionPtr revIDLastSave="0" documentId="13_ncr:1_{C4558BFB-9C4D-4166-9E2D-D1CEB2658A48}" xr6:coauthVersionLast="47" xr6:coauthVersionMax="47" xr10:uidLastSave="{00000000-0000-0000-0000-000000000000}"/>
  <bookViews>
    <workbookView xWindow="-120" yWindow="-120" windowWidth="24240" windowHeight="13140" activeTab="2" xr2:uid="{49CD5CF7-C20B-4290-B3D2-5FAAD9760A15}"/>
  </bookViews>
  <sheets>
    <sheet name="Sumario" sheetId="1" r:id="rId1"/>
    <sheet name="Nombres" sheetId="16" r:id="rId2"/>
    <sheet name="Fichajes" sheetId="2" r:id="rId3"/>
    <sheet name="Premios" sheetId="13" r:id="rId4"/>
    <sheet name="Puntos" sheetId="14" r:id="rId5"/>
    <sheet name="FC Recreativo de Juerga" sheetId="3" r:id="rId6"/>
    <sheet name="yandrak" sheetId="4" r:id="rId7"/>
    <sheet name="Shiquetito 9" sheetId="5" r:id="rId8"/>
    <sheet name="davidcdl10" sheetId="6" r:id="rId9"/>
    <sheet name="JMGuti14" sheetId="7" r:id="rId10"/>
    <sheet name="AdolfitoFlick" sheetId="8" r:id="rId11"/>
    <sheet name="Desteban19" sheetId="9" r:id="rId12"/>
    <sheet name="FC Capitan" sheetId="10" r:id="rId13"/>
    <sheet name="Reivaj95" sheetId="11" r:id="rId14"/>
    <sheet name="CrisGC14" sheetId="12" r:id="rId15"/>
  </sheets>
  <definedNames>
    <definedName name="_xlnm._FilterDatabase" localSheetId="5" hidden="1">'FC Recreativo de Juerga'!$A$3:$E$3</definedName>
    <definedName name="_xlnm._FilterDatabase" localSheetId="2" hidden="1">Fichajes!$B$1:$I$715</definedName>
    <definedName name="_xlnm._FilterDatabase" localSheetId="1" hidden="1">Nombres!$A$1:$E$801</definedName>
    <definedName name="_xlnm._FilterDatabase" localSheetId="3" hidden="1">Premios!$A$1:$E$381</definedName>
    <definedName name="_xlnm._FilterDatabase" localSheetId="4" hidden="1">Puntos!$A$1:$J$661</definedName>
    <definedName name="_xlnm._FilterDatabase" localSheetId="0" hidden="1">Sumario!$A$1:$J$11</definedName>
    <definedName name="_xlnm._FilterDatabase" localSheetId="6" hidden="1">yandrak!$A$3:$E$3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50" i="2" l="1"/>
  <c r="C1050" i="2"/>
  <c r="D1050" i="2"/>
  <c r="B1051" i="2"/>
  <c r="C1051" i="2"/>
  <c r="D1051" i="2"/>
  <c r="B1052" i="2"/>
  <c r="C1052" i="2"/>
  <c r="D1052" i="2"/>
  <c r="B1053" i="2"/>
  <c r="C1053" i="2"/>
  <c r="D1053" i="2"/>
  <c r="B1054" i="2"/>
  <c r="C1054" i="2"/>
  <c r="D1054" i="2"/>
  <c r="B1055" i="2"/>
  <c r="C1055" i="2"/>
  <c r="D1055" i="2"/>
  <c r="B1056" i="2"/>
  <c r="C1056" i="2"/>
  <c r="D1056" i="2"/>
  <c r="B1057" i="2"/>
  <c r="C1057" i="2"/>
  <c r="D1057" i="2"/>
  <c r="B1058" i="2"/>
  <c r="C1058" i="2"/>
  <c r="D1058" i="2"/>
  <c r="B1059" i="2"/>
  <c r="C1059" i="2"/>
  <c r="D1059" i="2"/>
  <c r="B1060" i="2"/>
  <c r="C1060" i="2"/>
  <c r="D1060" i="2"/>
  <c r="D121" i="13"/>
  <c r="D120" i="13"/>
  <c r="D119" i="13"/>
  <c r="D118" i="13"/>
  <c r="D117" i="13"/>
  <c r="D116" i="13"/>
  <c r="D115" i="13"/>
  <c r="D114" i="13"/>
  <c r="D113" i="13"/>
  <c r="D112" i="13"/>
  <c r="D111" i="13"/>
  <c r="D110" i="13"/>
  <c r="D109" i="13"/>
  <c r="D108" i="13"/>
  <c r="D107" i="13"/>
  <c r="D106" i="13"/>
  <c r="D105" i="13"/>
  <c r="D104" i="13"/>
  <c r="D103" i="13"/>
  <c r="D102" i="13"/>
  <c r="E84" i="13"/>
  <c r="E85" i="13"/>
  <c r="E86" i="13"/>
  <c r="E87" i="13"/>
  <c r="E88" i="13"/>
  <c r="E89" i="13"/>
  <c r="E90" i="13"/>
  <c r="E91" i="13"/>
  <c r="E92" i="13"/>
  <c r="E94" i="13"/>
  <c r="E95" i="13"/>
  <c r="E96" i="13"/>
  <c r="E97" i="13"/>
  <c r="E98" i="13"/>
  <c r="E99" i="13"/>
  <c r="E100" i="13"/>
  <c r="E101" i="13"/>
  <c r="E102" i="13"/>
  <c r="E104" i="13"/>
  <c r="E105" i="13"/>
  <c r="E106" i="13"/>
  <c r="E107" i="13"/>
  <c r="E108" i="13"/>
  <c r="E109" i="13"/>
  <c r="E110" i="13"/>
  <c r="E111" i="13"/>
  <c r="E112" i="13"/>
  <c r="E114" i="13"/>
  <c r="E115" i="13"/>
  <c r="E116" i="13"/>
  <c r="E117" i="13"/>
  <c r="E118" i="13"/>
  <c r="E119" i="13"/>
  <c r="E120" i="13"/>
  <c r="E121" i="13"/>
  <c r="E82" i="13"/>
  <c r="D82" i="13"/>
  <c r="J1321" i="14"/>
  <c r="H1321" i="14"/>
  <c r="F1321" i="14"/>
  <c r="E1321" i="14"/>
  <c r="I1321" i="14" s="1"/>
  <c r="J1320" i="14"/>
  <c r="H1320" i="14"/>
  <c r="F1320" i="14"/>
  <c r="E1320" i="14"/>
  <c r="I1320" i="14" s="1"/>
  <c r="J1319" i="14"/>
  <c r="H1319" i="14"/>
  <c r="F1319" i="14"/>
  <c r="E1319" i="14"/>
  <c r="I1319" i="14" s="1"/>
  <c r="J1318" i="14"/>
  <c r="H1318" i="14"/>
  <c r="F1318" i="14"/>
  <c r="E1318" i="14"/>
  <c r="I1318" i="14" s="1"/>
  <c r="J1317" i="14"/>
  <c r="H1317" i="14"/>
  <c r="F1317" i="14"/>
  <c r="E1317" i="14"/>
  <c r="I1317" i="14" s="1"/>
  <c r="J1316" i="14"/>
  <c r="H1316" i="14"/>
  <c r="F1316" i="14"/>
  <c r="E1316" i="14"/>
  <c r="I1316" i="14" s="1"/>
  <c r="J1315" i="14"/>
  <c r="H1315" i="14"/>
  <c r="F1315" i="14"/>
  <c r="E1315" i="14"/>
  <c r="I1315" i="14" s="1"/>
  <c r="J1314" i="14"/>
  <c r="H1314" i="14"/>
  <c r="F1314" i="14"/>
  <c r="E1314" i="14"/>
  <c r="I1314" i="14" s="1"/>
  <c r="J1313" i="14"/>
  <c r="H1313" i="14"/>
  <c r="F1313" i="14"/>
  <c r="E1313" i="14"/>
  <c r="I1313" i="14" s="1"/>
  <c r="J1312" i="14"/>
  <c r="H1312" i="14"/>
  <c r="F1312" i="14"/>
  <c r="E1312" i="14"/>
  <c r="I1312" i="14" s="1"/>
  <c r="J1311" i="14"/>
  <c r="H1311" i="14"/>
  <c r="F1311" i="14"/>
  <c r="E1311" i="14"/>
  <c r="I1311" i="14" s="1"/>
  <c r="J1277" i="14"/>
  <c r="H1277" i="14"/>
  <c r="F1277" i="14"/>
  <c r="E1277" i="14"/>
  <c r="I1277" i="14" s="1"/>
  <c r="J1276" i="14"/>
  <c r="H1276" i="14"/>
  <c r="F1276" i="14"/>
  <c r="E1276" i="14"/>
  <c r="I1276" i="14" s="1"/>
  <c r="J1275" i="14"/>
  <c r="H1275" i="14"/>
  <c r="F1275" i="14"/>
  <c r="E1275" i="14"/>
  <c r="I1275" i="14" s="1"/>
  <c r="J1274" i="14"/>
  <c r="H1274" i="14"/>
  <c r="F1274" i="14"/>
  <c r="E1274" i="14"/>
  <c r="I1274" i="14" s="1"/>
  <c r="J1273" i="14"/>
  <c r="H1273" i="14"/>
  <c r="F1273" i="14"/>
  <c r="E1273" i="14"/>
  <c r="I1273" i="14" s="1"/>
  <c r="J1272" i="14"/>
  <c r="H1272" i="14"/>
  <c r="F1272" i="14"/>
  <c r="E1272" i="14"/>
  <c r="I1272" i="14" s="1"/>
  <c r="J1271" i="14"/>
  <c r="H1271" i="14"/>
  <c r="F1271" i="14"/>
  <c r="E1271" i="14"/>
  <c r="I1271" i="14" s="1"/>
  <c r="J1270" i="14"/>
  <c r="H1270" i="14"/>
  <c r="F1270" i="14"/>
  <c r="E1270" i="14"/>
  <c r="I1270" i="14" s="1"/>
  <c r="J1269" i="14"/>
  <c r="H1269" i="14"/>
  <c r="F1269" i="14"/>
  <c r="E1269" i="14"/>
  <c r="I1269" i="14" s="1"/>
  <c r="J1268" i="14"/>
  <c r="H1268" i="14"/>
  <c r="F1268" i="14"/>
  <c r="E1268" i="14"/>
  <c r="I1268" i="14" s="1"/>
  <c r="J1267" i="14"/>
  <c r="H1267" i="14"/>
  <c r="F1267" i="14"/>
  <c r="E1267" i="14"/>
  <c r="I1267" i="14" s="1"/>
  <c r="J1233" i="14"/>
  <c r="H1233" i="14"/>
  <c r="F1233" i="14"/>
  <c r="E1233" i="14"/>
  <c r="I1233" i="14" s="1"/>
  <c r="J1232" i="14"/>
  <c r="H1232" i="14"/>
  <c r="F1232" i="14"/>
  <c r="E1232" i="14"/>
  <c r="I1232" i="14" s="1"/>
  <c r="J1231" i="14"/>
  <c r="H1231" i="14"/>
  <c r="F1231" i="14"/>
  <c r="E1231" i="14"/>
  <c r="I1231" i="14" s="1"/>
  <c r="J1230" i="14"/>
  <c r="H1230" i="14"/>
  <c r="F1230" i="14"/>
  <c r="E1230" i="14"/>
  <c r="I1230" i="14" s="1"/>
  <c r="J1229" i="14"/>
  <c r="H1229" i="14"/>
  <c r="F1229" i="14"/>
  <c r="E1229" i="14"/>
  <c r="I1229" i="14" s="1"/>
  <c r="J1228" i="14"/>
  <c r="H1228" i="14"/>
  <c r="F1228" i="14"/>
  <c r="E1228" i="14"/>
  <c r="I1228" i="14" s="1"/>
  <c r="J1227" i="14"/>
  <c r="H1227" i="14"/>
  <c r="F1227" i="14"/>
  <c r="E1227" i="14"/>
  <c r="I1227" i="14" s="1"/>
  <c r="J1226" i="14"/>
  <c r="H1226" i="14"/>
  <c r="F1226" i="14"/>
  <c r="E1226" i="14"/>
  <c r="I1226" i="14" s="1"/>
  <c r="J1225" i="14"/>
  <c r="H1225" i="14"/>
  <c r="F1225" i="14"/>
  <c r="E1225" i="14"/>
  <c r="I1225" i="14" s="1"/>
  <c r="J1224" i="14"/>
  <c r="H1224" i="14"/>
  <c r="F1224" i="14"/>
  <c r="E1224" i="14"/>
  <c r="I1224" i="14" s="1"/>
  <c r="J1223" i="14"/>
  <c r="H1223" i="14"/>
  <c r="F1223" i="14"/>
  <c r="E1223" i="14"/>
  <c r="I1223" i="14" s="1"/>
  <c r="J1189" i="14"/>
  <c r="H1189" i="14"/>
  <c r="F1189" i="14"/>
  <c r="E1189" i="14"/>
  <c r="I1189" i="14" s="1"/>
  <c r="J1188" i="14"/>
  <c r="H1188" i="14"/>
  <c r="F1188" i="14"/>
  <c r="E1188" i="14"/>
  <c r="I1188" i="14" s="1"/>
  <c r="J1187" i="14"/>
  <c r="H1187" i="14"/>
  <c r="F1187" i="14"/>
  <c r="E1187" i="14"/>
  <c r="I1187" i="14" s="1"/>
  <c r="J1186" i="14"/>
  <c r="H1186" i="14"/>
  <c r="F1186" i="14"/>
  <c r="E1186" i="14"/>
  <c r="I1186" i="14" s="1"/>
  <c r="J1185" i="14"/>
  <c r="H1185" i="14"/>
  <c r="F1185" i="14"/>
  <c r="E1185" i="14"/>
  <c r="I1185" i="14" s="1"/>
  <c r="J1184" i="14"/>
  <c r="H1184" i="14"/>
  <c r="F1184" i="14"/>
  <c r="E1184" i="14"/>
  <c r="I1184" i="14" s="1"/>
  <c r="J1183" i="14"/>
  <c r="H1183" i="14"/>
  <c r="F1183" i="14"/>
  <c r="E1183" i="14"/>
  <c r="I1183" i="14" s="1"/>
  <c r="J1182" i="14"/>
  <c r="H1182" i="14"/>
  <c r="F1182" i="14"/>
  <c r="E1182" i="14"/>
  <c r="I1182" i="14" s="1"/>
  <c r="J1181" i="14"/>
  <c r="H1181" i="14"/>
  <c r="F1181" i="14"/>
  <c r="E1181" i="14"/>
  <c r="I1181" i="14" s="1"/>
  <c r="J1180" i="14"/>
  <c r="H1180" i="14"/>
  <c r="F1180" i="14"/>
  <c r="E1180" i="14"/>
  <c r="I1180" i="14" s="1"/>
  <c r="J1179" i="14"/>
  <c r="H1179" i="14"/>
  <c r="F1179" i="14"/>
  <c r="E1179" i="14"/>
  <c r="I1179" i="14" s="1"/>
  <c r="J1145" i="14"/>
  <c r="H1145" i="14"/>
  <c r="F1145" i="14"/>
  <c r="E1145" i="14"/>
  <c r="I1145" i="14" s="1"/>
  <c r="J1144" i="14"/>
  <c r="H1144" i="14"/>
  <c r="F1144" i="14"/>
  <c r="E1144" i="14"/>
  <c r="I1144" i="14" s="1"/>
  <c r="J1143" i="14"/>
  <c r="H1143" i="14"/>
  <c r="F1143" i="14"/>
  <c r="E1143" i="14"/>
  <c r="I1143" i="14" s="1"/>
  <c r="J1142" i="14"/>
  <c r="H1142" i="14"/>
  <c r="F1142" i="14"/>
  <c r="E1142" i="14"/>
  <c r="I1142" i="14" s="1"/>
  <c r="J1141" i="14"/>
  <c r="H1141" i="14"/>
  <c r="F1141" i="14"/>
  <c r="E1141" i="14"/>
  <c r="I1141" i="14" s="1"/>
  <c r="J1140" i="14"/>
  <c r="H1140" i="14"/>
  <c r="F1140" i="14"/>
  <c r="E1140" i="14"/>
  <c r="I1140" i="14" s="1"/>
  <c r="J1139" i="14"/>
  <c r="H1139" i="14"/>
  <c r="F1139" i="14"/>
  <c r="E1139" i="14"/>
  <c r="I1139" i="14" s="1"/>
  <c r="J1138" i="14"/>
  <c r="H1138" i="14"/>
  <c r="F1138" i="14"/>
  <c r="E1138" i="14"/>
  <c r="I1138" i="14" s="1"/>
  <c r="J1137" i="14"/>
  <c r="H1137" i="14"/>
  <c r="F1137" i="14"/>
  <c r="E1137" i="14"/>
  <c r="I1137" i="14" s="1"/>
  <c r="J1136" i="14"/>
  <c r="H1136" i="14"/>
  <c r="F1136" i="14"/>
  <c r="E1136" i="14"/>
  <c r="I1136" i="14" s="1"/>
  <c r="J1135" i="14"/>
  <c r="H1135" i="14"/>
  <c r="F1135" i="14"/>
  <c r="E1135" i="14"/>
  <c r="I1135" i="14" s="1"/>
  <c r="J1101" i="14"/>
  <c r="H1101" i="14"/>
  <c r="F1101" i="14"/>
  <c r="E1101" i="14"/>
  <c r="I1101" i="14" s="1"/>
  <c r="J1100" i="14"/>
  <c r="H1100" i="14"/>
  <c r="F1100" i="14"/>
  <c r="E1100" i="14"/>
  <c r="I1100" i="14" s="1"/>
  <c r="J1099" i="14"/>
  <c r="H1099" i="14"/>
  <c r="F1099" i="14"/>
  <c r="E1099" i="14"/>
  <c r="I1099" i="14" s="1"/>
  <c r="J1098" i="14"/>
  <c r="H1098" i="14"/>
  <c r="F1098" i="14"/>
  <c r="E1098" i="14"/>
  <c r="I1098" i="14" s="1"/>
  <c r="J1097" i="14"/>
  <c r="H1097" i="14"/>
  <c r="F1097" i="14"/>
  <c r="E1097" i="14"/>
  <c r="I1097" i="14" s="1"/>
  <c r="J1096" i="14"/>
  <c r="H1096" i="14"/>
  <c r="F1096" i="14"/>
  <c r="E1096" i="14"/>
  <c r="I1096" i="14" s="1"/>
  <c r="J1095" i="14"/>
  <c r="H1095" i="14"/>
  <c r="F1095" i="14"/>
  <c r="E1095" i="14"/>
  <c r="I1095" i="14" s="1"/>
  <c r="J1094" i="14"/>
  <c r="H1094" i="14"/>
  <c r="F1094" i="14"/>
  <c r="E1094" i="14"/>
  <c r="I1094" i="14" s="1"/>
  <c r="J1093" i="14"/>
  <c r="H1093" i="14"/>
  <c r="F1093" i="14"/>
  <c r="E1093" i="14"/>
  <c r="I1093" i="14" s="1"/>
  <c r="J1092" i="14"/>
  <c r="H1092" i="14"/>
  <c r="F1092" i="14"/>
  <c r="E1092" i="14"/>
  <c r="I1092" i="14" s="1"/>
  <c r="J1091" i="14"/>
  <c r="H1091" i="14"/>
  <c r="F1091" i="14"/>
  <c r="E1091" i="14"/>
  <c r="I1091" i="14" s="1"/>
  <c r="J1057" i="14"/>
  <c r="H1057" i="14"/>
  <c r="F1057" i="14"/>
  <c r="E1057" i="14"/>
  <c r="I1057" i="14" s="1"/>
  <c r="J1056" i="14"/>
  <c r="H1056" i="14"/>
  <c r="F1056" i="14"/>
  <c r="E1056" i="14"/>
  <c r="I1056" i="14" s="1"/>
  <c r="J1055" i="14"/>
  <c r="H1055" i="14"/>
  <c r="F1055" i="14"/>
  <c r="E1055" i="14"/>
  <c r="I1055" i="14" s="1"/>
  <c r="J1054" i="14"/>
  <c r="H1054" i="14"/>
  <c r="F1054" i="14"/>
  <c r="E1054" i="14"/>
  <c r="I1054" i="14" s="1"/>
  <c r="J1053" i="14"/>
  <c r="H1053" i="14"/>
  <c r="F1053" i="14"/>
  <c r="E1053" i="14"/>
  <c r="I1053" i="14" s="1"/>
  <c r="J1052" i="14"/>
  <c r="H1052" i="14"/>
  <c r="F1052" i="14"/>
  <c r="E1052" i="14"/>
  <c r="I1052" i="14" s="1"/>
  <c r="J1051" i="14"/>
  <c r="H1051" i="14"/>
  <c r="F1051" i="14"/>
  <c r="E1051" i="14"/>
  <c r="I1051" i="14" s="1"/>
  <c r="J1050" i="14"/>
  <c r="H1050" i="14"/>
  <c r="F1050" i="14"/>
  <c r="E1050" i="14"/>
  <c r="I1050" i="14" s="1"/>
  <c r="J1049" i="14"/>
  <c r="H1049" i="14"/>
  <c r="F1049" i="14"/>
  <c r="E1049" i="14"/>
  <c r="I1049" i="14" s="1"/>
  <c r="J1048" i="14"/>
  <c r="H1048" i="14"/>
  <c r="F1048" i="14"/>
  <c r="E1048" i="14"/>
  <c r="I1048" i="14" s="1"/>
  <c r="J1047" i="14"/>
  <c r="H1047" i="14"/>
  <c r="F1047" i="14"/>
  <c r="E1047" i="14"/>
  <c r="I1047" i="14" s="1"/>
  <c r="J1013" i="14"/>
  <c r="H1013" i="14"/>
  <c r="F1013" i="14"/>
  <c r="E1013" i="14"/>
  <c r="I1013" i="14" s="1"/>
  <c r="J1012" i="14"/>
  <c r="H1012" i="14"/>
  <c r="F1012" i="14"/>
  <c r="E1012" i="14"/>
  <c r="I1012" i="14" s="1"/>
  <c r="J1011" i="14"/>
  <c r="H1011" i="14"/>
  <c r="F1011" i="14"/>
  <c r="E1011" i="14"/>
  <c r="I1011" i="14" s="1"/>
  <c r="J1010" i="14"/>
  <c r="H1010" i="14"/>
  <c r="F1010" i="14"/>
  <c r="E1010" i="14"/>
  <c r="I1010" i="14" s="1"/>
  <c r="J1009" i="14"/>
  <c r="H1009" i="14"/>
  <c r="F1009" i="14"/>
  <c r="E1009" i="14"/>
  <c r="I1009" i="14" s="1"/>
  <c r="J1008" i="14"/>
  <c r="H1008" i="14"/>
  <c r="F1008" i="14"/>
  <c r="E1008" i="14"/>
  <c r="I1008" i="14" s="1"/>
  <c r="J1007" i="14"/>
  <c r="H1007" i="14"/>
  <c r="F1007" i="14"/>
  <c r="E1007" i="14"/>
  <c r="I1007" i="14" s="1"/>
  <c r="J1006" i="14"/>
  <c r="H1006" i="14"/>
  <c r="F1006" i="14"/>
  <c r="E1006" i="14"/>
  <c r="I1006" i="14" s="1"/>
  <c r="J1005" i="14"/>
  <c r="H1005" i="14"/>
  <c r="F1005" i="14"/>
  <c r="E1005" i="14"/>
  <c r="I1005" i="14" s="1"/>
  <c r="J1004" i="14"/>
  <c r="H1004" i="14"/>
  <c r="F1004" i="14"/>
  <c r="E1004" i="14"/>
  <c r="I1004" i="14" s="1"/>
  <c r="J1003" i="14"/>
  <c r="H1003" i="14"/>
  <c r="F1003" i="14"/>
  <c r="E1003" i="14"/>
  <c r="I1003" i="14" s="1"/>
  <c r="J969" i="14"/>
  <c r="H969" i="14"/>
  <c r="F969" i="14"/>
  <c r="E969" i="14"/>
  <c r="I969" i="14" s="1"/>
  <c r="J968" i="14"/>
  <c r="H968" i="14"/>
  <c r="F968" i="14"/>
  <c r="E968" i="14"/>
  <c r="I968" i="14" s="1"/>
  <c r="J967" i="14"/>
  <c r="H967" i="14"/>
  <c r="F967" i="14"/>
  <c r="E967" i="14"/>
  <c r="I967" i="14" s="1"/>
  <c r="J966" i="14"/>
  <c r="H966" i="14"/>
  <c r="F966" i="14"/>
  <c r="E966" i="14"/>
  <c r="I966" i="14" s="1"/>
  <c r="J965" i="14"/>
  <c r="H965" i="14"/>
  <c r="F965" i="14"/>
  <c r="E965" i="14"/>
  <c r="I965" i="14" s="1"/>
  <c r="J964" i="14"/>
  <c r="H964" i="14"/>
  <c r="F964" i="14"/>
  <c r="E964" i="14"/>
  <c r="I964" i="14" s="1"/>
  <c r="J963" i="14"/>
  <c r="H963" i="14"/>
  <c r="F963" i="14"/>
  <c r="E963" i="14"/>
  <c r="I963" i="14" s="1"/>
  <c r="J962" i="14"/>
  <c r="H962" i="14"/>
  <c r="F962" i="14"/>
  <c r="E962" i="14"/>
  <c r="I962" i="14" s="1"/>
  <c r="J961" i="14"/>
  <c r="H961" i="14"/>
  <c r="F961" i="14"/>
  <c r="E961" i="14"/>
  <c r="I961" i="14" s="1"/>
  <c r="J960" i="14"/>
  <c r="H960" i="14"/>
  <c r="F960" i="14"/>
  <c r="E960" i="14"/>
  <c r="I960" i="14" s="1"/>
  <c r="J959" i="14"/>
  <c r="H959" i="14"/>
  <c r="F959" i="14"/>
  <c r="E959" i="14"/>
  <c r="I959" i="14" s="1"/>
  <c r="J925" i="14"/>
  <c r="H925" i="14"/>
  <c r="F925" i="14"/>
  <c r="E925" i="14"/>
  <c r="I925" i="14" s="1"/>
  <c r="J924" i="14"/>
  <c r="H924" i="14"/>
  <c r="F924" i="14"/>
  <c r="E924" i="14"/>
  <c r="I924" i="14" s="1"/>
  <c r="J923" i="14"/>
  <c r="H923" i="14"/>
  <c r="F923" i="14"/>
  <c r="E923" i="14"/>
  <c r="I923" i="14" s="1"/>
  <c r="J922" i="14"/>
  <c r="H922" i="14"/>
  <c r="F922" i="14"/>
  <c r="E922" i="14"/>
  <c r="I922" i="14" s="1"/>
  <c r="J921" i="14"/>
  <c r="H921" i="14"/>
  <c r="F921" i="14"/>
  <c r="E921" i="14"/>
  <c r="I921" i="14" s="1"/>
  <c r="J920" i="14"/>
  <c r="H920" i="14"/>
  <c r="F920" i="14"/>
  <c r="E920" i="14"/>
  <c r="I920" i="14" s="1"/>
  <c r="J919" i="14"/>
  <c r="H919" i="14"/>
  <c r="F919" i="14"/>
  <c r="E919" i="14"/>
  <c r="I919" i="14" s="1"/>
  <c r="J918" i="14"/>
  <c r="H918" i="14"/>
  <c r="F918" i="14"/>
  <c r="E918" i="14"/>
  <c r="I918" i="14" s="1"/>
  <c r="J917" i="14"/>
  <c r="H917" i="14"/>
  <c r="F917" i="14"/>
  <c r="E917" i="14"/>
  <c r="I917" i="14" s="1"/>
  <c r="J916" i="14"/>
  <c r="H916" i="14"/>
  <c r="F916" i="14"/>
  <c r="E916" i="14"/>
  <c r="I916" i="14" s="1"/>
  <c r="J915" i="14"/>
  <c r="H915" i="14"/>
  <c r="F915" i="14"/>
  <c r="E915" i="14"/>
  <c r="I915" i="14" s="1"/>
  <c r="J1310" i="14"/>
  <c r="H1310" i="14"/>
  <c r="F1310" i="14"/>
  <c r="E1310" i="14"/>
  <c r="I1310" i="14" s="1"/>
  <c r="J1309" i="14"/>
  <c r="H1309" i="14"/>
  <c r="F1309" i="14"/>
  <c r="E1309" i="14"/>
  <c r="I1309" i="14" s="1"/>
  <c r="J1308" i="14"/>
  <c r="H1308" i="14"/>
  <c r="F1308" i="14"/>
  <c r="E1308" i="14"/>
  <c r="I1308" i="14" s="1"/>
  <c r="J1307" i="14"/>
  <c r="H1307" i="14"/>
  <c r="F1307" i="14"/>
  <c r="E1307" i="14"/>
  <c r="I1307" i="14" s="1"/>
  <c r="J1306" i="14"/>
  <c r="H1306" i="14"/>
  <c r="F1306" i="14"/>
  <c r="E1306" i="14"/>
  <c r="I1306" i="14" s="1"/>
  <c r="J1305" i="14"/>
  <c r="H1305" i="14"/>
  <c r="F1305" i="14"/>
  <c r="E1305" i="14"/>
  <c r="I1305" i="14" s="1"/>
  <c r="J1304" i="14"/>
  <c r="H1304" i="14"/>
  <c r="F1304" i="14"/>
  <c r="E1304" i="14"/>
  <c r="I1304" i="14" s="1"/>
  <c r="J1303" i="14"/>
  <c r="H1303" i="14"/>
  <c r="F1303" i="14"/>
  <c r="E1303" i="14"/>
  <c r="I1303" i="14" s="1"/>
  <c r="J1302" i="14"/>
  <c r="H1302" i="14"/>
  <c r="F1302" i="14"/>
  <c r="E1302" i="14"/>
  <c r="I1302" i="14" s="1"/>
  <c r="J1301" i="14"/>
  <c r="H1301" i="14"/>
  <c r="F1301" i="14"/>
  <c r="E1301" i="14"/>
  <c r="I1301" i="14" s="1"/>
  <c r="J1300" i="14"/>
  <c r="H1300" i="14"/>
  <c r="F1300" i="14"/>
  <c r="E1300" i="14"/>
  <c r="I1300" i="14" s="1"/>
  <c r="J1266" i="14"/>
  <c r="H1266" i="14"/>
  <c r="F1266" i="14"/>
  <c r="E1266" i="14"/>
  <c r="I1266" i="14" s="1"/>
  <c r="J1265" i="14"/>
  <c r="H1265" i="14"/>
  <c r="F1265" i="14"/>
  <c r="E1265" i="14"/>
  <c r="I1265" i="14" s="1"/>
  <c r="J1264" i="14"/>
  <c r="H1264" i="14"/>
  <c r="F1264" i="14"/>
  <c r="E1264" i="14"/>
  <c r="I1264" i="14" s="1"/>
  <c r="J1263" i="14"/>
  <c r="H1263" i="14"/>
  <c r="F1263" i="14"/>
  <c r="E1263" i="14"/>
  <c r="I1263" i="14" s="1"/>
  <c r="J1262" i="14"/>
  <c r="H1262" i="14"/>
  <c r="F1262" i="14"/>
  <c r="E1262" i="14"/>
  <c r="I1262" i="14" s="1"/>
  <c r="J1261" i="14"/>
  <c r="H1261" i="14"/>
  <c r="F1261" i="14"/>
  <c r="E1261" i="14"/>
  <c r="I1261" i="14" s="1"/>
  <c r="J1260" i="14"/>
  <c r="H1260" i="14"/>
  <c r="F1260" i="14"/>
  <c r="E1260" i="14"/>
  <c r="I1260" i="14" s="1"/>
  <c r="J1259" i="14"/>
  <c r="H1259" i="14"/>
  <c r="F1259" i="14"/>
  <c r="E1259" i="14"/>
  <c r="I1259" i="14" s="1"/>
  <c r="J1258" i="14"/>
  <c r="H1258" i="14"/>
  <c r="F1258" i="14"/>
  <c r="E1258" i="14"/>
  <c r="I1258" i="14" s="1"/>
  <c r="J1257" i="14"/>
  <c r="H1257" i="14"/>
  <c r="F1257" i="14"/>
  <c r="E1257" i="14"/>
  <c r="I1257" i="14" s="1"/>
  <c r="J1256" i="14"/>
  <c r="H1256" i="14"/>
  <c r="F1256" i="14"/>
  <c r="E1256" i="14"/>
  <c r="I1256" i="14" s="1"/>
  <c r="J1222" i="14"/>
  <c r="H1222" i="14"/>
  <c r="F1222" i="14"/>
  <c r="E1222" i="14"/>
  <c r="I1222" i="14" s="1"/>
  <c r="J1221" i="14"/>
  <c r="H1221" i="14"/>
  <c r="F1221" i="14"/>
  <c r="E1221" i="14"/>
  <c r="I1221" i="14" s="1"/>
  <c r="J1220" i="14"/>
  <c r="H1220" i="14"/>
  <c r="F1220" i="14"/>
  <c r="E1220" i="14"/>
  <c r="I1220" i="14" s="1"/>
  <c r="J1219" i="14"/>
  <c r="H1219" i="14"/>
  <c r="F1219" i="14"/>
  <c r="E1219" i="14"/>
  <c r="I1219" i="14" s="1"/>
  <c r="J1218" i="14"/>
  <c r="H1218" i="14"/>
  <c r="F1218" i="14"/>
  <c r="E1218" i="14"/>
  <c r="I1218" i="14" s="1"/>
  <c r="J1217" i="14"/>
  <c r="H1217" i="14"/>
  <c r="F1217" i="14"/>
  <c r="E1217" i="14"/>
  <c r="I1217" i="14" s="1"/>
  <c r="J1216" i="14"/>
  <c r="H1216" i="14"/>
  <c r="F1216" i="14"/>
  <c r="E1216" i="14"/>
  <c r="I1216" i="14" s="1"/>
  <c r="J1215" i="14"/>
  <c r="H1215" i="14"/>
  <c r="F1215" i="14"/>
  <c r="E1215" i="14"/>
  <c r="I1215" i="14" s="1"/>
  <c r="J1214" i="14"/>
  <c r="H1214" i="14"/>
  <c r="F1214" i="14"/>
  <c r="E1214" i="14"/>
  <c r="I1214" i="14" s="1"/>
  <c r="J1213" i="14"/>
  <c r="H1213" i="14"/>
  <c r="F1213" i="14"/>
  <c r="E1213" i="14"/>
  <c r="I1213" i="14" s="1"/>
  <c r="J1212" i="14"/>
  <c r="H1212" i="14"/>
  <c r="F1212" i="14"/>
  <c r="E1212" i="14"/>
  <c r="I1212" i="14" s="1"/>
  <c r="J1178" i="14"/>
  <c r="H1178" i="14"/>
  <c r="F1178" i="14"/>
  <c r="E1178" i="14"/>
  <c r="I1178" i="14" s="1"/>
  <c r="J1177" i="14"/>
  <c r="H1177" i="14"/>
  <c r="F1177" i="14"/>
  <c r="E1177" i="14"/>
  <c r="I1177" i="14" s="1"/>
  <c r="J1176" i="14"/>
  <c r="H1176" i="14"/>
  <c r="F1176" i="14"/>
  <c r="E1176" i="14"/>
  <c r="I1176" i="14" s="1"/>
  <c r="J1175" i="14"/>
  <c r="H1175" i="14"/>
  <c r="F1175" i="14"/>
  <c r="E1175" i="14"/>
  <c r="I1175" i="14" s="1"/>
  <c r="J1174" i="14"/>
  <c r="H1174" i="14"/>
  <c r="F1174" i="14"/>
  <c r="E1174" i="14"/>
  <c r="I1174" i="14" s="1"/>
  <c r="J1173" i="14"/>
  <c r="H1173" i="14"/>
  <c r="F1173" i="14"/>
  <c r="E1173" i="14"/>
  <c r="I1173" i="14" s="1"/>
  <c r="J1172" i="14"/>
  <c r="H1172" i="14"/>
  <c r="F1172" i="14"/>
  <c r="E1172" i="14"/>
  <c r="I1172" i="14" s="1"/>
  <c r="J1171" i="14"/>
  <c r="H1171" i="14"/>
  <c r="F1171" i="14"/>
  <c r="E1171" i="14"/>
  <c r="I1171" i="14" s="1"/>
  <c r="J1170" i="14"/>
  <c r="H1170" i="14"/>
  <c r="F1170" i="14"/>
  <c r="E1170" i="14"/>
  <c r="I1170" i="14" s="1"/>
  <c r="J1169" i="14"/>
  <c r="H1169" i="14"/>
  <c r="F1169" i="14"/>
  <c r="E1169" i="14"/>
  <c r="I1169" i="14" s="1"/>
  <c r="J1168" i="14"/>
  <c r="H1168" i="14"/>
  <c r="F1168" i="14"/>
  <c r="E1168" i="14"/>
  <c r="I1168" i="14" s="1"/>
  <c r="J1134" i="14"/>
  <c r="H1134" i="14"/>
  <c r="F1134" i="14"/>
  <c r="E1134" i="14"/>
  <c r="I1134" i="14" s="1"/>
  <c r="J1133" i="14"/>
  <c r="H1133" i="14"/>
  <c r="F1133" i="14"/>
  <c r="E1133" i="14"/>
  <c r="I1133" i="14" s="1"/>
  <c r="J1132" i="14"/>
  <c r="H1132" i="14"/>
  <c r="F1132" i="14"/>
  <c r="E1132" i="14"/>
  <c r="I1132" i="14" s="1"/>
  <c r="J1131" i="14"/>
  <c r="H1131" i="14"/>
  <c r="F1131" i="14"/>
  <c r="E1131" i="14"/>
  <c r="I1131" i="14" s="1"/>
  <c r="J1130" i="14"/>
  <c r="H1130" i="14"/>
  <c r="F1130" i="14"/>
  <c r="E1130" i="14"/>
  <c r="I1130" i="14" s="1"/>
  <c r="J1129" i="14"/>
  <c r="H1129" i="14"/>
  <c r="F1129" i="14"/>
  <c r="E1129" i="14"/>
  <c r="I1129" i="14" s="1"/>
  <c r="J1128" i="14"/>
  <c r="H1128" i="14"/>
  <c r="F1128" i="14"/>
  <c r="E1128" i="14"/>
  <c r="I1128" i="14" s="1"/>
  <c r="J1127" i="14"/>
  <c r="H1127" i="14"/>
  <c r="F1127" i="14"/>
  <c r="E1127" i="14"/>
  <c r="I1127" i="14" s="1"/>
  <c r="J1126" i="14"/>
  <c r="H1126" i="14"/>
  <c r="F1126" i="14"/>
  <c r="E1126" i="14"/>
  <c r="I1126" i="14" s="1"/>
  <c r="J1125" i="14"/>
  <c r="H1125" i="14"/>
  <c r="F1125" i="14"/>
  <c r="E1125" i="14"/>
  <c r="I1125" i="14" s="1"/>
  <c r="J1124" i="14"/>
  <c r="H1124" i="14"/>
  <c r="F1124" i="14"/>
  <c r="E1124" i="14"/>
  <c r="I1124" i="14" s="1"/>
  <c r="J1090" i="14"/>
  <c r="H1090" i="14"/>
  <c r="F1090" i="14"/>
  <c r="E1090" i="14"/>
  <c r="I1090" i="14" s="1"/>
  <c r="J1089" i="14"/>
  <c r="H1089" i="14"/>
  <c r="F1089" i="14"/>
  <c r="E1089" i="14"/>
  <c r="I1089" i="14" s="1"/>
  <c r="J1088" i="14"/>
  <c r="H1088" i="14"/>
  <c r="F1088" i="14"/>
  <c r="E1088" i="14"/>
  <c r="I1088" i="14" s="1"/>
  <c r="J1087" i="14"/>
  <c r="H1087" i="14"/>
  <c r="F1087" i="14"/>
  <c r="E1087" i="14"/>
  <c r="I1087" i="14" s="1"/>
  <c r="J1086" i="14"/>
  <c r="H1086" i="14"/>
  <c r="F1086" i="14"/>
  <c r="E1086" i="14"/>
  <c r="I1086" i="14" s="1"/>
  <c r="J1085" i="14"/>
  <c r="H1085" i="14"/>
  <c r="F1085" i="14"/>
  <c r="E1085" i="14"/>
  <c r="I1085" i="14" s="1"/>
  <c r="J1084" i="14"/>
  <c r="H1084" i="14"/>
  <c r="F1084" i="14"/>
  <c r="E1084" i="14"/>
  <c r="I1084" i="14" s="1"/>
  <c r="J1083" i="14"/>
  <c r="H1083" i="14"/>
  <c r="F1083" i="14"/>
  <c r="E1083" i="14"/>
  <c r="I1083" i="14" s="1"/>
  <c r="J1082" i="14"/>
  <c r="H1082" i="14"/>
  <c r="F1082" i="14"/>
  <c r="E1082" i="14"/>
  <c r="I1082" i="14" s="1"/>
  <c r="J1081" i="14"/>
  <c r="H1081" i="14"/>
  <c r="F1081" i="14"/>
  <c r="E1081" i="14"/>
  <c r="I1081" i="14" s="1"/>
  <c r="J1080" i="14"/>
  <c r="H1080" i="14"/>
  <c r="F1080" i="14"/>
  <c r="E1080" i="14"/>
  <c r="I1080" i="14" s="1"/>
  <c r="J1046" i="14"/>
  <c r="H1046" i="14"/>
  <c r="F1046" i="14"/>
  <c r="E1046" i="14"/>
  <c r="I1046" i="14" s="1"/>
  <c r="J1045" i="14"/>
  <c r="H1045" i="14"/>
  <c r="F1045" i="14"/>
  <c r="E1045" i="14"/>
  <c r="I1045" i="14" s="1"/>
  <c r="J1044" i="14"/>
  <c r="H1044" i="14"/>
  <c r="F1044" i="14"/>
  <c r="E1044" i="14"/>
  <c r="I1044" i="14" s="1"/>
  <c r="J1043" i="14"/>
  <c r="H1043" i="14"/>
  <c r="F1043" i="14"/>
  <c r="E1043" i="14"/>
  <c r="I1043" i="14" s="1"/>
  <c r="J1042" i="14"/>
  <c r="H1042" i="14"/>
  <c r="F1042" i="14"/>
  <c r="E1042" i="14"/>
  <c r="I1042" i="14" s="1"/>
  <c r="J1041" i="14"/>
  <c r="H1041" i="14"/>
  <c r="F1041" i="14"/>
  <c r="E1041" i="14"/>
  <c r="I1041" i="14" s="1"/>
  <c r="J1040" i="14"/>
  <c r="H1040" i="14"/>
  <c r="F1040" i="14"/>
  <c r="E1040" i="14"/>
  <c r="I1040" i="14" s="1"/>
  <c r="J1039" i="14"/>
  <c r="H1039" i="14"/>
  <c r="F1039" i="14"/>
  <c r="E1039" i="14"/>
  <c r="I1039" i="14" s="1"/>
  <c r="J1038" i="14"/>
  <c r="H1038" i="14"/>
  <c r="F1038" i="14"/>
  <c r="E1038" i="14"/>
  <c r="I1038" i="14" s="1"/>
  <c r="J1037" i="14"/>
  <c r="H1037" i="14"/>
  <c r="F1037" i="14"/>
  <c r="E1037" i="14"/>
  <c r="I1037" i="14" s="1"/>
  <c r="J1036" i="14"/>
  <c r="H1036" i="14"/>
  <c r="F1036" i="14"/>
  <c r="E1036" i="14"/>
  <c r="I1036" i="14" s="1"/>
  <c r="J1002" i="14"/>
  <c r="H1002" i="14"/>
  <c r="F1002" i="14"/>
  <c r="E1002" i="14"/>
  <c r="I1002" i="14" s="1"/>
  <c r="J1001" i="14"/>
  <c r="H1001" i="14"/>
  <c r="F1001" i="14"/>
  <c r="E1001" i="14"/>
  <c r="I1001" i="14" s="1"/>
  <c r="J1000" i="14"/>
  <c r="H1000" i="14"/>
  <c r="F1000" i="14"/>
  <c r="E1000" i="14"/>
  <c r="I1000" i="14" s="1"/>
  <c r="J999" i="14"/>
  <c r="H999" i="14"/>
  <c r="F999" i="14"/>
  <c r="E999" i="14"/>
  <c r="I999" i="14" s="1"/>
  <c r="J998" i="14"/>
  <c r="H998" i="14"/>
  <c r="F998" i="14"/>
  <c r="E998" i="14"/>
  <c r="I998" i="14" s="1"/>
  <c r="J997" i="14"/>
  <c r="H997" i="14"/>
  <c r="F997" i="14"/>
  <c r="E997" i="14"/>
  <c r="I997" i="14" s="1"/>
  <c r="J996" i="14"/>
  <c r="H996" i="14"/>
  <c r="F996" i="14"/>
  <c r="E996" i="14"/>
  <c r="I996" i="14" s="1"/>
  <c r="J995" i="14"/>
  <c r="H995" i="14"/>
  <c r="F995" i="14"/>
  <c r="E995" i="14"/>
  <c r="I995" i="14" s="1"/>
  <c r="J994" i="14"/>
  <c r="H994" i="14"/>
  <c r="F994" i="14"/>
  <c r="E994" i="14"/>
  <c r="I994" i="14" s="1"/>
  <c r="J993" i="14"/>
  <c r="H993" i="14"/>
  <c r="F993" i="14"/>
  <c r="E993" i="14"/>
  <c r="I993" i="14" s="1"/>
  <c r="J992" i="14"/>
  <c r="H992" i="14"/>
  <c r="F992" i="14"/>
  <c r="E992" i="14"/>
  <c r="I992" i="14" s="1"/>
  <c r="J958" i="14"/>
  <c r="H958" i="14"/>
  <c r="F958" i="14"/>
  <c r="E958" i="14"/>
  <c r="I958" i="14" s="1"/>
  <c r="J957" i="14"/>
  <c r="H957" i="14"/>
  <c r="F957" i="14"/>
  <c r="E957" i="14"/>
  <c r="I957" i="14" s="1"/>
  <c r="J956" i="14"/>
  <c r="H956" i="14"/>
  <c r="F956" i="14"/>
  <c r="E956" i="14"/>
  <c r="I956" i="14" s="1"/>
  <c r="J955" i="14"/>
  <c r="H955" i="14"/>
  <c r="F955" i="14"/>
  <c r="E955" i="14"/>
  <c r="I955" i="14" s="1"/>
  <c r="J954" i="14"/>
  <c r="H954" i="14"/>
  <c r="F954" i="14"/>
  <c r="E954" i="14"/>
  <c r="I954" i="14" s="1"/>
  <c r="J953" i="14"/>
  <c r="H953" i="14"/>
  <c r="F953" i="14"/>
  <c r="E953" i="14"/>
  <c r="I953" i="14" s="1"/>
  <c r="J952" i="14"/>
  <c r="H952" i="14"/>
  <c r="F952" i="14"/>
  <c r="E952" i="14"/>
  <c r="I952" i="14" s="1"/>
  <c r="J951" i="14"/>
  <c r="H951" i="14"/>
  <c r="F951" i="14"/>
  <c r="E951" i="14"/>
  <c r="I951" i="14" s="1"/>
  <c r="J950" i="14"/>
  <c r="H950" i="14"/>
  <c r="F950" i="14"/>
  <c r="E950" i="14"/>
  <c r="I950" i="14" s="1"/>
  <c r="J949" i="14"/>
  <c r="H949" i="14"/>
  <c r="F949" i="14"/>
  <c r="E949" i="14"/>
  <c r="I949" i="14" s="1"/>
  <c r="J948" i="14"/>
  <c r="H948" i="14"/>
  <c r="F948" i="14"/>
  <c r="E948" i="14"/>
  <c r="I948" i="14" s="1"/>
  <c r="J914" i="14"/>
  <c r="H914" i="14"/>
  <c r="F914" i="14"/>
  <c r="E914" i="14"/>
  <c r="I914" i="14" s="1"/>
  <c r="J913" i="14"/>
  <c r="H913" i="14"/>
  <c r="F913" i="14"/>
  <c r="E913" i="14"/>
  <c r="I913" i="14" s="1"/>
  <c r="J912" i="14"/>
  <c r="H912" i="14"/>
  <c r="F912" i="14"/>
  <c r="E912" i="14"/>
  <c r="I912" i="14" s="1"/>
  <c r="J911" i="14"/>
  <c r="H911" i="14"/>
  <c r="F911" i="14"/>
  <c r="E911" i="14"/>
  <c r="I911" i="14" s="1"/>
  <c r="J910" i="14"/>
  <c r="H910" i="14"/>
  <c r="F910" i="14"/>
  <c r="E910" i="14"/>
  <c r="I910" i="14" s="1"/>
  <c r="J909" i="14"/>
  <c r="H909" i="14"/>
  <c r="F909" i="14"/>
  <c r="E909" i="14"/>
  <c r="I909" i="14" s="1"/>
  <c r="J908" i="14"/>
  <c r="H908" i="14"/>
  <c r="F908" i="14"/>
  <c r="E908" i="14"/>
  <c r="I908" i="14" s="1"/>
  <c r="J907" i="14"/>
  <c r="H907" i="14"/>
  <c r="F907" i="14"/>
  <c r="E907" i="14"/>
  <c r="I907" i="14" s="1"/>
  <c r="J906" i="14"/>
  <c r="H906" i="14"/>
  <c r="F906" i="14"/>
  <c r="E906" i="14"/>
  <c r="I906" i="14" s="1"/>
  <c r="J905" i="14"/>
  <c r="H905" i="14"/>
  <c r="F905" i="14"/>
  <c r="E905" i="14"/>
  <c r="I905" i="14" s="1"/>
  <c r="J904" i="14"/>
  <c r="H904" i="14"/>
  <c r="F904" i="14"/>
  <c r="E904" i="14"/>
  <c r="I904" i="14" s="1"/>
  <c r="B978" i="2"/>
  <c r="C978" i="2"/>
  <c r="D978" i="2"/>
  <c r="B979" i="2"/>
  <c r="C979" i="2"/>
  <c r="D979" i="2"/>
  <c r="B980" i="2"/>
  <c r="C980" i="2"/>
  <c r="D980" i="2"/>
  <c r="B981" i="2"/>
  <c r="C981" i="2"/>
  <c r="D981" i="2"/>
  <c r="B982" i="2"/>
  <c r="C982" i="2"/>
  <c r="D982" i="2"/>
  <c r="B983" i="2"/>
  <c r="C983" i="2"/>
  <c r="D983" i="2"/>
  <c r="B984" i="2"/>
  <c r="C984" i="2"/>
  <c r="D984" i="2"/>
  <c r="B985" i="2"/>
  <c r="C985" i="2"/>
  <c r="D985" i="2"/>
  <c r="B986" i="2"/>
  <c r="C986" i="2"/>
  <c r="D986" i="2"/>
  <c r="B987" i="2"/>
  <c r="C987" i="2"/>
  <c r="D987" i="2"/>
  <c r="B988" i="2"/>
  <c r="C988" i="2"/>
  <c r="D988" i="2"/>
  <c r="B989" i="2"/>
  <c r="C989" i="2"/>
  <c r="D989" i="2"/>
  <c r="B990" i="2"/>
  <c r="C990" i="2"/>
  <c r="D990" i="2"/>
  <c r="B991" i="2"/>
  <c r="C991" i="2"/>
  <c r="D991" i="2"/>
  <c r="B992" i="2"/>
  <c r="C992" i="2"/>
  <c r="D992" i="2"/>
  <c r="B993" i="2"/>
  <c r="C993" i="2"/>
  <c r="D993" i="2"/>
  <c r="B994" i="2"/>
  <c r="C994" i="2"/>
  <c r="D994" i="2"/>
  <c r="B995" i="2"/>
  <c r="C995" i="2"/>
  <c r="D995" i="2"/>
  <c r="B996" i="2"/>
  <c r="C996" i="2"/>
  <c r="D996" i="2"/>
  <c r="B997" i="2"/>
  <c r="C997" i="2"/>
  <c r="D997" i="2"/>
  <c r="B998" i="2"/>
  <c r="C998" i="2"/>
  <c r="D998" i="2"/>
  <c r="B999" i="2"/>
  <c r="C999" i="2"/>
  <c r="D999" i="2"/>
  <c r="B1000" i="2"/>
  <c r="C1000" i="2"/>
  <c r="D1000" i="2"/>
  <c r="B1001" i="2"/>
  <c r="C1001" i="2"/>
  <c r="D1001" i="2"/>
  <c r="B1002" i="2"/>
  <c r="C1002" i="2"/>
  <c r="D1002" i="2"/>
  <c r="B1003" i="2"/>
  <c r="C1003" i="2"/>
  <c r="D1003" i="2"/>
  <c r="B1004" i="2"/>
  <c r="C1004" i="2"/>
  <c r="D1004" i="2"/>
  <c r="B1005" i="2"/>
  <c r="C1005" i="2"/>
  <c r="D1005" i="2"/>
  <c r="B1006" i="2"/>
  <c r="C1006" i="2"/>
  <c r="D1006" i="2"/>
  <c r="B1007" i="2"/>
  <c r="C1007" i="2"/>
  <c r="D1007" i="2"/>
  <c r="B1008" i="2"/>
  <c r="C1008" i="2"/>
  <c r="D1008" i="2"/>
  <c r="B1009" i="2"/>
  <c r="C1009" i="2"/>
  <c r="D1009" i="2"/>
  <c r="B1010" i="2"/>
  <c r="C1010" i="2"/>
  <c r="D1010" i="2"/>
  <c r="B1011" i="2"/>
  <c r="C1011" i="2"/>
  <c r="D1011" i="2"/>
  <c r="B1012" i="2"/>
  <c r="C1012" i="2"/>
  <c r="D1012" i="2"/>
  <c r="B1013" i="2"/>
  <c r="C1013" i="2"/>
  <c r="D1013" i="2"/>
  <c r="B1014" i="2"/>
  <c r="C1014" i="2"/>
  <c r="D1014" i="2"/>
  <c r="B1015" i="2"/>
  <c r="C1015" i="2"/>
  <c r="D1015" i="2"/>
  <c r="B1016" i="2"/>
  <c r="C1016" i="2"/>
  <c r="D1016" i="2"/>
  <c r="B1017" i="2"/>
  <c r="C1017" i="2"/>
  <c r="D1017" i="2"/>
  <c r="B1018" i="2"/>
  <c r="C1018" i="2"/>
  <c r="D1018" i="2"/>
  <c r="B1019" i="2"/>
  <c r="C1019" i="2"/>
  <c r="D1019" i="2"/>
  <c r="B1020" i="2"/>
  <c r="C1020" i="2"/>
  <c r="D1020" i="2"/>
  <c r="B1021" i="2"/>
  <c r="C1021" i="2"/>
  <c r="D1021" i="2"/>
  <c r="B1022" i="2"/>
  <c r="C1022" i="2"/>
  <c r="D1022" i="2"/>
  <c r="B1023" i="2"/>
  <c r="C1023" i="2"/>
  <c r="D1023" i="2"/>
  <c r="B1024" i="2"/>
  <c r="C1024" i="2"/>
  <c r="D1024" i="2"/>
  <c r="B1025" i="2"/>
  <c r="C1025" i="2"/>
  <c r="D1025" i="2"/>
  <c r="B1026" i="2"/>
  <c r="C1026" i="2"/>
  <c r="D1026" i="2"/>
  <c r="B1027" i="2"/>
  <c r="C1027" i="2"/>
  <c r="D1027" i="2"/>
  <c r="B1028" i="2"/>
  <c r="C1028" i="2"/>
  <c r="D1028" i="2"/>
  <c r="B1029" i="2"/>
  <c r="C1029" i="2"/>
  <c r="D1029" i="2"/>
  <c r="B1030" i="2"/>
  <c r="C1030" i="2"/>
  <c r="D1030" i="2"/>
  <c r="B1031" i="2"/>
  <c r="C1031" i="2"/>
  <c r="D1031" i="2"/>
  <c r="B1032" i="2"/>
  <c r="C1032" i="2"/>
  <c r="D1032" i="2"/>
  <c r="B1033" i="2"/>
  <c r="C1033" i="2"/>
  <c r="D1033" i="2"/>
  <c r="B1034" i="2"/>
  <c r="C1034" i="2"/>
  <c r="D1034" i="2"/>
  <c r="B1035" i="2"/>
  <c r="C1035" i="2"/>
  <c r="D1035" i="2"/>
  <c r="B1036" i="2"/>
  <c r="C1036" i="2"/>
  <c r="D1036" i="2"/>
  <c r="B1037" i="2"/>
  <c r="C1037" i="2"/>
  <c r="D1037" i="2"/>
  <c r="B1038" i="2"/>
  <c r="C1038" i="2"/>
  <c r="D1038" i="2"/>
  <c r="B1039" i="2"/>
  <c r="C1039" i="2"/>
  <c r="D1039" i="2"/>
  <c r="B1040" i="2"/>
  <c r="C1040" i="2"/>
  <c r="D1040" i="2"/>
  <c r="B1041" i="2"/>
  <c r="C1041" i="2"/>
  <c r="D1041" i="2"/>
  <c r="B1042" i="2"/>
  <c r="C1042" i="2"/>
  <c r="D1042" i="2"/>
  <c r="B1043" i="2"/>
  <c r="C1043" i="2"/>
  <c r="D1043" i="2"/>
  <c r="B1044" i="2"/>
  <c r="C1044" i="2"/>
  <c r="D1044" i="2"/>
  <c r="B1045" i="2"/>
  <c r="C1045" i="2"/>
  <c r="D1045" i="2"/>
  <c r="B1046" i="2"/>
  <c r="C1046" i="2"/>
  <c r="D1046" i="2"/>
  <c r="B1047" i="2"/>
  <c r="C1047" i="2"/>
  <c r="D1047" i="2"/>
  <c r="B1048" i="2"/>
  <c r="C1048" i="2"/>
  <c r="D1048" i="2"/>
  <c r="B1049" i="2"/>
  <c r="C1049" i="2"/>
  <c r="D1049" i="2"/>
  <c r="J892" i="14"/>
  <c r="J893" i="14"/>
  <c r="J894" i="14"/>
  <c r="J895" i="14"/>
  <c r="J896" i="14"/>
  <c r="J897" i="14"/>
  <c r="J898" i="14"/>
  <c r="J899" i="14"/>
  <c r="J900" i="14"/>
  <c r="J901" i="14"/>
  <c r="J902" i="14"/>
  <c r="J903" i="14"/>
  <c r="J926" i="14"/>
  <c r="E892" i="14"/>
  <c r="I892" i="14" s="1"/>
  <c r="F892" i="14"/>
  <c r="E893" i="14"/>
  <c r="I893" i="14" s="1"/>
  <c r="F893" i="14"/>
  <c r="E894" i="14"/>
  <c r="F894" i="14"/>
  <c r="E895" i="14"/>
  <c r="I895" i="14" s="1"/>
  <c r="F895" i="14"/>
  <c r="E896" i="14"/>
  <c r="I896" i="14" s="1"/>
  <c r="F896" i="14"/>
  <c r="E897" i="14"/>
  <c r="I897" i="14" s="1"/>
  <c r="F897" i="14"/>
  <c r="E898" i="14"/>
  <c r="I898" i="14" s="1"/>
  <c r="F898" i="14"/>
  <c r="E899" i="14"/>
  <c r="I899" i="14" s="1"/>
  <c r="F899" i="14"/>
  <c r="E900" i="14"/>
  <c r="I900" i="14" s="1"/>
  <c r="F900" i="14"/>
  <c r="E901" i="14"/>
  <c r="I901" i="14" s="1"/>
  <c r="F901" i="14"/>
  <c r="E902" i="14"/>
  <c r="I902" i="14" s="1"/>
  <c r="F902" i="14"/>
  <c r="E903" i="14"/>
  <c r="I903" i="14" s="1"/>
  <c r="F903" i="14"/>
  <c r="E926" i="14"/>
  <c r="I926" i="14" s="1"/>
  <c r="F926" i="14"/>
  <c r="E927" i="14"/>
  <c r="I927" i="14" s="1"/>
  <c r="F927" i="14"/>
  <c r="E928" i="14"/>
  <c r="I928" i="14" s="1"/>
  <c r="F928" i="14"/>
  <c r="J1299" i="14"/>
  <c r="H1299" i="14"/>
  <c r="F1299" i="14"/>
  <c r="E1299" i="14"/>
  <c r="I1299" i="14" s="1"/>
  <c r="J1298" i="14"/>
  <c r="H1298" i="14"/>
  <c r="F1298" i="14"/>
  <c r="E1298" i="14"/>
  <c r="I1298" i="14" s="1"/>
  <c r="J1297" i="14"/>
  <c r="H1297" i="14"/>
  <c r="F1297" i="14"/>
  <c r="E1297" i="14"/>
  <c r="I1297" i="14" s="1"/>
  <c r="J1296" i="14"/>
  <c r="H1296" i="14"/>
  <c r="F1296" i="14"/>
  <c r="E1296" i="14"/>
  <c r="I1296" i="14" s="1"/>
  <c r="J1295" i="14"/>
  <c r="H1295" i="14"/>
  <c r="F1295" i="14"/>
  <c r="E1295" i="14"/>
  <c r="I1295" i="14" s="1"/>
  <c r="J1294" i="14"/>
  <c r="H1294" i="14"/>
  <c r="F1294" i="14"/>
  <c r="E1294" i="14"/>
  <c r="I1294" i="14" s="1"/>
  <c r="J1293" i="14"/>
  <c r="H1293" i="14"/>
  <c r="F1293" i="14"/>
  <c r="E1293" i="14"/>
  <c r="I1293" i="14" s="1"/>
  <c r="J1292" i="14"/>
  <c r="H1292" i="14"/>
  <c r="F1292" i="14"/>
  <c r="E1292" i="14"/>
  <c r="I1292" i="14" s="1"/>
  <c r="J1291" i="14"/>
  <c r="H1291" i="14"/>
  <c r="F1291" i="14"/>
  <c r="E1291" i="14"/>
  <c r="I1291" i="14" s="1"/>
  <c r="J1290" i="14"/>
  <c r="H1290" i="14"/>
  <c r="F1290" i="14"/>
  <c r="E1290" i="14"/>
  <c r="I1290" i="14" s="1"/>
  <c r="J1289" i="14"/>
  <c r="H1289" i="14"/>
  <c r="F1289" i="14"/>
  <c r="E1289" i="14"/>
  <c r="I1289" i="14" s="1"/>
  <c r="J1255" i="14"/>
  <c r="H1255" i="14"/>
  <c r="F1255" i="14"/>
  <c r="E1255" i="14"/>
  <c r="I1255" i="14" s="1"/>
  <c r="J1254" i="14"/>
  <c r="H1254" i="14"/>
  <c r="F1254" i="14"/>
  <c r="E1254" i="14"/>
  <c r="I1254" i="14" s="1"/>
  <c r="J1253" i="14"/>
  <c r="H1253" i="14"/>
  <c r="F1253" i="14"/>
  <c r="E1253" i="14"/>
  <c r="I1253" i="14" s="1"/>
  <c r="J1252" i="14"/>
  <c r="H1252" i="14"/>
  <c r="F1252" i="14"/>
  <c r="E1252" i="14"/>
  <c r="I1252" i="14" s="1"/>
  <c r="J1251" i="14"/>
  <c r="H1251" i="14"/>
  <c r="F1251" i="14"/>
  <c r="E1251" i="14"/>
  <c r="I1251" i="14" s="1"/>
  <c r="J1250" i="14"/>
  <c r="H1250" i="14"/>
  <c r="F1250" i="14"/>
  <c r="E1250" i="14"/>
  <c r="I1250" i="14" s="1"/>
  <c r="J1249" i="14"/>
  <c r="H1249" i="14"/>
  <c r="F1249" i="14"/>
  <c r="E1249" i="14"/>
  <c r="I1249" i="14" s="1"/>
  <c r="J1248" i="14"/>
  <c r="H1248" i="14"/>
  <c r="F1248" i="14"/>
  <c r="E1248" i="14"/>
  <c r="I1248" i="14" s="1"/>
  <c r="J1247" i="14"/>
  <c r="H1247" i="14"/>
  <c r="F1247" i="14"/>
  <c r="E1247" i="14"/>
  <c r="I1247" i="14" s="1"/>
  <c r="J1246" i="14"/>
  <c r="H1246" i="14"/>
  <c r="F1246" i="14"/>
  <c r="E1246" i="14"/>
  <c r="I1246" i="14" s="1"/>
  <c r="J1245" i="14"/>
  <c r="H1245" i="14"/>
  <c r="F1245" i="14"/>
  <c r="E1245" i="14"/>
  <c r="I1245" i="14" s="1"/>
  <c r="J1211" i="14"/>
  <c r="H1211" i="14"/>
  <c r="F1211" i="14"/>
  <c r="E1211" i="14"/>
  <c r="I1211" i="14" s="1"/>
  <c r="J1210" i="14"/>
  <c r="H1210" i="14"/>
  <c r="F1210" i="14"/>
  <c r="E1210" i="14"/>
  <c r="I1210" i="14" s="1"/>
  <c r="J1209" i="14"/>
  <c r="H1209" i="14"/>
  <c r="F1209" i="14"/>
  <c r="E1209" i="14"/>
  <c r="I1209" i="14" s="1"/>
  <c r="J1208" i="14"/>
  <c r="H1208" i="14"/>
  <c r="F1208" i="14"/>
  <c r="E1208" i="14"/>
  <c r="I1208" i="14" s="1"/>
  <c r="J1207" i="14"/>
  <c r="H1207" i="14"/>
  <c r="F1207" i="14"/>
  <c r="E1207" i="14"/>
  <c r="I1207" i="14" s="1"/>
  <c r="J1206" i="14"/>
  <c r="H1206" i="14"/>
  <c r="F1206" i="14"/>
  <c r="E1206" i="14"/>
  <c r="I1206" i="14" s="1"/>
  <c r="J1205" i="14"/>
  <c r="H1205" i="14"/>
  <c r="F1205" i="14"/>
  <c r="E1205" i="14"/>
  <c r="I1205" i="14" s="1"/>
  <c r="J1204" i="14"/>
  <c r="H1204" i="14"/>
  <c r="F1204" i="14"/>
  <c r="E1204" i="14"/>
  <c r="I1204" i="14" s="1"/>
  <c r="J1203" i="14"/>
  <c r="H1203" i="14"/>
  <c r="F1203" i="14"/>
  <c r="E1203" i="14"/>
  <c r="I1203" i="14" s="1"/>
  <c r="J1202" i="14"/>
  <c r="H1202" i="14"/>
  <c r="F1202" i="14"/>
  <c r="E1202" i="14"/>
  <c r="I1202" i="14" s="1"/>
  <c r="J1201" i="14"/>
  <c r="H1201" i="14"/>
  <c r="F1201" i="14"/>
  <c r="E1201" i="14"/>
  <c r="I1201" i="14" s="1"/>
  <c r="J1167" i="14"/>
  <c r="H1167" i="14"/>
  <c r="F1167" i="14"/>
  <c r="E1167" i="14"/>
  <c r="I1167" i="14" s="1"/>
  <c r="J1166" i="14"/>
  <c r="H1166" i="14"/>
  <c r="F1166" i="14"/>
  <c r="E1166" i="14"/>
  <c r="I1166" i="14" s="1"/>
  <c r="J1165" i="14"/>
  <c r="H1165" i="14"/>
  <c r="F1165" i="14"/>
  <c r="E1165" i="14"/>
  <c r="I1165" i="14" s="1"/>
  <c r="J1164" i="14"/>
  <c r="H1164" i="14"/>
  <c r="F1164" i="14"/>
  <c r="E1164" i="14"/>
  <c r="I1164" i="14" s="1"/>
  <c r="J1163" i="14"/>
  <c r="H1163" i="14"/>
  <c r="F1163" i="14"/>
  <c r="E1163" i="14"/>
  <c r="I1163" i="14" s="1"/>
  <c r="J1162" i="14"/>
  <c r="H1162" i="14"/>
  <c r="F1162" i="14"/>
  <c r="E1162" i="14"/>
  <c r="I1162" i="14" s="1"/>
  <c r="J1161" i="14"/>
  <c r="H1161" i="14"/>
  <c r="F1161" i="14"/>
  <c r="E1161" i="14"/>
  <c r="I1161" i="14" s="1"/>
  <c r="J1160" i="14"/>
  <c r="H1160" i="14"/>
  <c r="F1160" i="14"/>
  <c r="E1160" i="14"/>
  <c r="I1160" i="14" s="1"/>
  <c r="J1159" i="14"/>
  <c r="H1159" i="14"/>
  <c r="F1159" i="14"/>
  <c r="E1159" i="14"/>
  <c r="I1159" i="14" s="1"/>
  <c r="J1158" i="14"/>
  <c r="H1158" i="14"/>
  <c r="F1158" i="14"/>
  <c r="E1158" i="14"/>
  <c r="I1158" i="14" s="1"/>
  <c r="J1157" i="14"/>
  <c r="H1157" i="14"/>
  <c r="F1157" i="14"/>
  <c r="E1157" i="14"/>
  <c r="I1157" i="14" s="1"/>
  <c r="J1123" i="14"/>
  <c r="H1123" i="14"/>
  <c r="F1123" i="14"/>
  <c r="E1123" i="14"/>
  <c r="I1123" i="14" s="1"/>
  <c r="J1122" i="14"/>
  <c r="H1122" i="14"/>
  <c r="F1122" i="14"/>
  <c r="E1122" i="14"/>
  <c r="I1122" i="14" s="1"/>
  <c r="J1121" i="14"/>
  <c r="H1121" i="14"/>
  <c r="F1121" i="14"/>
  <c r="E1121" i="14"/>
  <c r="I1121" i="14" s="1"/>
  <c r="J1120" i="14"/>
  <c r="H1120" i="14"/>
  <c r="F1120" i="14"/>
  <c r="E1120" i="14"/>
  <c r="I1120" i="14" s="1"/>
  <c r="J1119" i="14"/>
  <c r="H1119" i="14"/>
  <c r="F1119" i="14"/>
  <c r="E1119" i="14"/>
  <c r="I1119" i="14" s="1"/>
  <c r="J1118" i="14"/>
  <c r="H1118" i="14"/>
  <c r="F1118" i="14"/>
  <c r="E1118" i="14"/>
  <c r="I1118" i="14" s="1"/>
  <c r="J1117" i="14"/>
  <c r="H1117" i="14"/>
  <c r="F1117" i="14"/>
  <c r="E1117" i="14"/>
  <c r="I1117" i="14" s="1"/>
  <c r="J1116" i="14"/>
  <c r="H1116" i="14"/>
  <c r="F1116" i="14"/>
  <c r="E1116" i="14"/>
  <c r="I1116" i="14" s="1"/>
  <c r="J1115" i="14"/>
  <c r="H1115" i="14"/>
  <c r="F1115" i="14"/>
  <c r="E1115" i="14"/>
  <c r="I1115" i="14" s="1"/>
  <c r="J1114" i="14"/>
  <c r="H1114" i="14"/>
  <c r="F1114" i="14"/>
  <c r="E1114" i="14"/>
  <c r="I1114" i="14" s="1"/>
  <c r="J1113" i="14"/>
  <c r="H1113" i="14"/>
  <c r="F1113" i="14"/>
  <c r="E1113" i="14"/>
  <c r="I1113" i="14" s="1"/>
  <c r="J1079" i="14"/>
  <c r="H1079" i="14"/>
  <c r="F1079" i="14"/>
  <c r="E1079" i="14"/>
  <c r="I1079" i="14" s="1"/>
  <c r="J1078" i="14"/>
  <c r="H1078" i="14"/>
  <c r="F1078" i="14"/>
  <c r="E1078" i="14"/>
  <c r="I1078" i="14" s="1"/>
  <c r="J1077" i="14"/>
  <c r="H1077" i="14"/>
  <c r="F1077" i="14"/>
  <c r="E1077" i="14"/>
  <c r="I1077" i="14" s="1"/>
  <c r="J1076" i="14"/>
  <c r="H1076" i="14"/>
  <c r="F1076" i="14"/>
  <c r="E1076" i="14"/>
  <c r="I1076" i="14" s="1"/>
  <c r="J1075" i="14"/>
  <c r="H1075" i="14"/>
  <c r="F1075" i="14"/>
  <c r="E1075" i="14"/>
  <c r="I1075" i="14" s="1"/>
  <c r="J1074" i="14"/>
  <c r="H1074" i="14"/>
  <c r="F1074" i="14"/>
  <c r="E1074" i="14"/>
  <c r="I1074" i="14" s="1"/>
  <c r="J1073" i="14"/>
  <c r="H1073" i="14"/>
  <c r="F1073" i="14"/>
  <c r="E1073" i="14"/>
  <c r="I1073" i="14" s="1"/>
  <c r="J1072" i="14"/>
  <c r="H1072" i="14"/>
  <c r="F1072" i="14"/>
  <c r="E1072" i="14"/>
  <c r="I1072" i="14" s="1"/>
  <c r="J1071" i="14"/>
  <c r="H1071" i="14"/>
  <c r="F1071" i="14"/>
  <c r="E1071" i="14"/>
  <c r="I1071" i="14" s="1"/>
  <c r="J1070" i="14"/>
  <c r="H1070" i="14"/>
  <c r="F1070" i="14"/>
  <c r="E1070" i="14"/>
  <c r="I1070" i="14" s="1"/>
  <c r="J1069" i="14"/>
  <c r="H1069" i="14"/>
  <c r="F1069" i="14"/>
  <c r="E1069" i="14"/>
  <c r="I1069" i="14" s="1"/>
  <c r="J1035" i="14"/>
  <c r="H1035" i="14"/>
  <c r="F1035" i="14"/>
  <c r="E1035" i="14"/>
  <c r="I1035" i="14" s="1"/>
  <c r="J1034" i="14"/>
  <c r="H1034" i="14"/>
  <c r="F1034" i="14"/>
  <c r="E1034" i="14"/>
  <c r="I1034" i="14" s="1"/>
  <c r="J1033" i="14"/>
  <c r="H1033" i="14"/>
  <c r="F1033" i="14"/>
  <c r="E1033" i="14"/>
  <c r="I1033" i="14" s="1"/>
  <c r="J1032" i="14"/>
  <c r="H1032" i="14"/>
  <c r="F1032" i="14"/>
  <c r="E1032" i="14"/>
  <c r="I1032" i="14" s="1"/>
  <c r="J1031" i="14"/>
  <c r="H1031" i="14"/>
  <c r="F1031" i="14"/>
  <c r="E1031" i="14"/>
  <c r="I1031" i="14" s="1"/>
  <c r="J1030" i="14"/>
  <c r="H1030" i="14"/>
  <c r="F1030" i="14"/>
  <c r="E1030" i="14"/>
  <c r="I1030" i="14" s="1"/>
  <c r="J1029" i="14"/>
  <c r="H1029" i="14"/>
  <c r="F1029" i="14"/>
  <c r="E1029" i="14"/>
  <c r="I1029" i="14" s="1"/>
  <c r="J1028" i="14"/>
  <c r="H1028" i="14"/>
  <c r="F1028" i="14"/>
  <c r="E1028" i="14"/>
  <c r="I1028" i="14" s="1"/>
  <c r="J1027" i="14"/>
  <c r="H1027" i="14"/>
  <c r="F1027" i="14"/>
  <c r="E1027" i="14"/>
  <c r="I1027" i="14" s="1"/>
  <c r="J1026" i="14"/>
  <c r="H1026" i="14"/>
  <c r="F1026" i="14"/>
  <c r="E1026" i="14"/>
  <c r="I1026" i="14" s="1"/>
  <c r="J1025" i="14"/>
  <c r="H1025" i="14"/>
  <c r="F1025" i="14"/>
  <c r="E1025" i="14"/>
  <c r="I1025" i="14" s="1"/>
  <c r="J991" i="14"/>
  <c r="H991" i="14"/>
  <c r="F991" i="14"/>
  <c r="E991" i="14"/>
  <c r="I991" i="14" s="1"/>
  <c r="J990" i="14"/>
  <c r="H990" i="14"/>
  <c r="F990" i="14"/>
  <c r="E990" i="14"/>
  <c r="I990" i="14" s="1"/>
  <c r="J989" i="14"/>
  <c r="H989" i="14"/>
  <c r="F989" i="14"/>
  <c r="E989" i="14"/>
  <c r="I989" i="14" s="1"/>
  <c r="J988" i="14"/>
  <c r="H988" i="14"/>
  <c r="F988" i="14"/>
  <c r="E988" i="14"/>
  <c r="I988" i="14" s="1"/>
  <c r="J987" i="14"/>
  <c r="H987" i="14"/>
  <c r="F987" i="14"/>
  <c r="E987" i="14"/>
  <c r="I987" i="14" s="1"/>
  <c r="J986" i="14"/>
  <c r="H986" i="14"/>
  <c r="F986" i="14"/>
  <c r="E986" i="14"/>
  <c r="I986" i="14" s="1"/>
  <c r="J985" i="14"/>
  <c r="H985" i="14"/>
  <c r="F985" i="14"/>
  <c r="E985" i="14"/>
  <c r="I985" i="14" s="1"/>
  <c r="J984" i="14"/>
  <c r="H984" i="14"/>
  <c r="F984" i="14"/>
  <c r="E984" i="14"/>
  <c r="I984" i="14" s="1"/>
  <c r="J983" i="14"/>
  <c r="H983" i="14"/>
  <c r="F983" i="14"/>
  <c r="E983" i="14"/>
  <c r="I983" i="14" s="1"/>
  <c r="J982" i="14"/>
  <c r="H982" i="14"/>
  <c r="F982" i="14"/>
  <c r="E982" i="14"/>
  <c r="I982" i="14" s="1"/>
  <c r="J981" i="14"/>
  <c r="H981" i="14"/>
  <c r="F981" i="14"/>
  <c r="E981" i="14"/>
  <c r="I981" i="14" s="1"/>
  <c r="J947" i="14"/>
  <c r="H947" i="14"/>
  <c r="F947" i="14"/>
  <c r="E947" i="14"/>
  <c r="I947" i="14" s="1"/>
  <c r="J946" i="14"/>
  <c r="H946" i="14"/>
  <c r="F946" i="14"/>
  <c r="E946" i="14"/>
  <c r="I946" i="14" s="1"/>
  <c r="J945" i="14"/>
  <c r="H945" i="14"/>
  <c r="F945" i="14"/>
  <c r="E945" i="14"/>
  <c r="I945" i="14" s="1"/>
  <c r="J944" i="14"/>
  <c r="H944" i="14"/>
  <c r="F944" i="14"/>
  <c r="E944" i="14"/>
  <c r="I944" i="14" s="1"/>
  <c r="J943" i="14"/>
  <c r="H943" i="14"/>
  <c r="F943" i="14"/>
  <c r="E943" i="14"/>
  <c r="I943" i="14" s="1"/>
  <c r="J942" i="14"/>
  <c r="H942" i="14"/>
  <c r="F942" i="14"/>
  <c r="E942" i="14"/>
  <c r="I942" i="14" s="1"/>
  <c r="J941" i="14"/>
  <c r="H941" i="14"/>
  <c r="F941" i="14"/>
  <c r="E941" i="14"/>
  <c r="I941" i="14" s="1"/>
  <c r="J940" i="14"/>
  <c r="H940" i="14"/>
  <c r="F940" i="14"/>
  <c r="E940" i="14"/>
  <c r="I940" i="14" s="1"/>
  <c r="J939" i="14"/>
  <c r="H939" i="14"/>
  <c r="F939" i="14"/>
  <c r="E939" i="14"/>
  <c r="I939" i="14" s="1"/>
  <c r="J938" i="14"/>
  <c r="H938" i="14"/>
  <c r="F938" i="14"/>
  <c r="E938" i="14"/>
  <c r="I938" i="14" s="1"/>
  <c r="J937" i="14"/>
  <c r="H937" i="14"/>
  <c r="F937" i="14"/>
  <c r="E937" i="14"/>
  <c r="I937" i="14" s="1"/>
  <c r="H903" i="14"/>
  <c r="H902" i="14"/>
  <c r="H901" i="14"/>
  <c r="H900" i="14"/>
  <c r="H899" i="14"/>
  <c r="H898" i="14"/>
  <c r="H897" i="14"/>
  <c r="H896" i="14"/>
  <c r="H895" i="14"/>
  <c r="H894" i="14"/>
  <c r="I894" i="14"/>
  <c r="H893" i="14"/>
  <c r="D101" i="13"/>
  <c r="D100" i="13"/>
  <c r="D99" i="13"/>
  <c r="D98" i="13"/>
  <c r="D97" i="13"/>
  <c r="D96" i="13"/>
  <c r="D95" i="13"/>
  <c r="D94" i="13"/>
  <c r="D93" i="13"/>
  <c r="D92" i="13"/>
  <c r="D91" i="13"/>
  <c r="D90" i="13"/>
  <c r="D89" i="13"/>
  <c r="D88" i="13"/>
  <c r="D87" i="13"/>
  <c r="D86" i="13"/>
  <c r="D85" i="13"/>
  <c r="D84" i="13"/>
  <c r="D83" i="13"/>
  <c r="D81" i="13"/>
  <c r="B941" i="2"/>
  <c r="C941" i="2"/>
  <c r="D941" i="2"/>
  <c r="B942" i="2"/>
  <c r="C942" i="2"/>
  <c r="D942" i="2"/>
  <c r="B943" i="2"/>
  <c r="C943" i="2"/>
  <c r="D943" i="2"/>
  <c r="B944" i="2"/>
  <c r="C944" i="2"/>
  <c r="D944" i="2"/>
  <c r="B945" i="2"/>
  <c r="C945" i="2"/>
  <c r="D945" i="2"/>
  <c r="B946" i="2"/>
  <c r="C946" i="2"/>
  <c r="D946" i="2"/>
  <c r="B947" i="2"/>
  <c r="C947" i="2"/>
  <c r="D947" i="2"/>
  <c r="B948" i="2"/>
  <c r="C948" i="2"/>
  <c r="D948" i="2"/>
  <c r="B949" i="2"/>
  <c r="C949" i="2"/>
  <c r="D949" i="2"/>
  <c r="B950" i="2"/>
  <c r="C950" i="2"/>
  <c r="D950" i="2"/>
  <c r="B951" i="2"/>
  <c r="C951" i="2"/>
  <c r="D951" i="2"/>
  <c r="B952" i="2"/>
  <c r="C952" i="2"/>
  <c r="D952" i="2"/>
  <c r="B953" i="2"/>
  <c r="C953" i="2"/>
  <c r="D953" i="2"/>
  <c r="B954" i="2"/>
  <c r="C954" i="2"/>
  <c r="D954" i="2"/>
  <c r="B955" i="2"/>
  <c r="C955" i="2"/>
  <c r="D955" i="2"/>
  <c r="B956" i="2"/>
  <c r="C956" i="2"/>
  <c r="D956" i="2"/>
  <c r="B957" i="2"/>
  <c r="C957" i="2"/>
  <c r="D957" i="2"/>
  <c r="B958" i="2"/>
  <c r="C958" i="2"/>
  <c r="D958" i="2"/>
  <c r="B959" i="2"/>
  <c r="C959" i="2"/>
  <c r="D959" i="2"/>
  <c r="B960" i="2"/>
  <c r="C960" i="2"/>
  <c r="D960" i="2"/>
  <c r="B961" i="2"/>
  <c r="C961" i="2"/>
  <c r="D961" i="2"/>
  <c r="B962" i="2"/>
  <c r="C962" i="2"/>
  <c r="D962" i="2"/>
  <c r="B963" i="2"/>
  <c r="C963" i="2"/>
  <c r="D963" i="2"/>
  <c r="B964" i="2"/>
  <c r="C964" i="2"/>
  <c r="D964" i="2"/>
  <c r="B965" i="2"/>
  <c r="C965" i="2"/>
  <c r="D965" i="2"/>
  <c r="B966" i="2"/>
  <c r="C966" i="2"/>
  <c r="D966" i="2"/>
  <c r="B967" i="2"/>
  <c r="C967" i="2"/>
  <c r="D967" i="2"/>
  <c r="B968" i="2"/>
  <c r="C968" i="2"/>
  <c r="D968" i="2"/>
  <c r="B969" i="2"/>
  <c r="C969" i="2"/>
  <c r="D969" i="2"/>
  <c r="B970" i="2"/>
  <c r="C970" i="2"/>
  <c r="D970" i="2"/>
  <c r="B971" i="2"/>
  <c r="C971" i="2"/>
  <c r="D971" i="2"/>
  <c r="B972" i="2"/>
  <c r="C972" i="2"/>
  <c r="D972" i="2"/>
  <c r="B973" i="2"/>
  <c r="C973" i="2"/>
  <c r="D973" i="2"/>
  <c r="B974" i="2"/>
  <c r="C974" i="2"/>
  <c r="D974" i="2"/>
  <c r="B975" i="2"/>
  <c r="C975" i="2"/>
  <c r="D975" i="2"/>
  <c r="B976" i="2"/>
  <c r="C976" i="2"/>
  <c r="D976" i="2"/>
  <c r="B977" i="2"/>
  <c r="C977" i="2"/>
  <c r="D977" i="2"/>
  <c r="B873" i="2"/>
  <c r="C873" i="2"/>
  <c r="D873" i="2"/>
  <c r="B887" i="2"/>
  <c r="C887" i="2"/>
  <c r="D887" i="2"/>
  <c r="B888" i="2"/>
  <c r="C888" i="2"/>
  <c r="D888" i="2"/>
  <c r="B889" i="2"/>
  <c r="C889" i="2"/>
  <c r="D889" i="2"/>
  <c r="B890" i="2"/>
  <c r="C890" i="2"/>
  <c r="D890" i="2"/>
  <c r="B891" i="2"/>
  <c r="C891" i="2"/>
  <c r="D891" i="2"/>
  <c r="B892" i="2"/>
  <c r="C892" i="2"/>
  <c r="D892" i="2"/>
  <c r="B893" i="2"/>
  <c r="C893" i="2"/>
  <c r="D893" i="2"/>
  <c r="B894" i="2"/>
  <c r="C894" i="2"/>
  <c r="D894" i="2"/>
  <c r="B895" i="2"/>
  <c r="C895" i="2"/>
  <c r="D895" i="2"/>
  <c r="B896" i="2"/>
  <c r="C896" i="2"/>
  <c r="D896" i="2"/>
  <c r="B897" i="2"/>
  <c r="C897" i="2"/>
  <c r="D897" i="2"/>
  <c r="B898" i="2"/>
  <c r="C898" i="2"/>
  <c r="D898" i="2"/>
  <c r="B899" i="2"/>
  <c r="C899" i="2"/>
  <c r="D899" i="2"/>
  <c r="B900" i="2"/>
  <c r="C900" i="2"/>
  <c r="D900" i="2"/>
  <c r="B901" i="2"/>
  <c r="C901" i="2"/>
  <c r="D901" i="2"/>
  <c r="B902" i="2"/>
  <c r="C902" i="2"/>
  <c r="D902" i="2"/>
  <c r="B903" i="2"/>
  <c r="C903" i="2"/>
  <c r="D903" i="2"/>
  <c r="B904" i="2"/>
  <c r="C904" i="2"/>
  <c r="D904" i="2"/>
  <c r="B905" i="2"/>
  <c r="C905" i="2"/>
  <c r="D905" i="2"/>
  <c r="B906" i="2"/>
  <c r="C906" i="2"/>
  <c r="D906" i="2"/>
  <c r="B907" i="2"/>
  <c r="C907" i="2"/>
  <c r="D907" i="2"/>
  <c r="B908" i="2"/>
  <c r="C908" i="2"/>
  <c r="D908" i="2"/>
  <c r="B909" i="2"/>
  <c r="C909" i="2"/>
  <c r="D909" i="2"/>
  <c r="B910" i="2"/>
  <c r="C910" i="2"/>
  <c r="D910" i="2"/>
  <c r="B911" i="2"/>
  <c r="C911" i="2"/>
  <c r="D911" i="2"/>
  <c r="B912" i="2"/>
  <c r="C912" i="2"/>
  <c r="D912" i="2"/>
  <c r="B913" i="2"/>
  <c r="C913" i="2"/>
  <c r="D913" i="2"/>
  <c r="B914" i="2"/>
  <c r="C914" i="2"/>
  <c r="D914" i="2"/>
  <c r="B915" i="2"/>
  <c r="C915" i="2"/>
  <c r="D915" i="2"/>
  <c r="B916" i="2"/>
  <c r="C916" i="2"/>
  <c r="D916" i="2"/>
  <c r="B917" i="2"/>
  <c r="C917" i="2"/>
  <c r="D917" i="2"/>
  <c r="B918" i="2"/>
  <c r="C918" i="2"/>
  <c r="D918" i="2"/>
  <c r="B919" i="2"/>
  <c r="C919" i="2"/>
  <c r="D919" i="2"/>
  <c r="B920" i="2"/>
  <c r="C920" i="2"/>
  <c r="D920" i="2"/>
  <c r="B921" i="2"/>
  <c r="C921" i="2"/>
  <c r="D921" i="2"/>
  <c r="B922" i="2"/>
  <c r="C922" i="2"/>
  <c r="D922" i="2"/>
  <c r="B923" i="2"/>
  <c r="C923" i="2"/>
  <c r="D923" i="2"/>
  <c r="B924" i="2"/>
  <c r="C924" i="2"/>
  <c r="D924" i="2"/>
  <c r="B925" i="2"/>
  <c r="C925" i="2"/>
  <c r="D925" i="2"/>
  <c r="B926" i="2"/>
  <c r="C926" i="2"/>
  <c r="D926" i="2"/>
  <c r="B927" i="2"/>
  <c r="C927" i="2"/>
  <c r="D927" i="2"/>
  <c r="B928" i="2"/>
  <c r="C928" i="2"/>
  <c r="D928" i="2"/>
  <c r="B929" i="2"/>
  <c r="C929" i="2"/>
  <c r="D929" i="2"/>
  <c r="B930" i="2"/>
  <c r="C930" i="2"/>
  <c r="D930" i="2"/>
  <c r="B931" i="2"/>
  <c r="C931" i="2"/>
  <c r="D931" i="2"/>
  <c r="B932" i="2"/>
  <c r="C932" i="2"/>
  <c r="D932" i="2"/>
  <c r="B933" i="2"/>
  <c r="C933" i="2"/>
  <c r="D933" i="2"/>
  <c r="B934" i="2"/>
  <c r="C934" i="2"/>
  <c r="D934" i="2"/>
  <c r="B935" i="2"/>
  <c r="C935" i="2"/>
  <c r="D935" i="2"/>
  <c r="B936" i="2"/>
  <c r="C936" i="2"/>
  <c r="D936" i="2"/>
  <c r="B937" i="2"/>
  <c r="C937" i="2"/>
  <c r="D937" i="2"/>
  <c r="B938" i="2"/>
  <c r="C938" i="2"/>
  <c r="D938" i="2"/>
  <c r="B939" i="2"/>
  <c r="C939" i="2"/>
  <c r="D939" i="2"/>
  <c r="B940" i="2"/>
  <c r="C940" i="2"/>
  <c r="D940" i="2"/>
  <c r="B852" i="2"/>
  <c r="C852" i="2"/>
  <c r="D852" i="2"/>
  <c r="B853" i="2"/>
  <c r="C853" i="2"/>
  <c r="D853" i="2"/>
  <c r="B854" i="2"/>
  <c r="C854" i="2"/>
  <c r="D854" i="2"/>
  <c r="B855" i="2"/>
  <c r="C855" i="2"/>
  <c r="D855" i="2"/>
  <c r="B856" i="2"/>
  <c r="C856" i="2"/>
  <c r="D856" i="2"/>
  <c r="B857" i="2"/>
  <c r="C857" i="2"/>
  <c r="D857" i="2"/>
  <c r="B858" i="2"/>
  <c r="C858" i="2"/>
  <c r="D858" i="2"/>
  <c r="B859" i="2"/>
  <c r="C859" i="2"/>
  <c r="D859" i="2"/>
  <c r="B860" i="2"/>
  <c r="C860" i="2"/>
  <c r="D860" i="2"/>
  <c r="B861" i="2"/>
  <c r="C861" i="2"/>
  <c r="D861" i="2"/>
  <c r="B862" i="2"/>
  <c r="C862" i="2"/>
  <c r="D862" i="2"/>
  <c r="B863" i="2"/>
  <c r="C863" i="2"/>
  <c r="D863" i="2"/>
  <c r="B864" i="2"/>
  <c r="C864" i="2"/>
  <c r="D864" i="2"/>
  <c r="B865" i="2"/>
  <c r="C865" i="2"/>
  <c r="D865" i="2"/>
  <c r="B866" i="2"/>
  <c r="C866" i="2"/>
  <c r="D866" i="2"/>
  <c r="B867" i="2"/>
  <c r="C867" i="2"/>
  <c r="D867" i="2"/>
  <c r="B868" i="2"/>
  <c r="C868" i="2"/>
  <c r="D868" i="2"/>
  <c r="B869" i="2"/>
  <c r="C869" i="2"/>
  <c r="D869" i="2"/>
  <c r="B870" i="2"/>
  <c r="C870" i="2"/>
  <c r="D870" i="2"/>
  <c r="B871" i="2"/>
  <c r="C871" i="2"/>
  <c r="D871" i="2"/>
  <c r="B872" i="2"/>
  <c r="C872" i="2"/>
  <c r="D872" i="2"/>
  <c r="B874" i="2"/>
  <c r="C874" i="2"/>
  <c r="D874" i="2"/>
  <c r="B875" i="2"/>
  <c r="C875" i="2"/>
  <c r="D875" i="2"/>
  <c r="B876" i="2"/>
  <c r="C876" i="2"/>
  <c r="D876" i="2"/>
  <c r="B877" i="2"/>
  <c r="C877" i="2"/>
  <c r="D877" i="2"/>
  <c r="B878" i="2"/>
  <c r="C878" i="2"/>
  <c r="D878" i="2"/>
  <c r="B879" i="2"/>
  <c r="C879" i="2"/>
  <c r="D879" i="2"/>
  <c r="B880" i="2"/>
  <c r="C880" i="2"/>
  <c r="D880" i="2"/>
  <c r="B881" i="2"/>
  <c r="C881" i="2"/>
  <c r="D881" i="2"/>
  <c r="B882" i="2"/>
  <c r="C882" i="2"/>
  <c r="D882" i="2"/>
  <c r="B883" i="2"/>
  <c r="C883" i="2"/>
  <c r="D883" i="2"/>
  <c r="B884" i="2"/>
  <c r="C884" i="2"/>
  <c r="D884" i="2"/>
  <c r="B885" i="2"/>
  <c r="C885" i="2"/>
  <c r="D885" i="2"/>
  <c r="B886" i="2"/>
  <c r="C886" i="2"/>
  <c r="D886" i="2"/>
  <c r="J1288" i="14"/>
  <c r="H1288" i="14"/>
  <c r="F1288" i="14"/>
  <c r="E1288" i="14"/>
  <c r="I1288" i="14" s="1"/>
  <c r="J1287" i="14"/>
  <c r="H1287" i="14"/>
  <c r="F1287" i="14"/>
  <c r="E1287" i="14"/>
  <c r="I1287" i="14" s="1"/>
  <c r="J1286" i="14"/>
  <c r="H1286" i="14"/>
  <c r="F1286" i="14"/>
  <c r="E1286" i="14"/>
  <c r="I1286" i="14" s="1"/>
  <c r="J1285" i="14"/>
  <c r="H1285" i="14"/>
  <c r="F1285" i="14"/>
  <c r="E1285" i="14"/>
  <c r="I1285" i="14" s="1"/>
  <c r="J1284" i="14"/>
  <c r="H1284" i="14"/>
  <c r="F1284" i="14"/>
  <c r="E1284" i="14"/>
  <c r="I1284" i="14" s="1"/>
  <c r="J1283" i="14"/>
  <c r="H1283" i="14"/>
  <c r="F1283" i="14"/>
  <c r="E1283" i="14"/>
  <c r="I1283" i="14" s="1"/>
  <c r="J1282" i="14"/>
  <c r="H1282" i="14"/>
  <c r="F1282" i="14"/>
  <c r="E1282" i="14"/>
  <c r="I1282" i="14" s="1"/>
  <c r="J1281" i="14"/>
  <c r="H1281" i="14"/>
  <c r="F1281" i="14"/>
  <c r="E1281" i="14"/>
  <c r="I1281" i="14" s="1"/>
  <c r="J1280" i="14"/>
  <c r="H1280" i="14"/>
  <c r="F1280" i="14"/>
  <c r="E1280" i="14"/>
  <c r="I1280" i="14" s="1"/>
  <c r="J1279" i="14"/>
  <c r="H1279" i="14"/>
  <c r="F1279" i="14"/>
  <c r="E1279" i="14"/>
  <c r="I1279" i="14" s="1"/>
  <c r="J1278" i="14"/>
  <c r="H1278" i="14"/>
  <c r="F1278" i="14"/>
  <c r="E1278" i="14"/>
  <c r="I1278" i="14" s="1"/>
  <c r="J1244" i="14"/>
  <c r="H1244" i="14"/>
  <c r="F1244" i="14"/>
  <c r="E1244" i="14"/>
  <c r="I1244" i="14" s="1"/>
  <c r="J1243" i="14"/>
  <c r="H1243" i="14"/>
  <c r="F1243" i="14"/>
  <c r="E1243" i="14"/>
  <c r="I1243" i="14" s="1"/>
  <c r="J1242" i="14"/>
  <c r="H1242" i="14"/>
  <c r="F1242" i="14"/>
  <c r="E1242" i="14"/>
  <c r="I1242" i="14" s="1"/>
  <c r="J1241" i="14"/>
  <c r="H1241" i="14"/>
  <c r="F1241" i="14"/>
  <c r="E1241" i="14"/>
  <c r="I1241" i="14" s="1"/>
  <c r="J1240" i="14"/>
  <c r="H1240" i="14"/>
  <c r="F1240" i="14"/>
  <c r="E1240" i="14"/>
  <c r="I1240" i="14" s="1"/>
  <c r="J1239" i="14"/>
  <c r="H1239" i="14"/>
  <c r="F1239" i="14"/>
  <c r="E1239" i="14"/>
  <c r="I1239" i="14" s="1"/>
  <c r="J1238" i="14"/>
  <c r="H1238" i="14"/>
  <c r="F1238" i="14"/>
  <c r="E1238" i="14"/>
  <c r="I1238" i="14" s="1"/>
  <c r="J1237" i="14"/>
  <c r="H1237" i="14"/>
  <c r="F1237" i="14"/>
  <c r="E1237" i="14"/>
  <c r="I1237" i="14" s="1"/>
  <c r="J1236" i="14"/>
  <c r="H1236" i="14"/>
  <c r="F1236" i="14"/>
  <c r="E1236" i="14"/>
  <c r="I1236" i="14" s="1"/>
  <c r="J1235" i="14"/>
  <c r="H1235" i="14"/>
  <c r="F1235" i="14"/>
  <c r="E1235" i="14"/>
  <c r="I1235" i="14" s="1"/>
  <c r="J1234" i="14"/>
  <c r="H1234" i="14"/>
  <c r="F1234" i="14"/>
  <c r="E1234" i="14"/>
  <c r="I1234" i="14" s="1"/>
  <c r="J1200" i="14"/>
  <c r="H1200" i="14"/>
  <c r="F1200" i="14"/>
  <c r="E1200" i="14"/>
  <c r="I1200" i="14" s="1"/>
  <c r="J1199" i="14"/>
  <c r="H1199" i="14"/>
  <c r="F1199" i="14"/>
  <c r="E1199" i="14"/>
  <c r="I1199" i="14" s="1"/>
  <c r="J1198" i="14"/>
  <c r="H1198" i="14"/>
  <c r="F1198" i="14"/>
  <c r="E1198" i="14"/>
  <c r="I1198" i="14" s="1"/>
  <c r="J1197" i="14"/>
  <c r="H1197" i="14"/>
  <c r="F1197" i="14"/>
  <c r="E1197" i="14"/>
  <c r="I1197" i="14" s="1"/>
  <c r="J1196" i="14"/>
  <c r="H1196" i="14"/>
  <c r="F1196" i="14"/>
  <c r="E1196" i="14"/>
  <c r="I1196" i="14" s="1"/>
  <c r="J1195" i="14"/>
  <c r="H1195" i="14"/>
  <c r="F1195" i="14"/>
  <c r="E1195" i="14"/>
  <c r="I1195" i="14" s="1"/>
  <c r="J1194" i="14"/>
  <c r="H1194" i="14"/>
  <c r="F1194" i="14"/>
  <c r="E1194" i="14"/>
  <c r="I1194" i="14" s="1"/>
  <c r="J1193" i="14"/>
  <c r="H1193" i="14"/>
  <c r="F1193" i="14"/>
  <c r="E1193" i="14"/>
  <c r="I1193" i="14" s="1"/>
  <c r="J1192" i="14"/>
  <c r="H1192" i="14"/>
  <c r="F1192" i="14"/>
  <c r="E1192" i="14"/>
  <c r="I1192" i="14" s="1"/>
  <c r="J1191" i="14"/>
  <c r="H1191" i="14"/>
  <c r="F1191" i="14"/>
  <c r="E1191" i="14"/>
  <c r="I1191" i="14" s="1"/>
  <c r="J1190" i="14"/>
  <c r="H1190" i="14"/>
  <c r="F1190" i="14"/>
  <c r="E1190" i="14"/>
  <c r="I1190" i="14" s="1"/>
  <c r="J1156" i="14"/>
  <c r="H1156" i="14"/>
  <c r="F1156" i="14"/>
  <c r="E1156" i="14"/>
  <c r="I1156" i="14" s="1"/>
  <c r="J1155" i="14"/>
  <c r="H1155" i="14"/>
  <c r="F1155" i="14"/>
  <c r="E1155" i="14"/>
  <c r="I1155" i="14" s="1"/>
  <c r="J1154" i="14"/>
  <c r="H1154" i="14"/>
  <c r="F1154" i="14"/>
  <c r="E1154" i="14"/>
  <c r="I1154" i="14" s="1"/>
  <c r="J1153" i="14"/>
  <c r="H1153" i="14"/>
  <c r="F1153" i="14"/>
  <c r="E1153" i="14"/>
  <c r="I1153" i="14" s="1"/>
  <c r="J1152" i="14"/>
  <c r="H1152" i="14"/>
  <c r="F1152" i="14"/>
  <c r="E1152" i="14"/>
  <c r="I1152" i="14" s="1"/>
  <c r="J1151" i="14"/>
  <c r="H1151" i="14"/>
  <c r="F1151" i="14"/>
  <c r="E1151" i="14"/>
  <c r="I1151" i="14" s="1"/>
  <c r="J1150" i="14"/>
  <c r="H1150" i="14"/>
  <c r="F1150" i="14"/>
  <c r="E1150" i="14"/>
  <c r="I1150" i="14" s="1"/>
  <c r="J1149" i="14"/>
  <c r="H1149" i="14"/>
  <c r="F1149" i="14"/>
  <c r="E1149" i="14"/>
  <c r="I1149" i="14" s="1"/>
  <c r="J1148" i="14"/>
  <c r="H1148" i="14"/>
  <c r="F1148" i="14"/>
  <c r="E1148" i="14"/>
  <c r="I1148" i="14" s="1"/>
  <c r="J1147" i="14"/>
  <c r="H1147" i="14"/>
  <c r="F1147" i="14"/>
  <c r="E1147" i="14"/>
  <c r="I1147" i="14" s="1"/>
  <c r="J1146" i="14"/>
  <c r="H1146" i="14"/>
  <c r="F1146" i="14"/>
  <c r="E1146" i="14"/>
  <c r="I1146" i="14" s="1"/>
  <c r="J1112" i="14"/>
  <c r="H1112" i="14"/>
  <c r="F1112" i="14"/>
  <c r="E1112" i="14"/>
  <c r="I1112" i="14" s="1"/>
  <c r="J1111" i="14"/>
  <c r="H1111" i="14"/>
  <c r="F1111" i="14"/>
  <c r="E1111" i="14"/>
  <c r="I1111" i="14" s="1"/>
  <c r="J1110" i="14"/>
  <c r="H1110" i="14"/>
  <c r="F1110" i="14"/>
  <c r="E1110" i="14"/>
  <c r="I1110" i="14" s="1"/>
  <c r="J1109" i="14"/>
  <c r="H1109" i="14"/>
  <c r="F1109" i="14"/>
  <c r="E1109" i="14"/>
  <c r="I1109" i="14" s="1"/>
  <c r="J1108" i="14"/>
  <c r="H1108" i="14"/>
  <c r="F1108" i="14"/>
  <c r="E1108" i="14"/>
  <c r="I1108" i="14" s="1"/>
  <c r="J1107" i="14"/>
  <c r="H1107" i="14"/>
  <c r="F1107" i="14"/>
  <c r="E1107" i="14"/>
  <c r="I1107" i="14" s="1"/>
  <c r="J1106" i="14"/>
  <c r="H1106" i="14"/>
  <c r="F1106" i="14"/>
  <c r="E1106" i="14"/>
  <c r="I1106" i="14" s="1"/>
  <c r="J1105" i="14"/>
  <c r="H1105" i="14"/>
  <c r="F1105" i="14"/>
  <c r="E1105" i="14"/>
  <c r="I1105" i="14" s="1"/>
  <c r="J1104" i="14"/>
  <c r="H1104" i="14"/>
  <c r="F1104" i="14"/>
  <c r="E1104" i="14"/>
  <c r="I1104" i="14" s="1"/>
  <c r="J1103" i="14"/>
  <c r="H1103" i="14"/>
  <c r="F1103" i="14"/>
  <c r="E1103" i="14"/>
  <c r="I1103" i="14" s="1"/>
  <c r="J1102" i="14"/>
  <c r="H1102" i="14"/>
  <c r="F1102" i="14"/>
  <c r="E1102" i="14"/>
  <c r="I1102" i="14" s="1"/>
  <c r="J1068" i="14"/>
  <c r="H1068" i="14"/>
  <c r="F1068" i="14"/>
  <c r="E1068" i="14"/>
  <c r="I1068" i="14" s="1"/>
  <c r="J1067" i="14"/>
  <c r="H1067" i="14"/>
  <c r="F1067" i="14"/>
  <c r="E1067" i="14"/>
  <c r="I1067" i="14" s="1"/>
  <c r="J1066" i="14"/>
  <c r="H1066" i="14"/>
  <c r="F1066" i="14"/>
  <c r="E1066" i="14"/>
  <c r="I1066" i="14" s="1"/>
  <c r="J1065" i="14"/>
  <c r="H1065" i="14"/>
  <c r="F1065" i="14"/>
  <c r="E1065" i="14"/>
  <c r="I1065" i="14" s="1"/>
  <c r="J1064" i="14"/>
  <c r="H1064" i="14"/>
  <c r="F1064" i="14"/>
  <c r="E1064" i="14"/>
  <c r="I1064" i="14" s="1"/>
  <c r="J1063" i="14"/>
  <c r="H1063" i="14"/>
  <c r="F1063" i="14"/>
  <c r="E1063" i="14"/>
  <c r="I1063" i="14" s="1"/>
  <c r="J1062" i="14"/>
  <c r="H1062" i="14"/>
  <c r="F1062" i="14"/>
  <c r="E1062" i="14"/>
  <c r="I1062" i="14" s="1"/>
  <c r="J1061" i="14"/>
  <c r="H1061" i="14"/>
  <c r="F1061" i="14"/>
  <c r="E1061" i="14"/>
  <c r="I1061" i="14" s="1"/>
  <c r="J1060" i="14"/>
  <c r="H1060" i="14"/>
  <c r="F1060" i="14"/>
  <c r="E1060" i="14"/>
  <c r="I1060" i="14" s="1"/>
  <c r="J1059" i="14"/>
  <c r="H1059" i="14"/>
  <c r="F1059" i="14"/>
  <c r="E1059" i="14"/>
  <c r="I1059" i="14" s="1"/>
  <c r="J1058" i="14"/>
  <c r="H1058" i="14"/>
  <c r="F1058" i="14"/>
  <c r="E1058" i="14"/>
  <c r="I1058" i="14" s="1"/>
  <c r="J1024" i="14"/>
  <c r="H1024" i="14"/>
  <c r="F1024" i="14"/>
  <c r="E1024" i="14"/>
  <c r="I1024" i="14" s="1"/>
  <c r="J1023" i="14"/>
  <c r="H1023" i="14"/>
  <c r="F1023" i="14"/>
  <c r="E1023" i="14"/>
  <c r="I1023" i="14" s="1"/>
  <c r="J1022" i="14"/>
  <c r="H1022" i="14"/>
  <c r="F1022" i="14"/>
  <c r="E1022" i="14"/>
  <c r="I1022" i="14" s="1"/>
  <c r="J1021" i="14"/>
  <c r="H1021" i="14"/>
  <c r="F1021" i="14"/>
  <c r="E1021" i="14"/>
  <c r="I1021" i="14" s="1"/>
  <c r="J1020" i="14"/>
  <c r="H1020" i="14"/>
  <c r="F1020" i="14"/>
  <c r="E1020" i="14"/>
  <c r="I1020" i="14" s="1"/>
  <c r="J1019" i="14"/>
  <c r="H1019" i="14"/>
  <c r="F1019" i="14"/>
  <c r="E1019" i="14"/>
  <c r="I1019" i="14" s="1"/>
  <c r="J1018" i="14"/>
  <c r="H1018" i="14"/>
  <c r="F1018" i="14"/>
  <c r="E1018" i="14"/>
  <c r="I1018" i="14" s="1"/>
  <c r="J1017" i="14"/>
  <c r="H1017" i="14"/>
  <c r="F1017" i="14"/>
  <c r="E1017" i="14"/>
  <c r="I1017" i="14" s="1"/>
  <c r="J1016" i="14"/>
  <c r="H1016" i="14"/>
  <c r="F1016" i="14"/>
  <c r="E1016" i="14"/>
  <c r="I1016" i="14" s="1"/>
  <c r="J1015" i="14"/>
  <c r="H1015" i="14"/>
  <c r="F1015" i="14"/>
  <c r="E1015" i="14"/>
  <c r="I1015" i="14" s="1"/>
  <c r="J1014" i="14"/>
  <c r="H1014" i="14"/>
  <c r="F1014" i="14"/>
  <c r="E1014" i="14"/>
  <c r="I1014" i="14" s="1"/>
  <c r="J980" i="14"/>
  <c r="H980" i="14"/>
  <c r="F980" i="14"/>
  <c r="E980" i="14"/>
  <c r="I980" i="14" s="1"/>
  <c r="J979" i="14"/>
  <c r="H979" i="14"/>
  <c r="F979" i="14"/>
  <c r="E979" i="14"/>
  <c r="I979" i="14" s="1"/>
  <c r="J978" i="14"/>
  <c r="H978" i="14"/>
  <c r="F978" i="14"/>
  <c r="E978" i="14"/>
  <c r="I978" i="14" s="1"/>
  <c r="J977" i="14"/>
  <c r="H977" i="14"/>
  <c r="F977" i="14"/>
  <c r="E977" i="14"/>
  <c r="I977" i="14" s="1"/>
  <c r="J976" i="14"/>
  <c r="H976" i="14"/>
  <c r="F976" i="14"/>
  <c r="E976" i="14"/>
  <c r="I976" i="14" s="1"/>
  <c r="J975" i="14"/>
  <c r="H975" i="14"/>
  <c r="F975" i="14"/>
  <c r="E975" i="14"/>
  <c r="I975" i="14" s="1"/>
  <c r="J974" i="14"/>
  <c r="H974" i="14"/>
  <c r="F974" i="14"/>
  <c r="E974" i="14"/>
  <c r="I974" i="14" s="1"/>
  <c r="J973" i="14"/>
  <c r="H973" i="14"/>
  <c r="F973" i="14"/>
  <c r="E973" i="14"/>
  <c r="I973" i="14" s="1"/>
  <c r="J972" i="14"/>
  <c r="H972" i="14"/>
  <c r="F972" i="14"/>
  <c r="E972" i="14"/>
  <c r="I972" i="14" s="1"/>
  <c r="J971" i="14"/>
  <c r="H971" i="14"/>
  <c r="F971" i="14"/>
  <c r="E971" i="14"/>
  <c r="I971" i="14" s="1"/>
  <c r="J970" i="14"/>
  <c r="H970" i="14"/>
  <c r="F970" i="14"/>
  <c r="E970" i="14"/>
  <c r="I970" i="14" s="1"/>
  <c r="J936" i="14"/>
  <c r="H936" i="14"/>
  <c r="F936" i="14"/>
  <c r="E936" i="14"/>
  <c r="I936" i="14" s="1"/>
  <c r="J935" i="14"/>
  <c r="H935" i="14"/>
  <c r="F935" i="14"/>
  <c r="E935" i="14"/>
  <c r="I935" i="14" s="1"/>
  <c r="J934" i="14"/>
  <c r="H934" i="14"/>
  <c r="F934" i="14"/>
  <c r="E934" i="14"/>
  <c r="I934" i="14" s="1"/>
  <c r="J933" i="14"/>
  <c r="H933" i="14"/>
  <c r="F933" i="14"/>
  <c r="E933" i="14"/>
  <c r="I933" i="14" s="1"/>
  <c r="J932" i="14"/>
  <c r="H932" i="14"/>
  <c r="F932" i="14"/>
  <c r="E932" i="14"/>
  <c r="I932" i="14" s="1"/>
  <c r="J931" i="14"/>
  <c r="H931" i="14"/>
  <c r="F931" i="14"/>
  <c r="E931" i="14"/>
  <c r="I931" i="14" s="1"/>
  <c r="J930" i="14"/>
  <c r="H930" i="14"/>
  <c r="F930" i="14"/>
  <c r="E930" i="14"/>
  <c r="I930" i="14" s="1"/>
  <c r="J929" i="14"/>
  <c r="H929" i="14"/>
  <c r="F929" i="14"/>
  <c r="E929" i="14"/>
  <c r="I929" i="14" s="1"/>
  <c r="J928" i="14"/>
  <c r="H928" i="14"/>
  <c r="J927" i="14"/>
  <c r="H927" i="14"/>
  <c r="H926" i="14"/>
  <c r="H892" i="14"/>
  <c r="J891" i="14"/>
  <c r="H891" i="14"/>
  <c r="F891" i="14"/>
  <c r="E891" i="14"/>
  <c r="I891" i="14" s="1"/>
  <c r="J890" i="14"/>
  <c r="H890" i="14"/>
  <c r="F890" i="14"/>
  <c r="E890" i="14"/>
  <c r="I890" i="14" s="1"/>
  <c r="J889" i="14"/>
  <c r="H889" i="14"/>
  <c r="F889" i="14"/>
  <c r="E889" i="14"/>
  <c r="I889" i="14" s="1"/>
  <c r="J888" i="14"/>
  <c r="H888" i="14"/>
  <c r="F888" i="14"/>
  <c r="E888" i="14"/>
  <c r="I888" i="14" s="1"/>
  <c r="J887" i="14"/>
  <c r="H887" i="14"/>
  <c r="F887" i="14"/>
  <c r="E887" i="14"/>
  <c r="I887" i="14" s="1"/>
  <c r="J886" i="14"/>
  <c r="H886" i="14"/>
  <c r="F886" i="14"/>
  <c r="E886" i="14"/>
  <c r="I886" i="14" s="1"/>
  <c r="J885" i="14"/>
  <c r="H885" i="14"/>
  <c r="F885" i="14"/>
  <c r="E885" i="14"/>
  <c r="I885" i="14" s="1"/>
  <c r="J884" i="14"/>
  <c r="H884" i="14"/>
  <c r="F884" i="14"/>
  <c r="E884" i="14"/>
  <c r="I884" i="14" s="1"/>
  <c r="J883" i="14"/>
  <c r="H883" i="14"/>
  <c r="F883" i="14"/>
  <c r="E883" i="14"/>
  <c r="I883" i="14" s="1"/>
  <c r="J882" i="14"/>
  <c r="H882" i="14"/>
  <c r="F882" i="14"/>
  <c r="E882" i="14"/>
  <c r="I882" i="14" s="1"/>
  <c r="B810" i="2"/>
  <c r="C810" i="2"/>
  <c r="D810" i="2"/>
  <c r="B811" i="2"/>
  <c r="C811" i="2"/>
  <c r="D811" i="2"/>
  <c r="B812" i="2"/>
  <c r="C812" i="2"/>
  <c r="D812" i="2"/>
  <c r="B813" i="2"/>
  <c r="C813" i="2"/>
  <c r="D813" i="2"/>
  <c r="B814" i="2"/>
  <c r="C814" i="2"/>
  <c r="D814" i="2"/>
  <c r="B815" i="2"/>
  <c r="C815" i="2"/>
  <c r="D815" i="2"/>
  <c r="B816" i="2"/>
  <c r="C816" i="2"/>
  <c r="D816" i="2"/>
  <c r="B817" i="2"/>
  <c r="C817" i="2"/>
  <c r="D817" i="2"/>
  <c r="B818" i="2"/>
  <c r="C818" i="2"/>
  <c r="D818" i="2"/>
  <c r="B819" i="2"/>
  <c r="C819" i="2"/>
  <c r="D819" i="2"/>
  <c r="B820" i="2"/>
  <c r="C820" i="2"/>
  <c r="D820" i="2"/>
  <c r="B821" i="2"/>
  <c r="C821" i="2"/>
  <c r="D821" i="2"/>
  <c r="B822" i="2"/>
  <c r="C822" i="2"/>
  <c r="D822" i="2"/>
  <c r="B823" i="2"/>
  <c r="C823" i="2"/>
  <c r="D823" i="2"/>
  <c r="B824" i="2"/>
  <c r="C824" i="2"/>
  <c r="D824" i="2"/>
  <c r="B825" i="2"/>
  <c r="C825" i="2"/>
  <c r="D825" i="2"/>
  <c r="B826" i="2"/>
  <c r="C826" i="2"/>
  <c r="D826" i="2"/>
  <c r="B827" i="2"/>
  <c r="C827" i="2"/>
  <c r="D827" i="2"/>
  <c r="B828" i="2"/>
  <c r="C828" i="2"/>
  <c r="D828" i="2"/>
  <c r="B829" i="2"/>
  <c r="C829" i="2"/>
  <c r="D829" i="2"/>
  <c r="B830" i="2"/>
  <c r="C830" i="2"/>
  <c r="D830" i="2"/>
  <c r="B831" i="2"/>
  <c r="C831" i="2"/>
  <c r="D831" i="2"/>
  <c r="B832" i="2"/>
  <c r="C832" i="2"/>
  <c r="D832" i="2"/>
  <c r="B833" i="2"/>
  <c r="C833" i="2"/>
  <c r="D833" i="2"/>
  <c r="B834" i="2"/>
  <c r="C834" i="2"/>
  <c r="D834" i="2"/>
  <c r="B835" i="2"/>
  <c r="C835" i="2"/>
  <c r="D835" i="2"/>
  <c r="B836" i="2"/>
  <c r="C836" i="2"/>
  <c r="D836" i="2"/>
  <c r="B837" i="2"/>
  <c r="C837" i="2"/>
  <c r="D837" i="2"/>
  <c r="B838" i="2"/>
  <c r="C838" i="2"/>
  <c r="D838" i="2"/>
  <c r="B839" i="2"/>
  <c r="C839" i="2"/>
  <c r="D839" i="2"/>
  <c r="B840" i="2"/>
  <c r="C840" i="2"/>
  <c r="D840" i="2"/>
  <c r="B841" i="2"/>
  <c r="C841" i="2"/>
  <c r="D841" i="2"/>
  <c r="B842" i="2"/>
  <c r="C842" i="2"/>
  <c r="D842" i="2"/>
  <c r="B843" i="2"/>
  <c r="C843" i="2"/>
  <c r="D843" i="2"/>
  <c r="B844" i="2"/>
  <c r="C844" i="2"/>
  <c r="D844" i="2"/>
  <c r="B845" i="2"/>
  <c r="C845" i="2"/>
  <c r="D845" i="2"/>
  <c r="B846" i="2"/>
  <c r="C846" i="2"/>
  <c r="D846" i="2"/>
  <c r="B847" i="2"/>
  <c r="C847" i="2"/>
  <c r="D847" i="2"/>
  <c r="B848" i="2"/>
  <c r="C848" i="2"/>
  <c r="D848" i="2"/>
  <c r="B849" i="2"/>
  <c r="C849" i="2"/>
  <c r="D849" i="2"/>
  <c r="B850" i="2"/>
  <c r="C850" i="2"/>
  <c r="D850" i="2"/>
  <c r="B851" i="2"/>
  <c r="C851" i="2"/>
  <c r="D851" i="2"/>
  <c r="B787" i="2"/>
  <c r="C787" i="2"/>
  <c r="D787" i="2"/>
  <c r="B788" i="2"/>
  <c r="C788" i="2"/>
  <c r="D788" i="2"/>
  <c r="B789" i="2"/>
  <c r="C789" i="2"/>
  <c r="D789" i="2"/>
  <c r="B790" i="2"/>
  <c r="C790" i="2"/>
  <c r="D790" i="2"/>
  <c r="B791" i="2"/>
  <c r="C791" i="2"/>
  <c r="D791" i="2"/>
  <c r="B792" i="2"/>
  <c r="C792" i="2"/>
  <c r="D792" i="2"/>
  <c r="B793" i="2"/>
  <c r="C793" i="2"/>
  <c r="D793" i="2"/>
  <c r="B794" i="2"/>
  <c r="C794" i="2"/>
  <c r="D794" i="2"/>
  <c r="B795" i="2"/>
  <c r="C795" i="2"/>
  <c r="D795" i="2"/>
  <c r="B796" i="2"/>
  <c r="C796" i="2"/>
  <c r="D796" i="2"/>
  <c r="B797" i="2"/>
  <c r="C797" i="2"/>
  <c r="D797" i="2"/>
  <c r="B798" i="2"/>
  <c r="C798" i="2"/>
  <c r="D798" i="2"/>
  <c r="B799" i="2"/>
  <c r="C799" i="2"/>
  <c r="D799" i="2"/>
  <c r="B800" i="2"/>
  <c r="C800" i="2"/>
  <c r="D800" i="2"/>
  <c r="B801" i="2"/>
  <c r="C801" i="2"/>
  <c r="D801" i="2"/>
  <c r="B802" i="2"/>
  <c r="C802" i="2"/>
  <c r="D802" i="2"/>
  <c r="B803" i="2"/>
  <c r="C803" i="2"/>
  <c r="D803" i="2"/>
  <c r="B804" i="2"/>
  <c r="C804" i="2"/>
  <c r="D804" i="2"/>
  <c r="B805" i="2"/>
  <c r="C805" i="2"/>
  <c r="D805" i="2"/>
  <c r="B806" i="2"/>
  <c r="C806" i="2"/>
  <c r="D806" i="2"/>
  <c r="B807" i="2"/>
  <c r="C807" i="2"/>
  <c r="D807" i="2"/>
  <c r="B808" i="2"/>
  <c r="C808" i="2"/>
  <c r="D808" i="2"/>
  <c r="B809" i="2"/>
  <c r="C809" i="2"/>
  <c r="D809" i="2"/>
  <c r="B767" i="2"/>
  <c r="C767" i="2"/>
  <c r="D767" i="2"/>
  <c r="B768" i="2"/>
  <c r="C768" i="2"/>
  <c r="D768" i="2"/>
  <c r="B769" i="2"/>
  <c r="C769" i="2"/>
  <c r="D769" i="2"/>
  <c r="B770" i="2"/>
  <c r="C770" i="2"/>
  <c r="D770" i="2"/>
  <c r="B771" i="2"/>
  <c r="C771" i="2"/>
  <c r="D771" i="2"/>
  <c r="B772" i="2"/>
  <c r="C772" i="2"/>
  <c r="D772" i="2"/>
  <c r="B773" i="2"/>
  <c r="C773" i="2"/>
  <c r="D773" i="2"/>
  <c r="B774" i="2"/>
  <c r="C774" i="2"/>
  <c r="D774" i="2"/>
  <c r="B775" i="2"/>
  <c r="C775" i="2"/>
  <c r="D775" i="2"/>
  <c r="B776" i="2"/>
  <c r="C776" i="2"/>
  <c r="D776" i="2"/>
  <c r="B777" i="2"/>
  <c r="C777" i="2"/>
  <c r="D777" i="2"/>
  <c r="B778" i="2"/>
  <c r="C778" i="2"/>
  <c r="D778" i="2"/>
  <c r="B779" i="2"/>
  <c r="C779" i="2"/>
  <c r="D779" i="2"/>
  <c r="B780" i="2"/>
  <c r="C780" i="2"/>
  <c r="D780" i="2"/>
  <c r="B781" i="2"/>
  <c r="C781" i="2"/>
  <c r="D781" i="2"/>
  <c r="B782" i="2"/>
  <c r="C782" i="2"/>
  <c r="D782" i="2"/>
  <c r="B783" i="2"/>
  <c r="C783" i="2"/>
  <c r="D783" i="2"/>
  <c r="B784" i="2"/>
  <c r="C784" i="2"/>
  <c r="D784" i="2"/>
  <c r="B785" i="2"/>
  <c r="C785" i="2"/>
  <c r="D785" i="2"/>
  <c r="B786" i="2"/>
  <c r="C786" i="2"/>
  <c r="D786" i="2"/>
  <c r="D80" i="13"/>
  <c r="D79" i="13"/>
  <c r="D78" i="13"/>
  <c r="D77" i="13"/>
  <c r="D76" i="13"/>
  <c r="D75" i="13"/>
  <c r="D74" i="13"/>
  <c r="D73" i="13"/>
  <c r="D72" i="13"/>
  <c r="B748" i="2"/>
  <c r="C748" i="2"/>
  <c r="D748" i="2"/>
  <c r="B749" i="2"/>
  <c r="C749" i="2"/>
  <c r="D749" i="2"/>
  <c r="B750" i="2"/>
  <c r="C750" i="2"/>
  <c r="D750" i="2"/>
  <c r="B751" i="2"/>
  <c r="C751" i="2"/>
  <c r="D751" i="2"/>
  <c r="B752" i="2"/>
  <c r="C752" i="2"/>
  <c r="D752" i="2"/>
  <c r="B753" i="2"/>
  <c r="C753" i="2"/>
  <c r="D753" i="2"/>
  <c r="B754" i="2"/>
  <c r="C754" i="2"/>
  <c r="D754" i="2"/>
  <c r="B755" i="2"/>
  <c r="C755" i="2"/>
  <c r="D755" i="2"/>
  <c r="B756" i="2"/>
  <c r="C756" i="2"/>
  <c r="D756" i="2"/>
  <c r="B757" i="2"/>
  <c r="C757" i="2"/>
  <c r="D757" i="2"/>
  <c r="B758" i="2"/>
  <c r="C758" i="2"/>
  <c r="D758" i="2"/>
  <c r="B759" i="2"/>
  <c r="C759" i="2"/>
  <c r="D759" i="2"/>
  <c r="B760" i="2"/>
  <c r="C760" i="2"/>
  <c r="D760" i="2"/>
  <c r="B761" i="2"/>
  <c r="C761" i="2"/>
  <c r="D761" i="2"/>
  <c r="B762" i="2"/>
  <c r="C762" i="2"/>
  <c r="D762" i="2"/>
  <c r="B763" i="2"/>
  <c r="C763" i="2"/>
  <c r="D763" i="2"/>
  <c r="B764" i="2"/>
  <c r="C764" i="2"/>
  <c r="D764" i="2"/>
  <c r="B765" i="2"/>
  <c r="C765" i="2"/>
  <c r="D765" i="2"/>
  <c r="B766" i="2"/>
  <c r="C766" i="2"/>
  <c r="D766" i="2"/>
  <c r="B741" i="2"/>
  <c r="C741" i="2"/>
  <c r="D741" i="2"/>
  <c r="B742" i="2"/>
  <c r="C742" i="2"/>
  <c r="D742" i="2"/>
  <c r="B743" i="2"/>
  <c r="C743" i="2"/>
  <c r="D743" i="2"/>
  <c r="B744" i="2"/>
  <c r="C744" i="2"/>
  <c r="D744" i="2"/>
  <c r="B745" i="2"/>
  <c r="C745" i="2"/>
  <c r="D745" i="2"/>
  <c r="B746" i="2"/>
  <c r="C746" i="2"/>
  <c r="D746" i="2"/>
  <c r="B747" i="2"/>
  <c r="C747" i="2"/>
  <c r="D747" i="2"/>
  <c r="B738" i="2"/>
  <c r="C738" i="2"/>
  <c r="D738" i="2"/>
  <c r="B739" i="2"/>
  <c r="C739" i="2"/>
  <c r="D739" i="2"/>
  <c r="B740" i="2"/>
  <c r="C740" i="2"/>
  <c r="D740" i="2"/>
  <c r="B734" i="2"/>
  <c r="C734" i="2"/>
  <c r="D734" i="2"/>
  <c r="B735" i="2"/>
  <c r="C735" i="2"/>
  <c r="D735" i="2"/>
  <c r="B736" i="2"/>
  <c r="C736" i="2"/>
  <c r="D736" i="2"/>
  <c r="B737" i="2"/>
  <c r="C737" i="2"/>
  <c r="D737" i="2"/>
  <c r="B733" i="2"/>
  <c r="C733" i="2"/>
  <c r="D733" i="2"/>
  <c r="B722" i="2"/>
  <c r="B723" i="2"/>
  <c r="B724" i="2"/>
  <c r="B725" i="2"/>
  <c r="B726" i="2"/>
  <c r="B727" i="2"/>
  <c r="B728" i="2"/>
  <c r="B729" i="2"/>
  <c r="B730" i="2"/>
  <c r="B731" i="2"/>
  <c r="B732" i="2"/>
  <c r="B721" i="2"/>
  <c r="D721" i="2"/>
  <c r="D722" i="2"/>
  <c r="D723" i="2"/>
  <c r="D724" i="2"/>
  <c r="D725" i="2"/>
  <c r="D726" i="2"/>
  <c r="D727" i="2"/>
  <c r="D728" i="2"/>
  <c r="D729" i="2"/>
  <c r="D730" i="2"/>
  <c r="D731" i="2"/>
  <c r="D732" i="2"/>
  <c r="C721" i="2"/>
  <c r="C722" i="2"/>
  <c r="C723" i="2"/>
  <c r="C724" i="2"/>
  <c r="C725" i="2"/>
  <c r="C726" i="2"/>
  <c r="C727" i="2"/>
  <c r="C728" i="2"/>
  <c r="C729" i="2"/>
  <c r="C730" i="2"/>
  <c r="C731" i="2"/>
  <c r="C732" i="2"/>
  <c r="E2" i="16"/>
  <c r="D62" i="13"/>
  <c r="D48" i="13"/>
  <c r="D49" i="13"/>
  <c r="D50" i="13"/>
  <c r="D51" i="13"/>
  <c r="D52" i="13"/>
  <c r="D53" i="13"/>
  <c r="D54" i="13"/>
  <c r="D55" i="13"/>
  <c r="D56" i="13"/>
  <c r="D57" i="13"/>
  <c r="D58" i="13"/>
  <c r="D59" i="13"/>
  <c r="D60" i="13"/>
  <c r="D61" i="13"/>
  <c r="D63" i="13"/>
  <c r="D64" i="13"/>
  <c r="D65" i="13"/>
  <c r="D66" i="13"/>
  <c r="D67" i="13"/>
  <c r="D68" i="13"/>
  <c r="D69" i="13"/>
  <c r="D70" i="13"/>
  <c r="D71" i="13"/>
  <c r="D2" i="1"/>
  <c r="B698" i="2"/>
  <c r="B719" i="2"/>
  <c r="C719" i="2"/>
  <c r="D719" i="2"/>
  <c r="B720" i="2"/>
  <c r="C720" i="2"/>
  <c r="D720" i="2"/>
  <c r="C718" i="2"/>
  <c r="D718" i="2"/>
  <c r="B718" i="2"/>
  <c r="D717" i="2"/>
  <c r="C667" i="2"/>
  <c r="C668" i="2"/>
  <c r="C669" i="2"/>
  <c r="C670" i="2"/>
  <c r="C671" i="2"/>
  <c r="C672" i="2"/>
  <c r="C673" i="2"/>
  <c r="C674" i="2"/>
  <c r="C675" i="2"/>
  <c r="C676" i="2"/>
  <c r="C677" i="2"/>
  <c r="C678" i="2"/>
  <c r="C679" i="2"/>
  <c r="C680" i="2"/>
  <c r="C681" i="2"/>
  <c r="C682" i="2"/>
  <c r="C683" i="2"/>
  <c r="C684" i="2"/>
  <c r="C685" i="2"/>
  <c r="C686" i="2"/>
  <c r="C687" i="2"/>
  <c r="C688" i="2"/>
  <c r="C410" i="2"/>
  <c r="C690" i="2"/>
  <c r="C691" i="2"/>
  <c r="C692" i="2"/>
  <c r="C693" i="2"/>
  <c r="C694" i="2"/>
  <c r="C695" i="2"/>
  <c r="C696" i="2"/>
  <c r="C697" i="2"/>
  <c r="C698" i="2"/>
  <c r="C699" i="2"/>
  <c r="C700" i="2"/>
  <c r="C701" i="2"/>
  <c r="C702" i="2"/>
  <c r="C703" i="2"/>
  <c r="C704" i="2"/>
  <c r="C705" i="2"/>
  <c r="C706" i="2"/>
  <c r="C707" i="2"/>
  <c r="C708" i="2"/>
  <c r="C709" i="2"/>
  <c r="C710" i="2"/>
  <c r="C546" i="2"/>
  <c r="C712" i="2"/>
  <c r="C713" i="2"/>
  <c r="C714" i="2"/>
  <c r="C715" i="2"/>
  <c r="C716" i="2"/>
  <c r="C717" i="2"/>
  <c r="D716" i="2"/>
  <c r="B716" i="2"/>
  <c r="B717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550" i="2"/>
  <c r="D340" i="2"/>
  <c r="D341" i="2"/>
  <c r="D342" i="2"/>
  <c r="D343" i="2"/>
  <c r="D344" i="2"/>
  <c r="D557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494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587" i="2"/>
  <c r="D408" i="2"/>
  <c r="D409" i="2"/>
  <c r="D636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382" i="2"/>
  <c r="D431" i="2"/>
  <c r="D432" i="2"/>
  <c r="D433" i="2"/>
  <c r="D434" i="2"/>
  <c r="D435" i="2"/>
  <c r="D436" i="2"/>
  <c r="D437" i="2"/>
  <c r="D438" i="2"/>
  <c r="D439" i="2"/>
  <c r="D440" i="2"/>
  <c r="D441" i="2"/>
  <c r="D430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42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503" i="2"/>
  <c r="D495" i="2"/>
  <c r="D496" i="2"/>
  <c r="D497" i="2"/>
  <c r="D498" i="2"/>
  <c r="D499" i="2"/>
  <c r="D500" i="2"/>
  <c r="D501" i="2"/>
  <c r="D502" i="2"/>
  <c r="D339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345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95" i="2"/>
  <c r="D547" i="2"/>
  <c r="D548" i="2"/>
  <c r="D549" i="2"/>
  <c r="D689" i="2"/>
  <c r="D551" i="2"/>
  <c r="D552" i="2"/>
  <c r="D553" i="2"/>
  <c r="D554" i="2"/>
  <c r="D555" i="2"/>
  <c r="D556" i="2"/>
  <c r="D40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455" i="2"/>
  <c r="D588" i="2"/>
  <c r="D589" i="2"/>
  <c r="D590" i="2"/>
  <c r="D591" i="2"/>
  <c r="D592" i="2"/>
  <c r="D593" i="2"/>
  <c r="D594" i="2"/>
  <c r="D524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711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D651" i="2"/>
  <c r="D652" i="2"/>
  <c r="D653" i="2"/>
  <c r="D654" i="2"/>
  <c r="D655" i="2"/>
  <c r="D656" i="2"/>
  <c r="D657" i="2"/>
  <c r="D658" i="2"/>
  <c r="D659" i="2"/>
  <c r="D660" i="2"/>
  <c r="D661" i="2"/>
  <c r="D662" i="2"/>
  <c r="D663" i="2"/>
  <c r="D664" i="2"/>
  <c r="D665" i="2"/>
  <c r="D666" i="2"/>
  <c r="D667" i="2"/>
  <c r="D668" i="2"/>
  <c r="D669" i="2"/>
  <c r="D670" i="2"/>
  <c r="D671" i="2"/>
  <c r="D672" i="2"/>
  <c r="D673" i="2"/>
  <c r="D674" i="2"/>
  <c r="D675" i="2"/>
  <c r="D676" i="2"/>
  <c r="D677" i="2"/>
  <c r="D678" i="2"/>
  <c r="D679" i="2"/>
  <c r="D680" i="2"/>
  <c r="D681" i="2"/>
  <c r="D682" i="2"/>
  <c r="D683" i="2"/>
  <c r="D684" i="2"/>
  <c r="D685" i="2"/>
  <c r="D686" i="2"/>
  <c r="D687" i="2"/>
  <c r="D688" i="2"/>
  <c r="D410" i="2"/>
  <c r="D690" i="2"/>
  <c r="D691" i="2"/>
  <c r="D692" i="2"/>
  <c r="D693" i="2"/>
  <c r="D694" i="2"/>
  <c r="D695" i="2"/>
  <c r="D696" i="2"/>
  <c r="D697" i="2"/>
  <c r="D698" i="2"/>
  <c r="D699" i="2"/>
  <c r="D700" i="2"/>
  <c r="D701" i="2"/>
  <c r="D702" i="2"/>
  <c r="D703" i="2"/>
  <c r="D704" i="2"/>
  <c r="D705" i="2"/>
  <c r="D706" i="2"/>
  <c r="D707" i="2"/>
  <c r="D708" i="2"/>
  <c r="D709" i="2"/>
  <c r="D710" i="2"/>
  <c r="D546" i="2"/>
  <c r="D712" i="2"/>
  <c r="D713" i="2"/>
  <c r="D714" i="2"/>
  <c r="D715" i="2"/>
  <c r="D2" i="2"/>
  <c r="C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550" i="2"/>
  <c r="C340" i="2"/>
  <c r="C341" i="2"/>
  <c r="C342" i="2"/>
  <c r="C343" i="2"/>
  <c r="C344" i="2"/>
  <c r="C557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494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587" i="2"/>
  <c r="C408" i="2"/>
  <c r="C409" i="2"/>
  <c r="C636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382" i="2"/>
  <c r="C431" i="2"/>
  <c r="C432" i="2"/>
  <c r="C433" i="2"/>
  <c r="C434" i="2"/>
  <c r="C435" i="2"/>
  <c r="C436" i="2"/>
  <c r="C437" i="2"/>
  <c r="C438" i="2"/>
  <c r="C439" i="2"/>
  <c r="C440" i="2"/>
  <c r="C441" i="2"/>
  <c r="C430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42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503" i="2"/>
  <c r="C495" i="2"/>
  <c r="C496" i="2"/>
  <c r="C497" i="2"/>
  <c r="C498" i="2"/>
  <c r="C499" i="2"/>
  <c r="C500" i="2"/>
  <c r="C501" i="2"/>
  <c r="C502" i="2"/>
  <c r="C339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345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95" i="2"/>
  <c r="C547" i="2"/>
  <c r="C548" i="2"/>
  <c r="C549" i="2"/>
  <c r="C689" i="2"/>
  <c r="C551" i="2"/>
  <c r="C552" i="2"/>
  <c r="C553" i="2"/>
  <c r="C554" i="2"/>
  <c r="C555" i="2"/>
  <c r="C556" i="2"/>
  <c r="C40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455" i="2"/>
  <c r="C588" i="2"/>
  <c r="C589" i="2"/>
  <c r="C590" i="2"/>
  <c r="C591" i="2"/>
  <c r="C592" i="2"/>
  <c r="C593" i="2"/>
  <c r="C594" i="2"/>
  <c r="C524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711" i="2"/>
  <c r="C637" i="2"/>
  <c r="C638" i="2"/>
  <c r="C639" i="2"/>
  <c r="C640" i="2"/>
  <c r="C641" i="2"/>
  <c r="C642" i="2"/>
  <c r="C643" i="2"/>
  <c r="C644" i="2"/>
  <c r="C645" i="2"/>
  <c r="C646" i="2"/>
  <c r="C647" i="2"/>
  <c r="C648" i="2"/>
  <c r="C649" i="2"/>
  <c r="C650" i="2"/>
  <c r="C651" i="2"/>
  <c r="C652" i="2"/>
  <c r="C653" i="2"/>
  <c r="C654" i="2"/>
  <c r="C655" i="2"/>
  <c r="C656" i="2"/>
  <c r="C657" i="2"/>
  <c r="C658" i="2"/>
  <c r="C659" i="2"/>
  <c r="C660" i="2"/>
  <c r="C661" i="2"/>
  <c r="C662" i="2"/>
  <c r="C663" i="2"/>
  <c r="C664" i="2"/>
  <c r="C665" i="2"/>
  <c r="C666" i="2"/>
  <c r="B2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550" i="2"/>
  <c r="B340" i="2"/>
  <c r="B341" i="2"/>
  <c r="B342" i="2"/>
  <c r="B343" i="2"/>
  <c r="B344" i="2"/>
  <c r="B557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494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587" i="2"/>
  <c r="B408" i="2"/>
  <c r="B409" i="2"/>
  <c r="B636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382" i="2"/>
  <c r="B431" i="2"/>
  <c r="B432" i="2"/>
  <c r="B433" i="2"/>
  <c r="B434" i="2"/>
  <c r="B435" i="2"/>
  <c r="B436" i="2"/>
  <c r="B437" i="2"/>
  <c r="B438" i="2"/>
  <c r="B439" i="2"/>
  <c r="B440" i="2"/>
  <c r="B441" i="2"/>
  <c r="B430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42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503" i="2"/>
  <c r="B495" i="2"/>
  <c r="B496" i="2"/>
  <c r="B497" i="2"/>
  <c r="B498" i="2"/>
  <c r="B499" i="2"/>
  <c r="B500" i="2"/>
  <c r="B501" i="2"/>
  <c r="B502" i="2"/>
  <c r="B339" i="2"/>
  <c r="B504" i="2"/>
  <c r="B505" i="2"/>
  <c r="B506" i="2"/>
  <c r="B507" i="2"/>
  <c r="B508" i="2"/>
  <c r="B509" i="2"/>
  <c r="B510" i="2"/>
  <c r="B511" i="2"/>
  <c r="B512" i="2"/>
  <c r="B513" i="2"/>
  <c r="B514" i="2"/>
  <c r="B515" i="2"/>
  <c r="B516" i="2"/>
  <c r="B517" i="2"/>
  <c r="B518" i="2"/>
  <c r="B519" i="2"/>
  <c r="B520" i="2"/>
  <c r="B521" i="2"/>
  <c r="B522" i="2"/>
  <c r="B523" i="2"/>
  <c r="B345" i="2"/>
  <c r="B525" i="2"/>
  <c r="B526" i="2"/>
  <c r="B527" i="2"/>
  <c r="B528" i="2"/>
  <c r="B529" i="2"/>
  <c r="B530" i="2"/>
  <c r="B531" i="2"/>
  <c r="B532" i="2"/>
  <c r="B533" i="2"/>
  <c r="B534" i="2"/>
  <c r="B535" i="2"/>
  <c r="B536" i="2"/>
  <c r="B537" i="2"/>
  <c r="B538" i="2"/>
  <c r="B539" i="2"/>
  <c r="B540" i="2"/>
  <c r="B541" i="2"/>
  <c r="B542" i="2"/>
  <c r="B543" i="2"/>
  <c r="B544" i="2"/>
  <c r="B545" i="2"/>
  <c r="B595" i="2"/>
  <c r="B547" i="2"/>
  <c r="B548" i="2"/>
  <c r="B549" i="2"/>
  <c r="B689" i="2"/>
  <c r="B551" i="2"/>
  <c r="B552" i="2"/>
  <c r="B553" i="2"/>
  <c r="B554" i="2"/>
  <c r="B555" i="2"/>
  <c r="B556" i="2"/>
  <c r="B407" i="2"/>
  <c r="B558" i="2"/>
  <c r="B559" i="2"/>
  <c r="B560" i="2"/>
  <c r="B561" i="2"/>
  <c r="B562" i="2"/>
  <c r="B563" i="2"/>
  <c r="B564" i="2"/>
  <c r="B565" i="2"/>
  <c r="B566" i="2"/>
  <c r="B567" i="2"/>
  <c r="B568" i="2"/>
  <c r="B569" i="2"/>
  <c r="B570" i="2"/>
  <c r="B571" i="2"/>
  <c r="B572" i="2"/>
  <c r="B573" i="2"/>
  <c r="B574" i="2"/>
  <c r="B575" i="2"/>
  <c r="B576" i="2"/>
  <c r="B577" i="2"/>
  <c r="B578" i="2"/>
  <c r="B579" i="2"/>
  <c r="B580" i="2"/>
  <c r="B581" i="2"/>
  <c r="B582" i="2"/>
  <c r="B583" i="2"/>
  <c r="B584" i="2"/>
  <c r="B585" i="2"/>
  <c r="B586" i="2"/>
  <c r="B455" i="2"/>
  <c r="B588" i="2"/>
  <c r="B589" i="2"/>
  <c r="B590" i="2"/>
  <c r="B591" i="2"/>
  <c r="B592" i="2"/>
  <c r="B593" i="2"/>
  <c r="B594" i="2"/>
  <c r="B524" i="2"/>
  <c r="B596" i="2"/>
  <c r="B597" i="2"/>
  <c r="B598" i="2"/>
  <c r="B599" i="2"/>
  <c r="B600" i="2"/>
  <c r="B601" i="2"/>
  <c r="B602" i="2"/>
  <c r="B603" i="2"/>
  <c r="B604" i="2"/>
  <c r="B605" i="2"/>
  <c r="B606" i="2"/>
  <c r="B607" i="2"/>
  <c r="B608" i="2"/>
  <c r="B609" i="2"/>
  <c r="B610" i="2"/>
  <c r="B611" i="2"/>
  <c r="B612" i="2"/>
  <c r="B613" i="2"/>
  <c r="B614" i="2"/>
  <c r="B615" i="2"/>
  <c r="B616" i="2"/>
  <c r="B617" i="2"/>
  <c r="B618" i="2"/>
  <c r="B619" i="2"/>
  <c r="B620" i="2"/>
  <c r="B621" i="2"/>
  <c r="B622" i="2"/>
  <c r="B623" i="2"/>
  <c r="B624" i="2"/>
  <c r="B625" i="2"/>
  <c r="B626" i="2"/>
  <c r="B627" i="2"/>
  <c r="B628" i="2"/>
  <c r="B629" i="2"/>
  <c r="B630" i="2"/>
  <c r="B631" i="2"/>
  <c r="B632" i="2"/>
  <c r="B633" i="2"/>
  <c r="B634" i="2"/>
  <c r="B635" i="2"/>
  <c r="B711" i="2"/>
  <c r="B637" i="2"/>
  <c r="B638" i="2"/>
  <c r="B639" i="2"/>
  <c r="B640" i="2"/>
  <c r="B641" i="2"/>
  <c r="B642" i="2"/>
  <c r="B643" i="2"/>
  <c r="B644" i="2"/>
  <c r="B645" i="2"/>
  <c r="B646" i="2"/>
  <c r="B647" i="2"/>
  <c r="B648" i="2"/>
  <c r="B649" i="2"/>
  <c r="B650" i="2"/>
  <c r="B651" i="2"/>
  <c r="B652" i="2"/>
  <c r="B653" i="2"/>
  <c r="B654" i="2"/>
  <c r="B655" i="2"/>
  <c r="B656" i="2"/>
  <c r="B657" i="2"/>
  <c r="B658" i="2"/>
  <c r="B659" i="2"/>
  <c r="B660" i="2"/>
  <c r="B661" i="2"/>
  <c r="B662" i="2"/>
  <c r="B663" i="2"/>
  <c r="B664" i="2"/>
  <c r="B665" i="2"/>
  <c r="B666" i="2"/>
  <c r="B667" i="2"/>
  <c r="B668" i="2"/>
  <c r="B669" i="2"/>
  <c r="B670" i="2"/>
  <c r="B671" i="2"/>
  <c r="B672" i="2"/>
  <c r="B673" i="2"/>
  <c r="B674" i="2"/>
  <c r="B675" i="2"/>
  <c r="B676" i="2"/>
  <c r="B677" i="2"/>
  <c r="B678" i="2"/>
  <c r="B679" i="2"/>
  <c r="B680" i="2"/>
  <c r="B681" i="2"/>
  <c r="B682" i="2"/>
  <c r="B683" i="2"/>
  <c r="B684" i="2"/>
  <c r="B685" i="2"/>
  <c r="B686" i="2"/>
  <c r="B687" i="2"/>
  <c r="B688" i="2"/>
  <c r="B410" i="2"/>
  <c r="B690" i="2"/>
  <c r="B691" i="2"/>
  <c r="B692" i="2"/>
  <c r="B693" i="2"/>
  <c r="B694" i="2"/>
  <c r="B695" i="2"/>
  <c r="B696" i="2"/>
  <c r="B697" i="2"/>
  <c r="B699" i="2"/>
  <c r="B700" i="2"/>
  <c r="B701" i="2"/>
  <c r="B702" i="2"/>
  <c r="B703" i="2"/>
  <c r="B704" i="2"/>
  <c r="B705" i="2"/>
  <c r="B706" i="2"/>
  <c r="B707" i="2"/>
  <c r="B708" i="2"/>
  <c r="B709" i="2"/>
  <c r="B710" i="2"/>
  <c r="B546" i="2"/>
  <c r="B712" i="2"/>
  <c r="B713" i="2"/>
  <c r="B714" i="2"/>
  <c r="B715" i="2"/>
  <c r="E564" i="16"/>
  <c r="E5" i="16"/>
  <c r="E6" i="16"/>
  <c r="E7" i="16"/>
  <c r="E8" i="16"/>
  <c r="E9" i="16"/>
  <c r="E10" i="16"/>
  <c r="E11" i="16"/>
  <c r="E12" i="16"/>
  <c r="E13" i="16"/>
  <c r="E14" i="16"/>
  <c r="E15" i="16"/>
  <c r="E16" i="16"/>
  <c r="E17" i="16"/>
  <c r="E18" i="16"/>
  <c r="E19" i="16"/>
  <c r="E20" i="16"/>
  <c r="E21" i="16"/>
  <c r="E22" i="16"/>
  <c r="E23" i="16"/>
  <c r="E24" i="16"/>
  <c r="E25" i="16"/>
  <c r="E26" i="16"/>
  <c r="E27" i="16"/>
  <c r="E29" i="16"/>
  <c r="E30" i="16"/>
  <c r="E31" i="16"/>
  <c r="E35" i="16"/>
  <c r="E36" i="16"/>
  <c r="E37" i="16"/>
  <c r="E38" i="16"/>
  <c r="E39" i="16"/>
  <c r="E40" i="16"/>
  <c r="E42" i="16"/>
  <c r="E45" i="16"/>
  <c r="E48" i="16"/>
  <c r="E49" i="16"/>
  <c r="E51" i="16"/>
  <c r="E52" i="16"/>
  <c r="E53" i="16"/>
  <c r="E54" i="16"/>
  <c r="E55" i="16"/>
  <c r="E57" i="16"/>
  <c r="E58" i="16"/>
  <c r="E59" i="16"/>
  <c r="E60" i="16"/>
  <c r="E61" i="16"/>
  <c r="E62" i="16"/>
  <c r="E63" i="16"/>
  <c r="E64" i="16"/>
  <c r="E65" i="16"/>
  <c r="E66" i="16"/>
  <c r="E69" i="16"/>
  <c r="E70" i="16"/>
  <c r="E72" i="16"/>
  <c r="E73" i="16"/>
  <c r="E74" i="16"/>
  <c r="E75" i="16"/>
  <c r="E76" i="16"/>
  <c r="E77" i="16"/>
  <c r="E78" i="16"/>
  <c r="E79" i="16"/>
  <c r="E80" i="16"/>
  <c r="E82" i="16"/>
  <c r="E85" i="16"/>
  <c r="E86" i="16"/>
  <c r="E87" i="16"/>
  <c r="E88" i="16"/>
  <c r="E89" i="16"/>
  <c r="E90" i="16"/>
  <c r="E91" i="16"/>
  <c r="E93" i="16"/>
  <c r="E95" i="16"/>
  <c r="E94" i="16"/>
  <c r="E96" i="16"/>
  <c r="E98" i="16"/>
  <c r="E99" i="16"/>
  <c r="E100" i="16"/>
  <c r="E102" i="16"/>
  <c r="E103" i="16"/>
  <c r="E104" i="16"/>
  <c r="E105" i="16"/>
  <c r="E107" i="16"/>
  <c r="E108" i="16"/>
  <c r="E109" i="16"/>
  <c r="E110" i="16"/>
  <c r="E111" i="16"/>
  <c r="E112" i="16"/>
  <c r="E113" i="16"/>
  <c r="E114" i="16"/>
  <c r="E118" i="16"/>
  <c r="E119" i="16"/>
  <c r="E120" i="16"/>
  <c r="E122" i="16"/>
  <c r="E123" i="16"/>
  <c r="E124" i="16"/>
  <c r="E125" i="16"/>
  <c r="E127" i="16"/>
  <c r="E128" i="16"/>
  <c r="E129" i="16"/>
  <c r="E130" i="16"/>
  <c r="E131" i="16"/>
  <c r="E132" i="16"/>
  <c r="E133" i="16"/>
  <c r="E134" i="16"/>
  <c r="E136" i="16"/>
  <c r="E137" i="16"/>
  <c r="E138" i="16"/>
  <c r="E140" i="16"/>
  <c r="E141" i="16"/>
  <c r="E142" i="16"/>
  <c r="E143" i="16"/>
  <c r="E144" i="16"/>
  <c r="E145" i="16"/>
  <c r="E146" i="16"/>
  <c r="E147" i="16"/>
  <c r="E148" i="16"/>
  <c r="E115" i="16"/>
  <c r="E139" i="16"/>
  <c r="E151" i="16"/>
  <c r="E152" i="16"/>
  <c r="E154" i="16"/>
  <c r="E155" i="16"/>
  <c r="E156" i="16"/>
  <c r="E157" i="16"/>
  <c r="E160" i="16"/>
  <c r="E161" i="16"/>
  <c r="E162" i="16"/>
  <c r="E164" i="16"/>
  <c r="E165" i="16"/>
  <c r="E166" i="16"/>
  <c r="E167" i="16"/>
  <c r="E168" i="16"/>
  <c r="E169" i="16"/>
  <c r="E170" i="16"/>
  <c r="E174" i="16"/>
  <c r="E175" i="16"/>
  <c r="E176" i="16"/>
  <c r="E178" i="16"/>
  <c r="E179" i="16"/>
  <c r="E181" i="16"/>
  <c r="E183" i="16"/>
  <c r="E184" i="16"/>
  <c r="E185" i="16"/>
  <c r="E186" i="16"/>
  <c r="E187" i="16"/>
  <c r="E188" i="16"/>
  <c r="E189" i="16"/>
  <c r="E190" i="16"/>
  <c r="E191" i="16"/>
  <c r="E192" i="16"/>
  <c r="E193" i="16"/>
  <c r="E195" i="16"/>
  <c r="E196" i="16"/>
  <c r="E198" i="16"/>
  <c r="E199" i="16"/>
  <c r="E201" i="16"/>
  <c r="E203" i="16"/>
  <c r="E204" i="16"/>
  <c r="E205" i="16"/>
  <c r="E202" i="16"/>
  <c r="E206" i="16"/>
  <c r="E207" i="16"/>
  <c r="E209" i="16"/>
  <c r="E210" i="16"/>
  <c r="E212" i="16"/>
  <c r="E211" i="16"/>
  <c r="E214" i="16"/>
  <c r="E216" i="16"/>
  <c r="E217" i="16"/>
  <c r="E218" i="16"/>
  <c r="E219" i="16"/>
  <c r="E221" i="16"/>
  <c r="E223" i="16"/>
  <c r="E222" i="16"/>
  <c r="E224" i="16"/>
  <c r="E225" i="16"/>
  <c r="E226" i="16"/>
  <c r="E229" i="16"/>
  <c r="E227" i="16"/>
  <c r="E230" i="16"/>
  <c r="E231" i="16"/>
  <c r="E232" i="16"/>
  <c r="E233" i="16"/>
  <c r="E235" i="16"/>
  <c r="E236" i="16"/>
  <c r="E237" i="16"/>
  <c r="E238" i="16"/>
  <c r="E239" i="16"/>
  <c r="E240" i="16"/>
  <c r="E244" i="16"/>
  <c r="E243" i="16"/>
  <c r="E245" i="16"/>
  <c r="E246" i="16"/>
  <c r="E247" i="16"/>
  <c r="E250" i="16"/>
  <c r="E251" i="16"/>
  <c r="E252" i="16"/>
  <c r="E253" i="16"/>
  <c r="E254" i="16"/>
  <c r="E255" i="16"/>
  <c r="E258" i="16"/>
  <c r="E259" i="16"/>
  <c r="E260" i="16"/>
  <c r="E261" i="16"/>
  <c r="E262" i="16"/>
  <c r="E263" i="16"/>
  <c r="E264" i="16"/>
  <c r="E265" i="16"/>
  <c r="E267" i="16"/>
  <c r="E268" i="16"/>
  <c r="E269" i="16"/>
  <c r="E270" i="16"/>
  <c r="E271" i="16"/>
  <c r="E272" i="16"/>
  <c r="E273" i="16"/>
  <c r="E274" i="16"/>
  <c r="E275" i="16"/>
  <c r="E277" i="16"/>
  <c r="E276" i="16"/>
  <c r="E278" i="16"/>
  <c r="E279" i="16"/>
  <c r="E280" i="16"/>
  <c r="E281" i="16"/>
  <c r="E282" i="16"/>
  <c r="E283" i="16"/>
  <c r="E284" i="16"/>
  <c r="E285" i="16"/>
  <c r="E286" i="16"/>
  <c r="E287" i="16"/>
  <c r="E288" i="16"/>
  <c r="E289" i="16"/>
  <c r="E290" i="16"/>
  <c r="E291" i="16"/>
  <c r="E293" i="16"/>
  <c r="E294" i="16"/>
  <c r="E295" i="16"/>
  <c r="E296" i="16"/>
  <c r="E297" i="16"/>
  <c r="E298" i="16"/>
  <c r="E300" i="16"/>
  <c r="E301" i="16"/>
  <c r="E302" i="16"/>
  <c r="E303" i="16"/>
  <c r="E304" i="16"/>
  <c r="E305" i="16"/>
  <c r="E306" i="16"/>
  <c r="E307" i="16"/>
  <c r="E308" i="16"/>
  <c r="E309" i="16"/>
  <c r="E310" i="16"/>
  <c r="E311" i="16"/>
  <c r="E312" i="16"/>
  <c r="E314" i="16"/>
  <c r="E315" i="16"/>
  <c r="E316" i="16"/>
  <c r="E317" i="16"/>
  <c r="E318" i="16"/>
  <c r="E319" i="16"/>
  <c r="E320" i="16"/>
  <c r="E322" i="16"/>
  <c r="E323" i="16"/>
  <c r="E325" i="16"/>
  <c r="E328" i="16"/>
  <c r="E330" i="16"/>
  <c r="E331" i="16"/>
  <c r="E332" i="16"/>
  <c r="E333" i="16"/>
  <c r="E334" i="16"/>
  <c r="E335" i="16"/>
  <c r="E336" i="16"/>
  <c r="E337" i="16"/>
  <c r="E338" i="16"/>
  <c r="E339" i="16"/>
  <c r="E342" i="16"/>
  <c r="E341" i="16"/>
  <c r="E343" i="16"/>
  <c r="E340" i="16"/>
  <c r="E344" i="16"/>
  <c r="E346" i="16"/>
  <c r="E347" i="16"/>
  <c r="E348" i="16"/>
  <c r="E349" i="16"/>
  <c r="E350" i="16"/>
  <c r="E345" i="16"/>
  <c r="E351" i="16"/>
  <c r="E352" i="16"/>
  <c r="E353" i="16"/>
  <c r="E354" i="16"/>
  <c r="E355" i="16"/>
  <c r="E356" i="16"/>
  <c r="E357" i="16"/>
  <c r="E358" i="16"/>
  <c r="E359" i="16"/>
  <c r="E360" i="16"/>
  <c r="E362" i="16"/>
  <c r="E363" i="16"/>
  <c r="E364" i="16"/>
  <c r="E365" i="16"/>
  <c r="E367" i="16"/>
  <c r="E369" i="16"/>
  <c r="E370" i="16"/>
  <c r="E371" i="16"/>
  <c r="E372" i="16"/>
  <c r="E373" i="16"/>
  <c r="E374" i="16"/>
  <c r="E375" i="16"/>
  <c r="E376" i="16"/>
  <c r="E378" i="16"/>
  <c r="E379" i="16"/>
  <c r="E381" i="16"/>
  <c r="E383" i="16"/>
  <c r="E384" i="16"/>
  <c r="E385" i="16"/>
  <c r="E386" i="16"/>
  <c r="E387" i="16"/>
  <c r="E388" i="16"/>
  <c r="E389" i="16"/>
  <c r="E390" i="16"/>
  <c r="E391" i="16"/>
  <c r="E392" i="16"/>
  <c r="E393" i="16"/>
  <c r="E394" i="16"/>
  <c r="E395" i="16"/>
  <c r="E397" i="16"/>
  <c r="E398" i="16"/>
  <c r="E401" i="16"/>
  <c r="E402" i="16"/>
  <c r="E404" i="16"/>
  <c r="E405" i="16"/>
  <c r="E409" i="16"/>
  <c r="E410" i="16"/>
  <c r="E411" i="16"/>
  <c r="E412" i="16"/>
  <c r="E413" i="16"/>
  <c r="E414" i="16"/>
  <c r="E415" i="16"/>
  <c r="E416" i="16"/>
  <c r="E418" i="16"/>
  <c r="E419" i="16"/>
  <c r="E420" i="16"/>
  <c r="E421" i="16"/>
  <c r="E422" i="16"/>
  <c r="E423" i="16"/>
  <c r="E427" i="16"/>
  <c r="E428" i="16"/>
  <c r="E429" i="16"/>
  <c r="E424" i="16"/>
  <c r="E431" i="16"/>
  <c r="E432" i="16"/>
  <c r="E433" i="16"/>
  <c r="E434" i="16"/>
  <c r="E435" i="16"/>
  <c r="E436" i="16"/>
  <c r="E437" i="16"/>
  <c r="E430" i="16"/>
  <c r="E439" i="16"/>
  <c r="E440" i="16"/>
  <c r="E442" i="16"/>
  <c r="E443" i="16"/>
  <c r="E445" i="16"/>
  <c r="E446" i="16"/>
  <c r="E447" i="16"/>
  <c r="E448" i="16"/>
  <c r="E449" i="16"/>
  <c r="E450" i="16"/>
  <c r="E451" i="16"/>
  <c r="E452" i="16"/>
  <c r="E453" i="16"/>
  <c r="E454" i="16"/>
  <c r="E455" i="16"/>
  <c r="E456" i="16"/>
  <c r="E457" i="16"/>
  <c r="E458" i="16"/>
  <c r="E459" i="16"/>
  <c r="E460" i="16"/>
  <c r="E461" i="16"/>
  <c r="E462" i="16"/>
  <c r="E463" i="16"/>
  <c r="E464" i="16"/>
  <c r="E465" i="16"/>
  <c r="E466" i="16"/>
  <c r="E468" i="16"/>
  <c r="E467" i="16"/>
  <c r="E469" i="16"/>
  <c r="E472" i="16"/>
  <c r="E473" i="16"/>
  <c r="E474" i="16"/>
  <c r="E475" i="16"/>
  <c r="E476" i="16"/>
  <c r="E478" i="16"/>
  <c r="E480" i="16"/>
  <c r="E481" i="16"/>
  <c r="E482" i="16"/>
  <c r="E483" i="16"/>
  <c r="E477" i="16"/>
  <c r="E484" i="16"/>
  <c r="E485" i="16"/>
  <c r="E486" i="16"/>
  <c r="E487" i="16"/>
  <c r="E488" i="16"/>
  <c r="E490" i="16"/>
  <c r="E489" i="16"/>
  <c r="E491" i="16"/>
  <c r="E492" i="16"/>
  <c r="E494" i="16"/>
  <c r="E497" i="16"/>
  <c r="E498" i="16"/>
  <c r="E499" i="16"/>
  <c r="E501" i="16"/>
  <c r="E500" i="16"/>
  <c r="E504" i="16"/>
  <c r="E505" i="16"/>
  <c r="E506" i="16"/>
  <c r="E507" i="16"/>
  <c r="E508" i="16"/>
  <c r="E509" i="16"/>
  <c r="E511" i="16"/>
  <c r="E503" i="16"/>
  <c r="E513" i="16"/>
  <c r="E515" i="16"/>
  <c r="E516" i="16"/>
  <c r="E517" i="16"/>
  <c r="E518" i="16"/>
  <c r="E519" i="16"/>
  <c r="E522" i="16"/>
  <c r="E523" i="16"/>
  <c r="E525" i="16"/>
  <c r="E527" i="16"/>
  <c r="E528" i="16"/>
  <c r="E529" i="16"/>
  <c r="E512" i="16"/>
  <c r="E531" i="16"/>
  <c r="E532" i="16"/>
  <c r="E533" i="16"/>
  <c r="E534" i="16"/>
  <c r="E535" i="16"/>
  <c r="E536" i="16"/>
  <c r="E537" i="16"/>
  <c r="E538" i="16"/>
  <c r="E539" i="16"/>
  <c r="E540" i="16"/>
  <c r="E541" i="16"/>
  <c r="E542" i="16"/>
  <c r="E543" i="16"/>
  <c r="E544" i="16"/>
  <c r="E545" i="16"/>
  <c r="E546" i="16"/>
  <c r="E547" i="16"/>
  <c r="E548" i="16"/>
  <c r="E549" i="16"/>
  <c r="E552" i="16"/>
  <c r="E555" i="16"/>
  <c r="E556" i="16"/>
  <c r="E553" i="16"/>
  <c r="E557" i="16"/>
  <c r="E550" i="16"/>
  <c r="E558" i="16"/>
  <c r="E559" i="16"/>
  <c r="E560" i="16"/>
  <c r="E561" i="16"/>
  <c r="E562" i="16"/>
  <c r="E563" i="16"/>
  <c r="E33" i="16"/>
  <c r="E34" i="16"/>
  <c r="E46" i="16"/>
  <c r="E530" i="16"/>
  <c r="E3" i="16"/>
  <c r="E28" i="16"/>
  <c r="E32" i="16"/>
  <c r="E41" i="16"/>
  <c r="E43" i="16"/>
  <c r="E44" i="16"/>
  <c r="E50" i="16"/>
  <c r="E56" i="16"/>
  <c r="E67" i="16"/>
  <c r="E68" i="16"/>
  <c r="E71" i="16"/>
  <c r="E81" i="16"/>
  <c r="E83" i="16"/>
  <c r="E84" i="16"/>
  <c r="E92" i="16"/>
  <c r="E97" i="16"/>
  <c r="E101" i="16"/>
  <c r="E106" i="16"/>
  <c r="E116" i="16"/>
  <c r="E117" i="16"/>
  <c r="E121" i="16"/>
  <c r="E126" i="16"/>
  <c r="E135" i="16"/>
  <c r="E149" i="16"/>
  <c r="E150" i="16"/>
  <c r="E153" i="16"/>
  <c r="E158" i="16"/>
  <c r="E159" i="16"/>
  <c r="E163" i="16"/>
  <c r="E171" i="16"/>
  <c r="E172" i="16"/>
  <c r="E173" i="16"/>
  <c r="E177" i="16"/>
  <c r="E180" i="16"/>
  <c r="E182" i="16"/>
  <c r="E194" i="16"/>
  <c r="E197" i="16"/>
  <c r="E200" i="16"/>
  <c r="E208" i="16"/>
  <c r="E213" i="16"/>
  <c r="E215" i="16"/>
  <c r="E220" i="16"/>
  <c r="E228" i="16"/>
  <c r="E234" i="16"/>
  <c r="E241" i="16"/>
  <c r="E242" i="16"/>
  <c r="E248" i="16"/>
  <c r="E249" i="16"/>
  <c r="E256" i="16"/>
  <c r="E257" i="16"/>
  <c r="E266" i="16"/>
  <c r="E292" i="16"/>
  <c r="E299" i="16"/>
  <c r="E313" i="16"/>
  <c r="E321" i="16"/>
  <c r="E324" i="16"/>
  <c r="E326" i="16"/>
  <c r="E327" i="16"/>
  <c r="E329" i="16"/>
  <c r="E361" i="16"/>
  <c r="E366" i="16"/>
  <c r="E368" i="16"/>
  <c r="E377" i="16"/>
  <c r="E380" i="16"/>
  <c r="E382" i="16"/>
  <c r="E396" i="16"/>
  <c r="E399" i="16"/>
  <c r="E400" i="16"/>
  <c r="E406" i="16"/>
  <c r="E407" i="16"/>
  <c r="E408" i="16"/>
  <c r="E417" i="16"/>
  <c r="E425" i="16"/>
  <c r="E426" i="16"/>
  <c r="E438" i="16"/>
  <c r="E441" i="16"/>
  <c r="E444" i="16"/>
  <c r="E470" i="16"/>
  <c r="E471" i="16"/>
  <c r="E479" i="16"/>
  <c r="E493" i="16"/>
  <c r="E495" i="16"/>
  <c r="E496" i="16"/>
  <c r="E502" i="16"/>
  <c r="E510" i="16"/>
  <c r="E514" i="16"/>
  <c r="E520" i="16"/>
  <c r="E521" i="16"/>
  <c r="E524" i="16"/>
  <c r="E526" i="16"/>
  <c r="E554" i="16"/>
  <c r="E551" i="16"/>
  <c r="E4" i="16"/>
  <c r="E47" i="16"/>
  <c r="E403" i="16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M4" i="6" a="1"/>
  <c r="M4" i="6" s="1"/>
  <c r="E82" i="9"/>
  <c r="E83" i="9"/>
  <c r="E84" i="9"/>
  <c r="E85" i="9"/>
  <c r="E86" i="9"/>
  <c r="E87" i="9"/>
  <c r="E88" i="9"/>
  <c r="E89" i="9"/>
  <c r="E90" i="9"/>
  <c r="E91" i="9"/>
  <c r="E92" i="9"/>
  <c r="E93" i="9"/>
  <c r="E94" i="9"/>
  <c r="E95" i="9"/>
  <c r="E96" i="9"/>
  <c r="E97" i="9"/>
  <c r="E98" i="9"/>
  <c r="E99" i="9"/>
  <c r="E100" i="9"/>
  <c r="E101" i="9"/>
  <c r="E102" i="9"/>
  <c r="E103" i="9"/>
  <c r="E104" i="9"/>
  <c r="E105" i="9"/>
  <c r="E106" i="9"/>
  <c r="E107" i="9"/>
  <c r="E108" i="9"/>
  <c r="E109" i="9"/>
  <c r="E110" i="9"/>
  <c r="E111" i="9"/>
  <c r="E112" i="9"/>
  <c r="E113" i="9"/>
  <c r="E114" i="9"/>
  <c r="E115" i="9"/>
  <c r="E116" i="9"/>
  <c r="E117" i="9"/>
  <c r="E118" i="9"/>
  <c r="E119" i="9"/>
  <c r="E120" i="9"/>
  <c r="E121" i="9"/>
  <c r="E122" i="9"/>
  <c r="E123" i="9"/>
  <c r="E124" i="9"/>
  <c r="E125" i="9"/>
  <c r="E126" i="9"/>
  <c r="E127" i="9"/>
  <c r="E128" i="9"/>
  <c r="E129" i="9"/>
  <c r="E130" i="9"/>
  <c r="E131" i="9"/>
  <c r="E132" i="9"/>
  <c r="E133" i="9"/>
  <c r="E134" i="9"/>
  <c r="E135" i="9"/>
  <c r="E136" i="9"/>
  <c r="E137" i="9"/>
  <c r="E138" i="9"/>
  <c r="E139" i="9"/>
  <c r="E140" i="9"/>
  <c r="E141" i="9"/>
  <c r="E142" i="9"/>
  <c r="E143" i="9"/>
  <c r="E144" i="9"/>
  <c r="E145" i="9"/>
  <c r="E146" i="9"/>
  <c r="E147" i="9"/>
  <c r="E148" i="9"/>
  <c r="E149" i="9"/>
  <c r="E150" i="9"/>
  <c r="E151" i="9"/>
  <c r="E152" i="9"/>
  <c r="E153" i="9"/>
  <c r="E154" i="9"/>
  <c r="E155" i="9"/>
  <c r="E156" i="9"/>
  <c r="E157" i="9"/>
  <c r="E158" i="9"/>
  <c r="E159" i="9"/>
  <c r="E160" i="9"/>
  <c r="E161" i="9"/>
  <c r="E162" i="9"/>
  <c r="E163" i="9"/>
  <c r="E164" i="9"/>
  <c r="E165" i="9"/>
  <c r="E166" i="9"/>
  <c r="E167" i="9"/>
  <c r="E168" i="9"/>
  <c r="E169" i="9"/>
  <c r="E170" i="9"/>
  <c r="E171" i="9"/>
  <c r="E172" i="9"/>
  <c r="E173" i="9"/>
  <c r="E174" i="9"/>
  <c r="E175" i="9"/>
  <c r="E176" i="9"/>
  <c r="E177" i="9"/>
  <c r="E178" i="9"/>
  <c r="E179" i="9"/>
  <c r="E180" i="9"/>
  <c r="E181" i="9"/>
  <c r="E182" i="9"/>
  <c r="E183" i="9"/>
  <c r="E184" i="9"/>
  <c r="E185" i="9"/>
  <c r="E186" i="9"/>
  <c r="E187" i="9"/>
  <c r="E188" i="9"/>
  <c r="E189" i="9"/>
  <c r="E190" i="9"/>
  <c r="E191" i="9"/>
  <c r="E192" i="9"/>
  <c r="E193" i="9"/>
  <c r="E194" i="9"/>
  <c r="E195" i="9"/>
  <c r="E196" i="9"/>
  <c r="E197" i="9"/>
  <c r="E198" i="9"/>
  <c r="E199" i="9"/>
  <c r="E200" i="9"/>
  <c r="E201" i="9"/>
  <c r="E202" i="9"/>
  <c r="E203" i="9"/>
  <c r="E204" i="9"/>
  <c r="E205" i="9"/>
  <c r="E206" i="9"/>
  <c r="E207" i="9"/>
  <c r="E208" i="9"/>
  <c r="E209" i="9"/>
  <c r="E210" i="9"/>
  <c r="E211" i="9"/>
  <c r="E212" i="9"/>
  <c r="E213" i="9"/>
  <c r="E214" i="9"/>
  <c r="E215" i="9"/>
  <c r="E216" i="9"/>
  <c r="E217" i="9"/>
  <c r="E218" i="9"/>
  <c r="E219" i="9"/>
  <c r="E220" i="9"/>
  <c r="E221" i="9"/>
  <c r="E222" i="9"/>
  <c r="E223" i="9"/>
  <c r="E224" i="9"/>
  <c r="E225" i="9"/>
  <c r="E226" i="9"/>
  <c r="E227" i="9"/>
  <c r="E228" i="9"/>
  <c r="E229" i="9"/>
  <c r="E230" i="9"/>
  <c r="E231" i="9"/>
  <c r="E232" i="9"/>
  <c r="E233" i="9"/>
  <c r="E234" i="9"/>
  <c r="E235" i="9"/>
  <c r="E236" i="9"/>
  <c r="E237" i="9"/>
  <c r="E238" i="9"/>
  <c r="E239" i="9"/>
  <c r="E240" i="9"/>
  <c r="E241" i="9"/>
  <c r="E242" i="9"/>
  <c r="E243" i="9"/>
  <c r="E244" i="9"/>
  <c r="E245" i="9"/>
  <c r="E246" i="9"/>
  <c r="E247" i="9"/>
  <c r="E248" i="9"/>
  <c r="E249" i="9"/>
  <c r="E250" i="9"/>
  <c r="P48" i="12"/>
  <c r="O48" i="12"/>
  <c r="P47" i="12"/>
  <c r="O47" i="12"/>
  <c r="P46" i="12"/>
  <c r="O46" i="12"/>
  <c r="P45" i="12"/>
  <c r="O45" i="12"/>
  <c r="P44" i="12"/>
  <c r="O44" i="12"/>
  <c r="P43" i="12"/>
  <c r="O43" i="12"/>
  <c r="N4" i="12" a="1"/>
  <c r="M4" i="12" a="1"/>
  <c r="M4" i="12" s="1"/>
  <c r="L4" i="12" a="1"/>
  <c r="L4" i="12" s="1"/>
  <c r="K4" i="12" a="1"/>
  <c r="K4" i="12" s="1"/>
  <c r="N4" i="11" a="1"/>
  <c r="M4" i="11" a="1"/>
  <c r="M4" i="11" s="1"/>
  <c r="L4" i="11" a="1"/>
  <c r="L4" i="11" s="1"/>
  <c r="K4" i="11" a="1"/>
  <c r="K4" i="11" s="1"/>
  <c r="N4" i="10" a="1"/>
  <c r="M4" i="10" a="1"/>
  <c r="M4" i="10" s="1"/>
  <c r="L4" i="10" a="1"/>
  <c r="L4" i="10" s="1"/>
  <c r="K4" i="10" a="1"/>
  <c r="K4" i="10" s="1"/>
  <c r="N4" i="9" a="1"/>
  <c r="M4" i="9" a="1"/>
  <c r="M4" i="9" s="1"/>
  <c r="L4" i="9" a="1"/>
  <c r="L4" i="9" s="1"/>
  <c r="K4" i="9" a="1"/>
  <c r="K4" i="9" s="1"/>
  <c r="N4" i="8" a="1"/>
  <c r="M4" i="8" a="1"/>
  <c r="M4" i="8" s="1"/>
  <c r="L4" i="8" a="1"/>
  <c r="L4" i="8" s="1"/>
  <c r="K4" i="8" a="1"/>
  <c r="K4" i="8" s="1"/>
  <c r="N4" i="7" a="1"/>
  <c r="M4" i="7" a="1"/>
  <c r="M4" i="7" s="1"/>
  <c r="L4" i="7" a="1"/>
  <c r="L4" i="7" s="1"/>
  <c r="K4" i="7" a="1"/>
  <c r="K4" i="7" s="1"/>
  <c r="O4" i="6" a="1"/>
  <c r="N4" i="6" a="1"/>
  <c r="N4" i="6" s="1"/>
  <c r="L4" i="6" a="1"/>
  <c r="L4" i="6" s="1"/>
  <c r="K4" i="6" a="1"/>
  <c r="K4" i="6" s="1"/>
  <c r="P48" i="5"/>
  <c r="O48" i="5"/>
  <c r="P47" i="5"/>
  <c r="O47" i="5"/>
  <c r="P46" i="5"/>
  <c r="O46" i="5"/>
  <c r="P45" i="5"/>
  <c r="O45" i="5"/>
  <c r="P44" i="5"/>
  <c r="O44" i="5"/>
  <c r="P43" i="5"/>
  <c r="O43" i="5"/>
  <c r="P42" i="5"/>
  <c r="O42" i="5"/>
  <c r="P41" i="5"/>
  <c r="O41" i="5"/>
  <c r="P40" i="5"/>
  <c r="O40" i="5"/>
  <c r="P39" i="5"/>
  <c r="O39" i="5"/>
  <c r="P38" i="5"/>
  <c r="O38" i="5"/>
  <c r="N4" i="5" a="1"/>
  <c r="M4" i="5" a="1"/>
  <c r="M4" i="5" s="1"/>
  <c r="L4" i="5" a="1"/>
  <c r="L4" i="5" s="1"/>
  <c r="K4" i="5" a="1"/>
  <c r="K4" i="5" s="1"/>
  <c r="N4" i="3" a="1"/>
  <c r="M4" i="3" a="1"/>
  <c r="M4" i="3" s="1"/>
  <c r="L4" i="3" a="1"/>
  <c r="L4" i="3" s="1"/>
  <c r="K4" i="3" a="1"/>
  <c r="K4" i="3" s="1"/>
  <c r="N4" i="4" a="1"/>
  <c r="M4" i="4" a="1"/>
  <c r="M4" i="4" s="1"/>
  <c r="L4" i="4" a="1"/>
  <c r="L4" i="4" s="1"/>
  <c r="K4" i="4" a="1"/>
  <c r="A4" i="10" a="1"/>
  <c r="A4" i="10" s="1"/>
  <c r="A4" i="11" a="1"/>
  <c r="A4" i="11" s="1"/>
  <c r="C11" i="13"/>
  <c r="C10" i="13"/>
  <c r="C9" i="13"/>
  <c r="C8" i="13"/>
  <c r="C7" i="13"/>
  <c r="C6" i="13"/>
  <c r="C5" i="13"/>
  <c r="C4" i="13"/>
  <c r="C3" i="13"/>
  <c r="C2" i="13"/>
  <c r="E7" i="1"/>
  <c r="D11" i="1"/>
  <c r="D4" i="12" a="1"/>
  <c r="D4" i="12" s="1"/>
  <c r="C4" i="12" a="1"/>
  <c r="C4" i="12" s="1"/>
  <c r="B4" i="12" a="1"/>
  <c r="D4" i="11" a="1"/>
  <c r="D4" i="11" s="1"/>
  <c r="C4" i="11" a="1"/>
  <c r="C4" i="11" s="1"/>
  <c r="B4" i="11" a="1"/>
  <c r="D4" i="10" a="1"/>
  <c r="D4" i="10" s="1"/>
  <c r="C4" i="10" a="1"/>
  <c r="C4" i="10" s="1"/>
  <c r="B4" i="10" a="1"/>
  <c r="D4" i="9" a="1"/>
  <c r="D4" i="9" s="1"/>
  <c r="C4" i="9" a="1"/>
  <c r="C4" i="9" s="1"/>
  <c r="B4" i="9" a="1"/>
  <c r="A4" i="9" a="1"/>
  <c r="A4" i="9" s="1"/>
  <c r="D4" i="8" a="1"/>
  <c r="D4" i="8" s="1"/>
  <c r="C4" i="8" a="1"/>
  <c r="C4" i="8" s="1"/>
  <c r="B4" i="8" a="1"/>
  <c r="A4" i="8" a="1"/>
  <c r="A4" i="8" s="1"/>
  <c r="D4" i="7" a="1"/>
  <c r="D4" i="7" s="1"/>
  <c r="C4" i="7" a="1"/>
  <c r="C4" i="7" s="1"/>
  <c r="B4" i="7" a="1"/>
  <c r="A4" i="7" a="1"/>
  <c r="A4" i="7" s="1"/>
  <c r="D4" i="6" a="1"/>
  <c r="D4" i="6" s="1"/>
  <c r="C4" i="6" a="1"/>
  <c r="C4" i="6" s="1"/>
  <c r="B4" i="6" a="1"/>
  <c r="A4" i="6" a="1"/>
  <c r="A4" i="6" s="1"/>
  <c r="D4" i="5" a="1"/>
  <c r="D4" i="5" s="1"/>
  <c r="C4" i="5" a="1"/>
  <c r="C4" i="5" s="1"/>
  <c r="B4" i="5" a="1"/>
  <c r="A4" i="5" a="1"/>
  <c r="A4" i="5" s="1"/>
  <c r="D4" i="3" a="1"/>
  <c r="D4" i="3" s="1"/>
  <c r="C4" i="3" a="1"/>
  <c r="C4" i="3" s="1"/>
  <c r="B4" i="3" a="1"/>
  <c r="A4" i="3" a="1"/>
  <c r="A4" i="3" s="1"/>
  <c r="D4" i="4" a="1"/>
  <c r="D4" i="4" s="1"/>
  <c r="C4" i="4" a="1"/>
  <c r="C4" i="4" s="1"/>
  <c r="B4" i="4" a="1"/>
  <c r="D7" i="1"/>
  <c r="E85" i="3" l="1"/>
  <c r="E113" i="13"/>
  <c r="E103" i="13"/>
  <c r="E93" i="13"/>
  <c r="E83" i="13"/>
  <c r="C103" i="13"/>
  <c r="C112" i="13"/>
  <c r="C106" i="13"/>
  <c r="C114" i="13"/>
  <c r="C107" i="13"/>
  <c r="C115" i="13"/>
  <c r="C116" i="13"/>
  <c r="C109" i="13"/>
  <c r="C117" i="13"/>
  <c r="C102" i="13"/>
  <c r="C110" i="13"/>
  <c r="C111" i="13"/>
  <c r="C119" i="13"/>
  <c r="C104" i="13"/>
  <c r="C120" i="13"/>
  <c r="C105" i="13"/>
  <c r="C113" i="13"/>
  <c r="C121" i="13"/>
  <c r="C118" i="13"/>
  <c r="C108" i="13"/>
  <c r="E81" i="9"/>
  <c r="E80" i="9"/>
  <c r="E84" i="3"/>
  <c r="E83" i="3"/>
  <c r="E82" i="3"/>
  <c r="E79" i="9"/>
  <c r="E78" i="9"/>
  <c r="E77" i="9"/>
  <c r="E80" i="3"/>
  <c r="E81" i="3"/>
  <c r="C90" i="13"/>
  <c r="C100" i="13"/>
  <c r="C92" i="13"/>
  <c r="C93" i="13"/>
  <c r="C101" i="13"/>
  <c r="C86" i="13"/>
  <c r="C94" i="13"/>
  <c r="C87" i="13"/>
  <c r="C95" i="13"/>
  <c r="C88" i="13"/>
  <c r="C96" i="13"/>
  <c r="C84" i="13"/>
  <c r="C97" i="13"/>
  <c r="C98" i="13"/>
  <c r="C82" i="13"/>
  <c r="C83" i="13"/>
  <c r="C91" i="13"/>
  <c r="C99" i="13"/>
  <c r="C89" i="13"/>
  <c r="C85" i="13"/>
  <c r="E75" i="9"/>
  <c r="E76" i="9"/>
  <c r="E74" i="9"/>
  <c r="E79" i="3"/>
  <c r="E78" i="3"/>
  <c r="E73" i="9"/>
  <c r="E72" i="9"/>
  <c r="E77" i="3"/>
  <c r="E71" i="9"/>
  <c r="E76" i="3"/>
  <c r="E70" i="9"/>
  <c r="E75" i="3"/>
  <c r="E69" i="9"/>
  <c r="E73" i="3"/>
  <c r="E74" i="3"/>
  <c r="E72" i="3"/>
  <c r="E68" i="9"/>
  <c r="E71" i="3"/>
  <c r="E70" i="3"/>
  <c r="E69" i="3"/>
  <c r="E68" i="3"/>
  <c r="E46" i="5"/>
  <c r="E48" i="5"/>
  <c r="E47" i="5"/>
  <c r="E67" i="3"/>
  <c r="E44" i="5"/>
  <c r="E45" i="5"/>
  <c r="E66" i="3"/>
  <c r="E67" i="9"/>
  <c r="E66" i="9"/>
  <c r="E65" i="9"/>
  <c r="E65" i="3"/>
  <c r="C72" i="13"/>
  <c r="C80" i="13"/>
  <c r="C73" i="13"/>
  <c r="C81" i="13"/>
  <c r="C74" i="13"/>
  <c r="C75" i="13"/>
  <c r="C76" i="13"/>
  <c r="C77" i="13"/>
  <c r="C79" i="13"/>
  <c r="C78" i="13"/>
  <c r="E64" i="9"/>
  <c r="E63" i="9"/>
  <c r="E64" i="3"/>
  <c r="E62" i="9"/>
  <c r="E62" i="3"/>
  <c r="E63" i="3"/>
  <c r="E59" i="9"/>
  <c r="E61" i="9"/>
  <c r="E60" i="9"/>
  <c r="E61" i="3"/>
  <c r="C60" i="13"/>
  <c r="C49" i="13"/>
  <c r="C61" i="13"/>
  <c r="C57" i="13"/>
  <c r="C59" i="13"/>
  <c r="C71" i="13"/>
  <c r="E50" i="7"/>
  <c r="C64" i="13"/>
  <c r="C65" i="13"/>
  <c r="C66" i="13"/>
  <c r="C68" i="13"/>
  <c r="C67" i="13"/>
  <c r="C69" i="13"/>
  <c r="C62" i="13"/>
  <c r="C70" i="13"/>
  <c r="C63" i="13"/>
  <c r="C42" i="13"/>
  <c r="C50" i="13"/>
  <c r="C43" i="13"/>
  <c r="C51" i="13"/>
  <c r="C44" i="13"/>
  <c r="C45" i="13"/>
  <c r="C46" i="13"/>
  <c r="C47" i="13"/>
  <c r="C48" i="13"/>
  <c r="C52" i="13"/>
  <c r="C53" i="13"/>
  <c r="C54" i="13"/>
  <c r="C56" i="13"/>
  <c r="C55" i="13"/>
  <c r="C58" i="13"/>
  <c r="E58" i="9"/>
  <c r="E49" i="7"/>
  <c r="E57" i="9"/>
  <c r="E60" i="3"/>
  <c r="E56" i="9"/>
  <c r="E48" i="7"/>
  <c r="E55" i="9"/>
  <c r="E43" i="5"/>
  <c r="E59" i="3"/>
  <c r="E58" i="3"/>
  <c r="E42" i="5"/>
  <c r="E47" i="7"/>
  <c r="E54" i="9"/>
  <c r="E41" i="5"/>
  <c r="E40" i="5"/>
  <c r="E53" i="9"/>
  <c r="E50" i="6"/>
  <c r="E57" i="3"/>
  <c r="E56" i="3"/>
  <c r="E55" i="3"/>
  <c r="E52" i="9"/>
  <c r="E54" i="3"/>
  <c r="E51" i="9"/>
  <c r="E53" i="3"/>
  <c r="E50" i="9"/>
  <c r="E39" i="5"/>
  <c r="E38" i="5"/>
  <c r="E46" i="7"/>
  <c r="E45" i="7"/>
  <c r="E49" i="9"/>
  <c r="E37" i="5"/>
  <c r="E44" i="7"/>
  <c r="E43" i="7"/>
  <c r="E52" i="3"/>
  <c r="E51" i="3"/>
  <c r="E36" i="5"/>
  <c r="E35" i="5"/>
  <c r="E50" i="3"/>
  <c r="E48" i="9"/>
  <c r="E34" i="5"/>
  <c r="E49" i="3"/>
  <c r="E48" i="3"/>
  <c r="E47" i="9"/>
  <c r="E48" i="6"/>
  <c r="E49" i="6"/>
  <c r="E26" i="3"/>
  <c r="B4" i="4"/>
  <c r="O43" i="4" s="1"/>
  <c r="P43" i="4" s="1"/>
  <c r="E41" i="3"/>
  <c r="E33" i="3"/>
  <c r="E25" i="3"/>
  <c r="E40" i="3"/>
  <c r="E32" i="3"/>
  <c r="E24" i="3"/>
  <c r="E47" i="3"/>
  <c r="E39" i="3"/>
  <c r="E31" i="3"/>
  <c r="E23" i="3"/>
  <c r="E46" i="3"/>
  <c r="E38" i="3"/>
  <c r="E30" i="3"/>
  <c r="E22" i="3"/>
  <c r="E45" i="3"/>
  <c r="E37" i="3"/>
  <c r="E29" i="3"/>
  <c r="E21" i="3"/>
  <c r="E44" i="3"/>
  <c r="E36" i="3"/>
  <c r="E28" i="3"/>
  <c r="E20" i="3"/>
  <c r="E43" i="3"/>
  <c r="E35" i="3"/>
  <c r="E27" i="3"/>
  <c r="E42" i="3"/>
  <c r="E34" i="3"/>
  <c r="E46" i="9"/>
  <c r="E42" i="7"/>
  <c r="E41" i="7"/>
  <c r="E47" i="6"/>
  <c r="E45" i="9"/>
  <c r="E40" i="7"/>
  <c r="E46" i="6"/>
  <c r="E38" i="7"/>
  <c r="E39" i="7"/>
  <c r="E37" i="7"/>
  <c r="E45" i="6"/>
  <c r="E44" i="6"/>
  <c r="E44" i="9"/>
  <c r="E43" i="6"/>
  <c r="E43" i="9"/>
  <c r="E42" i="9"/>
  <c r="E41" i="9"/>
  <c r="E36" i="7"/>
  <c r="E40" i="9"/>
  <c r="E42" i="6"/>
  <c r="E41" i="6"/>
  <c r="E40" i="6"/>
  <c r="E39" i="6"/>
  <c r="E39" i="9"/>
  <c r="E38" i="9"/>
  <c r="E39" i="8"/>
  <c r="E26" i="9"/>
  <c r="E31" i="8"/>
  <c r="E23" i="8"/>
  <c r="E18" i="9"/>
  <c r="E10" i="9"/>
  <c r="E38" i="8"/>
  <c r="E30" i="8"/>
  <c r="E22" i="8"/>
  <c r="E25" i="9"/>
  <c r="E17" i="9"/>
  <c r="E9" i="9"/>
  <c r="E37" i="8"/>
  <c r="E29" i="8"/>
  <c r="E21" i="8"/>
  <c r="E24" i="9"/>
  <c r="E16" i="9"/>
  <c r="E8" i="9"/>
  <c r="E37" i="9"/>
  <c r="E36" i="8"/>
  <c r="E28" i="8"/>
  <c r="E31" i="9"/>
  <c r="E23" i="9"/>
  <c r="E15" i="9"/>
  <c r="E7" i="9"/>
  <c r="E36" i="9"/>
  <c r="E35" i="8"/>
  <c r="E27" i="8"/>
  <c r="E30" i="9"/>
  <c r="E22" i="9"/>
  <c r="E14" i="9"/>
  <c r="E6" i="9"/>
  <c r="E35" i="9"/>
  <c r="E34" i="8"/>
  <c r="E26" i="8"/>
  <c r="E29" i="9"/>
  <c r="E21" i="9"/>
  <c r="E13" i="9"/>
  <c r="E34" i="9"/>
  <c r="E33" i="8"/>
  <c r="E25" i="8"/>
  <c r="E28" i="9"/>
  <c r="E20" i="9"/>
  <c r="E12" i="9"/>
  <c r="E33" i="9"/>
  <c r="E32" i="8"/>
  <c r="E24" i="8"/>
  <c r="E27" i="9"/>
  <c r="E19" i="9"/>
  <c r="E11" i="9"/>
  <c r="E32" i="9"/>
  <c r="E38" i="6"/>
  <c r="E37" i="6"/>
  <c r="E35" i="7"/>
  <c r="E34" i="7"/>
  <c r="E36" i="6"/>
  <c r="E33" i="7"/>
  <c r="E35" i="6"/>
  <c r="E19" i="7"/>
  <c r="E14" i="5"/>
  <c r="E23" i="6"/>
  <c r="E29" i="5"/>
  <c r="E21" i="5"/>
  <c r="E26" i="7"/>
  <c r="E18" i="7"/>
  <c r="E30" i="6"/>
  <c r="E22" i="6"/>
  <c r="E28" i="5"/>
  <c r="E20" i="5"/>
  <c r="E25" i="7"/>
  <c r="E17" i="7"/>
  <c r="E29" i="6"/>
  <c r="E21" i="6"/>
  <c r="E27" i="5"/>
  <c r="E19" i="5"/>
  <c r="E32" i="7"/>
  <c r="E24" i="7"/>
  <c r="E16" i="7"/>
  <c r="E28" i="6"/>
  <c r="E20" i="6"/>
  <c r="E26" i="5"/>
  <c r="E18" i="5"/>
  <c r="E31" i="7"/>
  <c r="E23" i="7"/>
  <c r="E15" i="7"/>
  <c r="E27" i="6"/>
  <c r="E19" i="6"/>
  <c r="E33" i="5"/>
  <c r="E25" i="5"/>
  <c r="E17" i="5"/>
  <c r="E30" i="7"/>
  <c r="E22" i="7"/>
  <c r="E34" i="6"/>
  <c r="E26" i="6"/>
  <c r="E18" i="6"/>
  <c r="E32" i="5"/>
  <c r="E24" i="5"/>
  <c r="E16" i="5"/>
  <c r="E29" i="7"/>
  <c r="E21" i="7"/>
  <c r="E33" i="6"/>
  <c r="E25" i="6"/>
  <c r="E17" i="6"/>
  <c r="E31" i="5"/>
  <c r="E23" i="5"/>
  <c r="E15" i="5"/>
  <c r="E28" i="7"/>
  <c r="E20" i="7"/>
  <c r="E32" i="6"/>
  <c r="E24" i="6"/>
  <c r="E16" i="6"/>
  <c r="E30" i="5"/>
  <c r="E22" i="5"/>
  <c r="E27" i="7"/>
  <c r="E31" i="6"/>
  <c r="E23" i="11"/>
  <c r="E38" i="11"/>
  <c r="E30" i="11"/>
  <c r="E37" i="11"/>
  <c r="E29" i="11"/>
  <c r="E36" i="11"/>
  <c r="E28" i="11"/>
  <c r="E35" i="11"/>
  <c r="E27" i="11"/>
  <c r="E34" i="11"/>
  <c r="E26" i="11"/>
  <c r="E33" i="11"/>
  <c r="E25" i="11"/>
  <c r="E32" i="11"/>
  <c r="E24" i="11"/>
  <c r="E39" i="11"/>
  <c r="E31" i="11"/>
  <c r="E5" i="12"/>
  <c r="E28" i="12"/>
  <c r="E20" i="12"/>
  <c r="E12" i="12"/>
  <c r="E27" i="12"/>
  <c r="E19" i="12"/>
  <c r="E11" i="12"/>
  <c r="E26" i="12"/>
  <c r="E18" i="12"/>
  <c r="E10" i="12"/>
  <c r="E25" i="12"/>
  <c r="E17" i="12"/>
  <c r="E9" i="12"/>
  <c r="E24" i="12"/>
  <c r="E16" i="12"/>
  <c r="E8" i="12"/>
  <c r="E23" i="12"/>
  <c r="E15" i="12"/>
  <c r="E7" i="12"/>
  <c r="E30" i="12"/>
  <c r="E22" i="12"/>
  <c r="E14" i="12"/>
  <c r="E6" i="12"/>
  <c r="E29" i="12"/>
  <c r="E21" i="12"/>
  <c r="E13" i="12"/>
  <c r="N4" i="12"/>
  <c r="N4" i="11"/>
  <c r="N4" i="10"/>
  <c r="N4" i="9"/>
  <c r="N4" i="8"/>
  <c r="N4" i="7"/>
  <c r="O4" i="6"/>
  <c r="N4" i="5"/>
  <c r="N4" i="3"/>
  <c r="K4" i="4"/>
  <c r="N4" i="4"/>
  <c r="A4" i="12" a="1"/>
  <c r="A4" i="12" s="1"/>
  <c r="A4" i="4" a="1"/>
  <c r="A4" i="4" s="1"/>
  <c r="E19" i="3"/>
  <c r="E18" i="3"/>
  <c r="E17" i="3"/>
  <c r="E16" i="3"/>
  <c r="E15" i="3"/>
  <c r="E14" i="3"/>
  <c r="E28" i="10"/>
  <c r="E20" i="10"/>
  <c r="E21" i="10"/>
  <c r="E22" i="10"/>
  <c r="E23" i="10"/>
  <c r="E24" i="10"/>
  <c r="E25" i="10"/>
  <c r="E26" i="10"/>
  <c r="E27" i="10"/>
  <c r="E9" i="6"/>
  <c r="E12" i="10"/>
  <c r="E18" i="11"/>
  <c r="E8" i="6"/>
  <c r="E7" i="5"/>
  <c r="E9" i="3"/>
  <c r="E12" i="8"/>
  <c r="E22" i="11"/>
  <c r="E15" i="6"/>
  <c r="E7" i="6"/>
  <c r="E6" i="5"/>
  <c r="E10" i="3"/>
  <c r="E21" i="11"/>
  <c r="E14" i="6"/>
  <c r="E6" i="6"/>
  <c r="E13" i="5"/>
  <c r="E5" i="5"/>
  <c r="E11" i="3"/>
  <c r="E18" i="10"/>
  <c r="E20" i="11"/>
  <c r="E13" i="6"/>
  <c r="E5" i="6"/>
  <c r="E12" i="5"/>
  <c r="E12" i="3"/>
  <c r="E19" i="10"/>
  <c r="E20" i="8"/>
  <c r="E19" i="11"/>
  <c r="E12" i="6"/>
  <c r="E11" i="5"/>
  <c r="E5" i="3"/>
  <c r="E13" i="3"/>
  <c r="E19" i="8"/>
  <c r="E11" i="6"/>
  <c r="E10" i="5"/>
  <c r="E6" i="3"/>
  <c r="E18" i="8"/>
  <c r="E10" i="6"/>
  <c r="E9" i="5"/>
  <c r="E7" i="3"/>
  <c r="E12" i="11"/>
  <c r="E17" i="8"/>
  <c r="E8" i="5"/>
  <c r="E8" i="3"/>
  <c r="E12" i="7"/>
  <c r="B4" i="12"/>
  <c r="O39" i="12" s="1"/>
  <c r="P39" i="12" s="1"/>
  <c r="B4" i="11"/>
  <c r="E4" i="11" s="1"/>
  <c r="E5" i="11"/>
  <c r="E13" i="11"/>
  <c r="E6" i="11"/>
  <c r="E14" i="11"/>
  <c r="E7" i="11"/>
  <c r="E15" i="11"/>
  <c r="E8" i="11"/>
  <c r="E16" i="11"/>
  <c r="E9" i="11"/>
  <c r="E17" i="11"/>
  <c r="E10" i="11"/>
  <c r="E11" i="11"/>
  <c r="E5" i="10"/>
  <c r="E13" i="10"/>
  <c r="E6" i="10"/>
  <c r="E14" i="10"/>
  <c r="E7" i="10"/>
  <c r="E15" i="10"/>
  <c r="E8" i="10"/>
  <c r="E16" i="10"/>
  <c r="B4" i="10"/>
  <c r="O32" i="10" s="1"/>
  <c r="P32" i="10" s="1"/>
  <c r="E9" i="10"/>
  <c r="E17" i="10"/>
  <c r="E10" i="10"/>
  <c r="E11" i="10"/>
  <c r="E5" i="9"/>
  <c r="B4" i="9"/>
  <c r="O46" i="9" s="1"/>
  <c r="P46" i="9" s="1"/>
  <c r="E5" i="8"/>
  <c r="E13" i="8"/>
  <c r="E6" i="8"/>
  <c r="E14" i="8"/>
  <c r="B4" i="8"/>
  <c r="O48" i="8" s="1"/>
  <c r="P48" i="8" s="1"/>
  <c r="E7" i="8"/>
  <c r="E15" i="8"/>
  <c r="E8" i="8"/>
  <c r="E16" i="8"/>
  <c r="E9" i="8"/>
  <c r="E10" i="8"/>
  <c r="E11" i="8"/>
  <c r="B4" i="7"/>
  <c r="O47" i="7" s="1"/>
  <c r="P47" i="7" s="1"/>
  <c r="E5" i="7"/>
  <c r="E13" i="7"/>
  <c r="E6" i="7"/>
  <c r="E14" i="7"/>
  <c r="E7" i="7"/>
  <c r="E8" i="7"/>
  <c r="E9" i="7"/>
  <c r="E10" i="7"/>
  <c r="E11" i="7"/>
  <c r="B4" i="6"/>
  <c r="P47" i="6" s="1"/>
  <c r="B4" i="5"/>
  <c r="O35" i="5" s="1"/>
  <c r="P35" i="5" s="1"/>
  <c r="B4" i="3"/>
  <c r="O45" i="3" s="1"/>
  <c r="P45" i="3" s="1"/>
  <c r="E5" i="1"/>
  <c r="D8" i="1"/>
  <c r="D10" i="1"/>
  <c r="D3" i="1"/>
  <c r="E6" i="1"/>
  <c r="D4" i="1"/>
  <c r="D9" i="1"/>
  <c r="D6" i="1"/>
  <c r="E2" i="1"/>
  <c r="D5" i="1"/>
  <c r="E10" i="1"/>
  <c r="E4" i="1"/>
  <c r="E11" i="1"/>
  <c r="E8" i="1"/>
  <c r="E3" i="1"/>
  <c r="E9" i="1"/>
  <c r="O37" i="5" l="1"/>
  <c r="P37" i="5" s="1"/>
  <c r="O36" i="5"/>
  <c r="P36" i="5" s="1"/>
  <c r="O42" i="12"/>
  <c r="P42" i="12" s="1"/>
  <c r="O41" i="12"/>
  <c r="P41" i="12" s="1"/>
  <c r="O40" i="12"/>
  <c r="P40" i="12" s="1"/>
  <c r="O48" i="4"/>
  <c r="P48" i="4" s="1"/>
  <c r="O33" i="5"/>
  <c r="P33" i="5" s="1"/>
  <c r="O34" i="5"/>
  <c r="P34" i="5" s="1"/>
  <c r="O48" i="7"/>
  <c r="P48" i="7" s="1"/>
  <c r="O29" i="12"/>
  <c r="P29" i="12" s="1"/>
  <c r="O38" i="12"/>
  <c r="P38" i="12" s="1"/>
  <c r="O47" i="4"/>
  <c r="P47" i="4" s="1"/>
  <c r="O46" i="4"/>
  <c r="P46" i="4" s="1"/>
  <c r="O45" i="4"/>
  <c r="P45" i="4" s="1"/>
  <c r="O40" i="7"/>
  <c r="P40" i="7" s="1"/>
  <c r="O46" i="7"/>
  <c r="P46" i="7" s="1"/>
  <c r="O45" i="7"/>
  <c r="P45" i="7" s="1"/>
  <c r="O37" i="12"/>
  <c r="P37" i="12" s="1"/>
  <c r="O36" i="12"/>
  <c r="P36" i="12" s="1"/>
  <c r="O44" i="4"/>
  <c r="P44" i="4" s="1"/>
  <c r="O35" i="12"/>
  <c r="P35" i="12" s="1"/>
  <c r="O44" i="7"/>
  <c r="P44" i="7" s="1"/>
  <c r="O42" i="4"/>
  <c r="P42" i="4" s="1"/>
  <c r="O43" i="7"/>
  <c r="P43" i="7" s="1"/>
  <c r="O30" i="5"/>
  <c r="P30" i="5" s="1"/>
  <c r="O32" i="5"/>
  <c r="P32" i="5" s="1"/>
  <c r="P48" i="6"/>
  <c r="O34" i="12"/>
  <c r="P34" i="12" s="1"/>
  <c r="O33" i="12"/>
  <c r="P33" i="12" s="1"/>
  <c r="O40" i="4"/>
  <c r="P40" i="4" s="1"/>
  <c r="O41" i="4"/>
  <c r="P41" i="4" s="1"/>
  <c r="O31" i="5"/>
  <c r="P31" i="5" s="1"/>
  <c r="O32" i="12"/>
  <c r="P32" i="12" s="1"/>
  <c r="O42" i="7"/>
  <c r="P42" i="7" s="1"/>
  <c r="Q47" i="6"/>
  <c r="R47" i="6" s="1"/>
  <c r="P34" i="6"/>
  <c r="Q34" i="6" s="1"/>
  <c r="R34" i="6" s="1"/>
  <c r="P46" i="6"/>
  <c r="O41" i="7"/>
  <c r="P41" i="7" s="1"/>
  <c r="P45" i="6"/>
  <c r="P44" i="6"/>
  <c r="P43" i="6"/>
  <c r="O27" i="5"/>
  <c r="P27" i="5" s="1"/>
  <c r="O29" i="5"/>
  <c r="P29" i="5" s="1"/>
  <c r="O31" i="12"/>
  <c r="P31" i="12" s="1"/>
  <c r="O48" i="3"/>
  <c r="P48" i="3" s="1"/>
  <c r="O40" i="8"/>
  <c r="P40" i="8" s="1"/>
  <c r="O47" i="8"/>
  <c r="P47" i="8" s="1"/>
  <c r="P42" i="6"/>
  <c r="O38" i="7"/>
  <c r="P38" i="7" s="1"/>
  <c r="O39" i="7"/>
  <c r="P39" i="7" s="1"/>
  <c r="O30" i="4"/>
  <c r="P30" i="4" s="1"/>
  <c r="O39" i="4"/>
  <c r="P39" i="4" s="1"/>
  <c r="O46" i="8"/>
  <c r="P46" i="8" s="1"/>
  <c r="O38" i="4"/>
  <c r="P38" i="4" s="1"/>
  <c r="O45" i="8"/>
  <c r="P45" i="8" s="1"/>
  <c r="O44" i="8"/>
  <c r="P44" i="8" s="1"/>
  <c r="P41" i="6"/>
  <c r="O47" i="3"/>
  <c r="P47" i="3" s="1"/>
  <c r="O48" i="9"/>
  <c r="P48" i="9" s="1"/>
  <c r="O46" i="3"/>
  <c r="P46" i="3" s="1"/>
  <c r="O28" i="5"/>
  <c r="P28" i="5" s="1"/>
  <c r="O36" i="7"/>
  <c r="P36" i="7" s="1"/>
  <c r="O37" i="7"/>
  <c r="P37" i="7" s="1"/>
  <c r="O30" i="12"/>
  <c r="P30" i="12" s="1"/>
  <c r="O47" i="9"/>
  <c r="P47" i="9" s="1"/>
  <c r="O37" i="4"/>
  <c r="P37" i="4" s="1"/>
  <c r="O34" i="7"/>
  <c r="P34" i="7" s="1"/>
  <c r="O35" i="7"/>
  <c r="P35" i="7" s="1"/>
  <c r="O24" i="5"/>
  <c r="P24" i="5" s="1"/>
  <c r="O26" i="5"/>
  <c r="P26" i="5" s="1"/>
  <c r="O48" i="10"/>
  <c r="P48" i="10" s="1"/>
  <c r="O43" i="3"/>
  <c r="P43" i="3" s="1"/>
  <c r="O44" i="3"/>
  <c r="P44" i="3" s="1"/>
  <c r="O36" i="4"/>
  <c r="P36" i="4" s="1"/>
  <c r="O43" i="8"/>
  <c r="P43" i="8" s="1"/>
  <c r="O35" i="4"/>
  <c r="P35" i="4" s="1"/>
  <c r="O42" i="8"/>
  <c r="P42" i="8" s="1"/>
  <c r="O47" i="10"/>
  <c r="P47" i="10" s="1"/>
  <c r="P40" i="6"/>
  <c r="O22" i="12"/>
  <c r="P22" i="12" s="1"/>
  <c r="O28" i="12"/>
  <c r="P28" i="12" s="1"/>
  <c r="O41" i="8"/>
  <c r="P41" i="8" s="1"/>
  <c r="O44" i="9"/>
  <c r="P44" i="9" s="1"/>
  <c r="O45" i="9"/>
  <c r="P45" i="9" s="1"/>
  <c r="P39" i="6"/>
  <c r="P38" i="6"/>
  <c r="O34" i="4"/>
  <c r="P34" i="4" s="1"/>
  <c r="P37" i="6"/>
  <c r="O46" i="10"/>
  <c r="P46" i="10" s="1"/>
  <c r="O27" i="12"/>
  <c r="P27" i="12" s="1"/>
  <c r="O28" i="7"/>
  <c r="P28" i="7" s="1"/>
  <c r="O33" i="7"/>
  <c r="P33" i="7" s="1"/>
  <c r="O40" i="3"/>
  <c r="P40" i="3" s="1"/>
  <c r="O42" i="3"/>
  <c r="P42" i="3" s="1"/>
  <c r="O32" i="7"/>
  <c r="P32" i="7" s="1"/>
  <c r="O41" i="3"/>
  <c r="P41" i="3" s="1"/>
  <c r="P36" i="6"/>
  <c r="O45" i="10"/>
  <c r="P45" i="10" s="1"/>
  <c r="O35" i="8"/>
  <c r="P35" i="8" s="1"/>
  <c r="O39" i="8"/>
  <c r="P39" i="8" s="1"/>
  <c r="O26" i="12"/>
  <c r="P26" i="12" s="1"/>
  <c r="O31" i="7"/>
  <c r="P31" i="7" s="1"/>
  <c r="O38" i="8"/>
  <c r="P38" i="8" s="1"/>
  <c r="O38" i="3"/>
  <c r="P38" i="3" s="1"/>
  <c r="O39" i="3"/>
  <c r="P39" i="3" s="1"/>
  <c r="O33" i="4"/>
  <c r="P33" i="4" s="1"/>
  <c r="O32" i="4"/>
  <c r="P32" i="4" s="1"/>
  <c r="O44" i="10"/>
  <c r="P44" i="10" s="1"/>
  <c r="O43" i="10"/>
  <c r="P43" i="10" s="1"/>
  <c r="O42" i="9"/>
  <c r="P42" i="9" s="1"/>
  <c r="O43" i="9"/>
  <c r="P43" i="9" s="1"/>
  <c r="O37" i="8"/>
  <c r="P37" i="8" s="1"/>
  <c r="O30" i="7"/>
  <c r="P30" i="7" s="1"/>
  <c r="O25" i="12"/>
  <c r="P25" i="12" s="1"/>
  <c r="O24" i="12"/>
  <c r="P24" i="12" s="1"/>
  <c r="O32" i="3"/>
  <c r="P32" i="3" s="1"/>
  <c r="O37" i="3"/>
  <c r="P37" i="3" s="1"/>
  <c r="O25" i="5"/>
  <c r="P25" i="5" s="1"/>
  <c r="O36" i="8"/>
  <c r="P36" i="8" s="1"/>
  <c r="O29" i="7"/>
  <c r="P29" i="7" s="1"/>
  <c r="O39" i="9"/>
  <c r="P39" i="9" s="1"/>
  <c r="O41" i="9"/>
  <c r="P41" i="9" s="1"/>
  <c r="O42" i="10"/>
  <c r="P42" i="10" s="1"/>
  <c r="O36" i="3"/>
  <c r="P36" i="3" s="1"/>
  <c r="O31" i="4"/>
  <c r="P31" i="4" s="1"/>
  <c r="O41" i="10"/>
  <c r="P41" i="10" s="1"/>
  <c r="O48" i="11"/>
  <c r="P48" i="11" s="1"/>
  <c r="P35" i="6"/>
  <c r="Q35" i="6" s="1"/>
  <c r="R35" i="6" s="1"/>
  <c r="O40" i="10"/>
  <c r="P40" i="10" s="1"/>
  <c r="O40" i="9"/>
  <c r="P40" i="9" s="1"/>
  <c r="O23" i="12"/>
  <c r="P23" i="12" s="1"/>
  <c r="O24" i="4"/>
  <c r="P24" i="4" s="1"/>
  <c r="O29" i="4"/>
  <c r="P29" i="4" s="1"/>
  <c r="O28" i="4"/>
  <c r="P28" i="4" s="1"/>
  <c r="P27" i="6"/>
  <c r="Q27" i="6" s="1"/>
  <c r="R27" i="6" s="1"/>
  <c r="P33" i="6"/>
  <c r="O39" i="10"/>
  <c r="P39" i="10" s="1"/>
  <c r="O27" i="9"/>
  <c r="P27" i="9" s="1"/>
  <c r="O38" i="9"/>
  <c r="P38" i="9" s="1"/>
  <c r="O47" i="11"/>
  <c r="P47" i="11" s="1"/>
  <c r="O46" i="11"/>
  <c r="P46" i="11" s="1"/>
  <c r="O22" i="5"/>
  <c r="P22" i="5" s="1"/>
  <c r="O23" i="5"/>
  <c r="P23" i="5" s="1"/>
  <c r="O45" i="11"/>
  <c r="P45" i="11" s="1"/>
  <c r="O35" i="3"/>
  <c r="P35" i="3" s="1"/>
  <c r="O34" i="3"/>
  <c r="P34" i="3" s="1"/>
  <c r="O27" i="4"/>
  <c r="P27" i="4" s="1"/>
  <c r="O31" i="8"/>
  <c r="P31" i="8" s="1"/>
  <c r="O34" i="8"/>
  <c r="P34" i="8" s="1"/>
  <c r="P32" i="6"/>
  <c r="O38" i="10"/>
  <c r="P38" i="10" s="1"/>
  <c r="O26" i="4"/>
  <c r="P26" i="4" s="1"/>
  <c r="O37" i="9"/>
  <c r="P37" i="9" s="1"/>
  <c r="O33" i="3"/>
  <c r="P33" i="3" s="1"/>
  <c r="O25" i="4"/>
  <c r="P25" i="4" s="1"/>
  <c r="O36" i="9"/>
  <c r="P36" i="9" s="1"/>
  <c r="O33" i="8"/>
  <c r="P33" i="8" s="1"/>
  <c r="O37" i="10"/>
  <c r="P37" i="10" s="1"/>
  <c r="O35" i="9"/>
  <c r="P35" i="9" s="1"/>
  <c r="O32" i="8"/>
  <c r="P32" i="8" s="1"/>
  <c r="O26" i="7"/>
  <c r="P26" i="7" s="1"/>
  <c r="O27" i="7"/>
  <c r="P27" i="7" s="1"/>
  <c r="O34" i="9"/>
  <c r="P34" i="9" s="1"/>
  <c r="O36" i="10"/>
  <c r="P36" i="10" s="1"/>
  <c r="E4" i="3"/>
  <c r="H7" i="1" s="1"/>
  <c r="O31" i="3"/>
  <c r="P31" i="3" s="1"/>
  <c r="O44" i="11"/>
  <c r="P44" i="11" s="1"/>
  <c r="O30" i="3"/>
  <c r="P30" i="3" s="1"/>
  <c r="O9" i="4"/>
  <c r="P9" i="4" s="1"/>
  <c r="O23" i="4"/>
  <c r="P23" i="4" s="1"/>
  <c r="O13" i="7"/>
  <c r="P13" i="7" s="1"/>
  <c r="O25" i="7"/>
  <c r="P25" i="7" s="1"/>
  <c r="O24" i="7"/>
  <c r="P24" i="7" s="1"/>
  <c r="O23" i="7"/>
  <c r="P23" i="7" s="1"/>
  <c r="O22" i="7"/>
  <c r="P22" i="7" s="1"/>
  <c r="P31" i="6"/>
  <c r="O22" i="4"/>
  <c r="P22" i="4" s="1"/>
  <c r="O43" i="11"/>
  <c r="P43" i="11" s="1"/>
  <c r="O42" i="11"/>
  <c r="P42" i="11" s="1"/>
  <c r="O33" i="9"/>
  <c r="P33" i="9" s="1"/>
  <c r="O32" i="9"/>
  <c r="P32" i="9" s="1"/>
  <c r="O35" i="10"/>
  <c r="P35" i="10" s="1"/>
  <c r="O41" i="11"/>
  <c r="P41" i="11" s="1"/>
  <c r="O29" i="3"/>
  <c r="P29" i="3" s="1"/>
  <c r="O28" i="3"/>
  <c r="P28" i="3" s="1"/>
  <c r="O5" i="4"/>
  <c r="P5" i="4" s="1"/>
  <c r="O13" i="4"/>
  <c r="P13" i="4" s="1"/>
  <c r="O19" i="4"/>
  <c r="P19" i="4" s="1"/>
  <c r="O6" i="4"/>
  <c r="P6" i="4" s="1"/>
  <c r="E4" i="4"/>
  <c r="O31" i="9"/>
  <c r="P31" i="9" s="1"/>
  <c r="O11" i="4"/>
  <c r="P11" i="4" s="1"/>
  <c r="O15" i="4"/>
  <c r="P15" i="4" s="1"/>
  <c r="O17" i="4"/>
  <c r="P17" i="4" s="1"/>
  <c r="O12" i="4"/>
  <c r="P12" i="4" s="1"/>
  <c r="O7" i="4"/>
  <c r="P7" i="4" s="1"/>
  <c r="O18" i="4"/>
  <c r="P18" i="4" s="1"/>
  <c r="O20" i="4"/>
  <c r="P20" i="4" s="1"/>
  <c r="O14" i="4"/>
  <c r="P14" i="4" s="1"/>
  <c r="O21" i="4"/>
  <c r="P21" i="4" s="1"/>
  <c r="O8" i="4"/>
  <c r="P8" i="4" s="1"/>
  <c r="O16" i="4"/>
  <c r="P16" i="4" s="1"/>
  <c r="O10" i="4"/>
  <c r="P10" i="4" s="1"/>
  <c r="O27" i="3"/>
  <c r="P27" i="3" s="1"/>
  <c r="O34" i="10"/>
  <c r="P34" i="10" s="1"/>
  <c r="O33" i="10"/>
  <c r="P33" i="10" s="1"/>
  <c r="O30" i="9"/>
  <c r="P30" i="9" s="1"/>
  <c r="O21" i="7"/>
  <c r="P21" i="7" s="1"/>
  <c r="O40" i="11"/>
  <c r="P40" i="11" s="1"/>
  <c r="P30" i="6"/>
  <c r="O23" i="8"/>
  <c r="P23" i="8" s="1"/>
  <c r="O30" i="8"/>
  <c r="P30" i="8" s="1"/>
  <c r="P29" i="6"/>
  <c r="P28" i="6"/>
  <c r="E20" i="4"/>
  <c r="E11" i="4"/>
  <c r="E18" i="4"/>
  <c r="O29" i="9"/>
  <c r="P29" i="9" s="1"/>
  <c r="E19" i="4"/>
  <c r="E34" i="4"/>
  <c r="E10" i="4"/>
  <c r="E16" i="4"/>
  <c r="E28" i="4"/>
  <c r="E33" i="4"/>
  <c r="E24" i="4"/>
  <c r="E25" i="4"/>
  <c r="E32" i="4"/>
  <c r="E15" i="4"/>
  <c r="E17" i="4"/>
  <c r="E31" i="4"/>
  <c r="E14" i="4"/>
  <c r="E23" i="4"/>
  <c r="E35" i="4"/>
  <c r="E30" i="4"/>
  <c r="E13" i="4"/>
  <c r="E22" i="4"/>
  <c r="E27" i="4"/>
  <c r="E29" i="4"/>
  <c r="E12" i="4"/>
  <c r="E21" i="4"/>
  <c r="E26" i="4"/>
  <c r="E4" i="5"/>
  <c r="H10" i="1" s="1"/>
  <c r="O21" i="5"/>
  <c r="P21" i="5" s="1"/>
  <c r="O39" i="11"/>
  <c r="P39" i="11" s="1"/>
  <c r="O20" i="7"/>
  <c r="P20" i="7" s="1"/>
  <c r="O37" i="11"/>
  <c r="P37" i="11" s="1"/>
  <c r="O38" i="11"/>
  <c r="P38" i="11" s="1"/>
  <c r="O36" i="11"/>
  <c r="P36" i="11" s="1"/>
  <c r="O35" i="11"/>
  <c r="P35" i="11" s="1"/>
  <c r="O29" i="8"/>
  <c r="P29" i="8" s="1"/>
  <c r="O34" i="11"/>
  <c r="P34" i="11" s="1"/>
  <c r="O20" i="5"/>
  <c r="P20" i="5" s="1"/>
  <c r="O28" i="9"/>
  <c r="P28" i="9" s="1"/>
  <c r="O33" i="11"/>
  <c r="P33" i="11" s="1"/>
  <c r="E4" i="10"/>
  <c r="H6" i="1" s="1"/>
  <c r="O31" i="10"/>
  <c r="P31" i="10" s="1"/>
  <c r="O32" i="11"/>
  <c r="P32" i="11" s="1"/>
  <c r="O26" i="3"/>
  <c r="P26" i="3" s="1"/>
  <c r="O28" i="8"/>
  <c r="P28" i="8" s="1"/>
  <c r="O19" i="5"/>
  <c r="P19" i="5" s="1"/>
  <c r="O30" i="10"/>
  <c r="P30" i="10" s="1"/>
  <c r="O25" i="3"/>
  <c r="P25" i="3" s="1"/>
  <c r="O10" i="9"/>
  <c r="P10" i="9" s="1"/>
  <c r="O26" i="9"/>
  <c r="P26" i="9" s="1"/>
  <c r="O25" i="9"/>
  <c r="P25" i="9" s="1"/>
  <c r="O27" i="8"/>
  <c r="P27" i="8" s="1"/>
  <c r="O31" i="11"/>
  <c r="P31" i="11" s="1"/>
  <c r="O19" i="7"/>
  <c r="P19" i="7" s="1"/>
  <c r="O24" i="9"/>
  <c r="P24" i="9" s="1"/>
  <c r="O26" i="8"/>
  <c r="P26" i="8" s="1"/>
  <c r="O30" i="11"/>
  <c r="P30" i="11" s="1"/>
  <c r="O18" i="7"/>
  <c r="P18" i="7" s="1"/>
  <c r="E4" i="12"/>
  <c r="H3" i="1" s="1"/>
  <c r="O21" i="12"/>
  <c r="P21" i="12" s="1"/>
  <c r="P21" i="6"/>
  <c r="Q21" i="6" s="1"/>
  <c r="R21" i="6" s="1"/>
  <c r="P26" i="6"/>
  <c r="O25" i="8"/>
  <c r="P25" i="8" s="1"/>
  <c r="O20" i="12"/>
  <c r="P20" i="12" s="1"/>
  <c r="P24" i="6"/>
  <c r="P25" i="6"/>
  <c r="O24" i="8"/>
  <c r="P24" i="8" s="1"/>
  <c r="O18" i="5"/>
  <c r="P18" i="5" s="1"/>
  <c r="O19" i="12"/>
  <c r="P19" i="12" s="1"/>
  <c r="O24" i="3"/>
  <c r="P24" i="3" s="1"/>
  <c r="E4" i="8"/>
  <c r="H2" i="1" s="1"/>
  <c r="O22" i="8"/>
  <c r="P22" i="8" s="1"/>
  <c r="O29" i="10"/>
  <c r="P29" i="10" s="1"/>
  <c r="P22" i="6"/>
  <c r="Q22" i="6" s="1"/>
  <c r="R22" i="6" s="1"/>
  <c r="P23" i="6"/>
  <c r="Q23" i="6" s="1"/>
  <c r="R23" i="6" s="1"/>
  <c r="O17" i="5"/>
  <c r="P17" i="5" s="1"/>
  <c r="O17" i="7"/>
  <c r="P17" i="7" s="1"/>
  <c r="O29" i="11"/>
  <c r="P29" i="11" s="1"/>
  <c r="O23" i="3"/>
  <c r="P23" i="3" s="1"/>
  <c r="O23" i="9"/>
  <c r="P23" i="9" s="1"/>
  <c r="O28" i="10"/>
  <c r="P28" i="10" s="1"/>
  <c r="O18" i="12"/>
  <c r="P18" i="12" s="1"/>
  <c r="O16" i="5"/>
  <c r="P16" i="5" s="1"/>
  <c r="O16" i="7"/>
  <c r="P16" i="7" s="1"/>
  <c r="O27" i="10"/>
  <c r="P27" i="10" s="1"/>
  <c r="O26" i="10"/>
  <c r="P26" i="10" s="1"/>
  <c r="O15" i="7"/>
  <c r="P15" i="7" s="1"/>
  <c r="O22" i="9"/>
  <c r="P22" i="9" s="1"/>
  <c r="O28" i="11"/>
  <c r="P28" i="11" s="1"/>
  <c r="E4" i="6"/>
  <c r="H4" i="1" s="1"/>
  <c r="P20" i="6"/>
  <c r="O21" i="9"/>
  <c r="P21" i="9" s="1"/>
  <c r="P19" i="6"/>
  <c r="O25" i="10"/>
  <c r="P25" i="10" s="1"/>
  <c r="O22" i="3"/>
  <c r="P22" i="3" s="1"/>
  <c r="O21" i="8"/>
  <c r="P21" i="8" s="1"/>
  <c r="P18" i="6"/>
  <c r="Q18" i="6" s="1"/>
  <c r="P17" i="6"/>
  <c r="O20" i="8"/>
  <c r="P20" i="8" s="1"/>
  <c r="E9" i="4"/>
  <c r="E8" i="4"/>
  <c r="O19" i="8"/>
  <c r="P19" i="8" s="1"/>
  <c r="O10" i="8"/>
  <c r="P10" i="8" s="1"/>
  <c r="O12" i="9"/>
  <c r="P12" i="9" s="1"/>
  <c r="O18" i="8"/>
  <c r="P18" i="8" s="1"/>
  <c r="O8" i="8"/>
  <c r="P8" i="8" s="1"/>
  <c r="O16" i="9"/>
  <c r="P16" i="9" s="1"/>
  <c r="O9" i="9"/>
  <c r="P9" i="9" s="1"/>
  <c r="O18" i="10"/>
  <c r="P18" i="10" s="1"/>
  <c r="O14" i="7"/>
  <c r="P14" i="7" s="1"/>
  <c r="O10" i="7"/>
  <c r="P10" i="7" s="1"/>
  <c r="O6" i="8"/>
  <c r="P6" i="8" s="1"/>
  <c r="O12" i="8"/>
  <c r="P12" i="8" s="1"/>
  <c r="O5" i="9"/>
  <c r="P5" i="9" s="1"/>
  <c r="O14" i="10"/>
  <c r="P14" i="10" s="1"/>
  <c r="O8" i="10"/>
  <c r="P8" i="10" s="1"/>
  <c r="O11" i="11"/>
  <c r="P11" i="11" s="1"/>
  <c r="O11" i="12"/>
  <c r="P11" i="12" s="1"/>
  <c r="O16" i="8"/>
  <c r="P16" i="8" s="1"/>
  <c r="O25" i="11"/>
  <c r="P25" i="11" s="1"/>
  <c r="O7" i="11"/>
  <c r="P7" i="11" s="1"/>
  <c r="O7" i="7"/>
  <c r="P7" i="7" s="1"/>
  <c r="O7" i="8"/>
  <c r="P7" i="8" s="1"/>
  <c r="O9" i="8"/>
  <c r="P9" i="8" s="1"/>
  <c r="O7" i="9"/>
  <c r="P7" i="9" s="1"/>
  <c r="O10" i="10"/>
  <c r="P10" i="10" s="1"/>
  <c r="O12" i="10"/>
  <c r="P12" i="10" s="1"/>
  <c r="O13" i="11"/>
  <c r="P13" i="11" s="1"/>
  <c r="O15" i="11"/>
  <c r="P15" i="11" s="1"/>
  <c r="O15" i="12"/>
  <c r="P15" i="12" s="1"/>
  <c r="O17" i="12"/>
  <c r="P17" i="12" s="1"/>
  <c r="O26" i="11"/>
  <c r="P26" i="11" s="1"/>
  <c r="O21" i="11"/>
  <c r="P21" i="11" s="1"/>
  <c r="O11" i="7"/>
  <c r="P11" i="7" s="1"/>
  <c r="O8" i="7"/>
  <c r="P8" i="7" s="1"/>
  <c r="O11" i="8"/>
  <c r="P11" i="8" s="1"/>
  <c r="O11" i="9"/>
  <c r="P11" i="9" s="1"/>
  <c r="O6" i="10"/>
  <c r="P6" i="10" s="1"/>
  <c r="O5" i="10"/>
  <c r="P5" i="10" s="1"/>
  <c r="O9" i="11"/>
  <c r="P9" i="11" s="1"/>
  <c r="O5" i="12"/>
  <c r="P5" i="12" s="1"/>
  <c r="O20" i="11"/>
  <c r="P20" i="11" s="1"/>
  <c r="O16" i="12"/>
  <c r="P16" i="12" s="1"/>
  <c r="O22" i="11"/>
  <c r="P22" i="11" s="1"/>
  <c r="O17" i="11"/>
  <c r="P17" i="11" s="1"/>
  <c r="O17" i="8"/>
  <c r="P17" i="8" s="1"/>
  <c r="O12" i="7"/>
  <c r="P12" i="7" s="1"/>
  <c r="O15" i="8"/>
  <c r="P15" i="8" s="1"/>
  <c r="O14" i="9"/>
  <c r="P14" i="9" s="1"/>
  <c r="O15" i="9"/>
  <c r="P15" i="9" s="1"/>
  <c r="O7" i="10"/>
  <c r="P7" i="10" s="1"/>
  <c r="O13" i="10"/>
  <c r="P13" i="10" s="1"/>
  <c r="O5" i="11"/>
  <c r="P5" i="11" s="1"/>
  <c r="O9" i="12"/>
  <c r="P9" i="12" s="1"/>
  <c r="O13" i="12"/>
  <c r="P13" i="12" s="1"/>
  <c r="O16" i="11"/>
  <c r="P16" i="11" s="1"/>
  <c r="O27" i="11"/>
  <c r="P27" i="11" s="1"/>
  <c r="O18" i="11"/>
  <c r="P18" i="11" s="1"/>
  <c r="O24" i="10"/>
  <c r="P24" i="10" s="1"/>
  <c r="O18" i="9"/>
  <c r="P18" i="9" s="1"/>
  <c r="O7" i="12"/>
  <c r="P7" i="12" s="1"/>
  <c r="O5" i="7"/>
  <c r="P5" i="7" s="1"/>
  <c r="O13" i="8"/>
  <c r="P13" i="8" s="1"/>
  <c r="O11" i="10"/>
  <c r="P11" i="10" s="1"/>
  <c r="O14" i="11"/>
  <c r="P14" i="11" s="1"/>
  <c r="O8" i="11"/>
  <c r="P8" i="11" s="1"/>
  <c r="O14" i="12"/>
  <c r="P14" i="12" s="1"/>
  <c r="O19" i="10"/>
  <c r="P19" i="10" s="1"/>
  <c r="O23" i="11"/>
  <c r="P23" i="11" s="1"/>
  <c r="O21" i="10"/>
  <c r="P21" i="10" s="1"/>
  <c r="O20" i="10"/>
  <c r="P20" i="10" s="1"/>
  <c r="O24" i="11"/>
  <c r="P24" i="11" s="1"/>
  <c r="E4" i="9"/>
  <c r="H5" i="1" s="1"/>
  <c r="O17" i="9"/>
  <c r="P17" i="9" s="1"/>
  <c r="O9" i="7"/>
  <c r="P9" i="7" s="1"/>
  <c r="O5" i="8"/>
  <c r="P5" i="8" s="1"/>
  <c r="O6" i="9"/>
  <c r="P6" i="9" s="1"/>
  <c r="O15" i="10"/>
  <c r="P15" i="10" s="1"/>
  <c r="O10" i="11"/>
  <c r="P10" i="11" s="1"/>
  <c r="O12" i="11"/>
  <c r="P12" i="11" s="1"/>
  <c r="O10" i="12"/>
  <c r="P10" i="12" s="1"/>
  <c r="O8" i="12"/>
  <c r="P8" i="12" s="1"/>
  <c r="O19" i="11"/>
  <c r="P19" i="11" s="1"/>
  <c r="O17" i="10"/>
  <c r="P17" i="10" s="1"/>
  <c r="O16" i="10"/>
  <c r="P16" i="10" s="1"/>
  <c r="O6" i="7"/>
  <c r="P6" i="7" s="1"/>
  <c r="O14" i="8"/>
  <c r="P14" i="8" s="1"/>
  <c r="O13" i="9"/>
  <c r="P13" i="9" s="1"/>
  <c r="O8" i="9"/>
  <c r="P8" i="9" s="1"/>
  <c r="O9" i="10"/>
  <c r="P9" i="10" s="1"/>
  <c r="O6" i="11"/>
  <c r="P6" i="11" s="1"/>
  <c r="O6" i="12"/>
  <c r="P6" i="12" s="1"/>
  <c r="O12" i="12"/>
  <c r="P12" i="12" s="1"/>
  <c r="O22" i="10"/>
  <c r="P22" i="10" s="1"/>
  <c r="O20" i="9"/>
  <c r="P20" i="9" s="1"/>
  <c r="O19" i="9"/>
  <c r="P19" i="9" s="1"/>
  <c r="O23" i="10"/>
  <c r="P23" i="10" s="1"/>
  <c r="O4" i="12"/>
  <c r="P4" i="12" s="1"/>
  <c r="O4" i="11"/>
  <c r="P4" i="11" s="1"/>
  <c r="O4" i="10"/>
  <c r="P4" i="10" s="1"/>
  <c r="O4" i="9"/>
  <c r="P4" i="9" s="1"/>
  <c r="O4" i="8"/>
  <c r="P4" i="8" s="1"/>
  <c r="O4" i="7"/>
  <c r="P4" i="7" s="1"/>
  <c r="E4" i="7"/>
  <c r="H8" i="1" s="1"/>
  <c r="O10" i="3"/>
  <c r="P10" i="3" s="1"/>
  <c r="O8" i="3"/>
  <c r="P8" i="3" s="1"/>
  <c r="O13" i="5"/>
  <c r="P13" i="5" s="1"/>
  <c r="O12" i="5"/>
  <c r="P12" i="5" s="1"/>
  <c r="P7" i="6"/>
  <c r="O6" i="3"/>
  <c r="P6" i="3" s="1"/>
  <c r="O12" i="3"/>
  <c r="P12" i="3" s="1"/>
  <c r="O9" i="5"/>
  <c r="P9" i="5" s="1"/>
  <c r="P11" i="6"/>
  <c r="O4" i="4"/>
  <c r="P4" i="4" s="1"/>
  <c r="O13" i="3"/>
  <c r="P13" i="3" s="1"/>
  <c r="O5" i="5"/>
  <c r="P5" i="5" s="1"/>
  <c r="P14" i="6"/>
  <c r="O21" i="3"/>
  <c r="P21" i="3" s="1"/>
  <c r="O9" i="3"/>
  <c r="P9" i="3" s="1"/>
  <c r="O7" i="5"/>
  <c r="P7" i="5" s="1"/>
  <c r="P10" i="6"/>
  <c r="P8" i="6"/>
  <c r="O17" i="3"/>
  <c r="P17" i="3" s="1"/>
  <c r="O5" i="3"/>
  <c r="P5" i="3" s="1"/>
  <c r="O14" i="5"/>
  <c r="P14" i="5" s="1"/>
  <c r="O11" i="5"/>
  <c r="P11" i="5" s="1"/>
  <c r="P6" i="6"/>
  <c r="P12" i="6"/>
  <c r="P16" i="6"/>
  <c r="P15" i="6"/>
  <c r="O18" i="3"/>
  <c r="P18" i="3" s="1"/>
  <c r="O7" i="3"/>
  <c r="P7" i="3" s="1"/>
  <c r="O10" i="5"/>
  <c r="P10" i="5" s="1"/>
  <c r="P13" i="6"/>
  <c r="O20" i="3"/>
  <c r="P20" i="3" s="1"/>
  <c r="O15" i="5"/>
  <c r="P15" i="5" s="1"/>
  <c r="O11" i="3"/>
  <c r="P11" i="3" s="1"/>
  <c r="O6" i="5"/>
  <c r="P6" i="5" s="1"/>
  <c r="P9" i="6"/>
  <c r="O16" i="3"/>
  <c r="P16" i="3" s="1"/>
  <c r="O19" i="3"/>
  <c r="P19" i="3" s="1"/>
  <c r="O14" i="3"/>
  <c r="P14" i="3" s="1"/>
  <c r="O8" i="5"/>
  <c r="P8" i="5" s="1"/>
  <c r="P5" i="6"/>
  <c r="O15" i="3"/>
  <c r="P15" i="3" s="1"/>
  <c r="P4" i="6"/>
  <c r="O4" i="5"/>
  <c r="P4" i="5" s="1"/>
  <c r="O4" i="3"/>
  <c r="P4" i="3" s="1"/>
  <c r="E5" i="4"/>
  <c r="E7" i="4"/>
  <c r="E6" i="4"/>
  <c r="H9" i="1"/>
  <c r="Q48" i="6" l="1"/>
  <c r="R48" i="6" s="1"/>
  <c r="Q46" i="6"/>
  <c r="R46" i="6" s="1"/>
  <c r="Q45" i="6"/>
  <c r="R45" i="6" s="1"/>
  <c r="Q44" i="6"/>
  <c r="R44" i="6" s="1"/>
  <c r="Q43" i="6"/>
  <c r="R43" i="6" s="1"/>
  <c r="Q42" i="6"/>
  <c r="R42" i="6" s="1"/>
  <c r="Q41" i="6"/>
  <c r="R41" i="6" s="1"/>
  <c r="Q40" i="6"/>
  <c r="R40" i="6" s="1"/>
  <c r="Q38" i="6"/>
  <c r="R38" i="6"/>
  <c r="Q39" i="6"/>
  <c r="R39" i="6" s="1"/>
  <c r="Q37" i="6"/>
  <c r="R37" i="6" s="1"/>
  <c r="Q36" i="6"/>
  <c r="R36" i="6" s="1"/>
  <c r="Q33" i="6"/>
  <c r="R33" i="6" s="1"/>
  <c r="Q32" i="6"/>
  <c r="R32" i="6" s="1"/>
  <c r="Q31" i="6"/>
  <c r="R31" i="6" s="1"/>
  <c r="Q30" i="6"/>
  <c r="R30" i="6" s="1"/>
  <c r="Q29" i="6"/>
  <c r="R29" i="6" s="1"/>
  <c r="Q28" i="6"/>
  <c r="R28" i="6" s="1"/>
  <c r="Q26" i="6"/>
  <c r="R26" i="6" s="1"/>
  <c r="Q25" i="6"/>
  <c r="R25" i="6" s="1"/>
  <c r="Q24" i="6"/>
  <c r="R24" i="6" s="1"/>
  <c r="Q20" i="6"/>
  <c r="R20" i="6" s="1"/>
  <c r="Q19" i="6"/>
  <c r="R19" i="6" s="1"/>
  <c r="R18" i="6"/>
  <c r="Q17" i="6"/>
  <c r="R17" i="6" s="1"/>
  <c r="Q13" i="6"/>
  <c r="R13" i="6"/>
  <c r="Q7" i="6"/>
  <c r="R7" i="6" s="1"/>
  <c r="Q14" i="6"/>
  <c r="R14" i="6" s="1"/>
  <c r="Q9" i="6"/>
  <c r="R9" i="6"/>
  <c r="Q4" i="6"/>
  <c r="R4" i="6" s="1"/>
  <c r="Q15" i="6"/>
  <c r="R15" i="6" s="1"/>
  <c r="Q8" i="6"/>
  <c r="R8" i="6" s="1"/>
  <c r="Q16" i="6"/>
  <c r="R16" i="6" s="1"/>
  <c r="Q10" i="6"/>
  <c r="R10" i="6" s="1"/>
  <c r="Q11" i="6"/>
  <c r="R11" i="6" s="1"/>
  <c r="Q6" i="6"/>
  <c r="R6" i="6" s="1"/>
  <c r="Q5" i="6"/>
  <c r="R5" i="6" s="1"/>
  <c r="Q12" i="6"/>
  <c r="R12" i="6" s="1"/>
  <c r="H11" i="1"/>
  <c r="C15" i="13"/>
  <c r="C16" i="13"/>
  <c r="C20" i="13"/>
  <c r="C35" i="13"/>
  <c r="C12" i="13"/>
  <c r="C17" i="13"/>
  <c r="C23" i="13"/>
  <c r="F5" i="1"/>
  <c r="G5" i="1" s="1"/>
  <c r="J5" i="1" s="1"/>
  <c r="C13" i="13"/>
  <c r="F11" i="1"/>
  <c r="G11" i="1" s="1"/>
  <c r="C22" i="13"/>
  <c r="C27" i="13"/>
  <c r="C29" i="13"/>
  <c r="C26" i="13"/>
  <c r="C36" i="13"/>
  <c r="C39" i="13"/>
  <c r="C21" i="13"/>
  <c r="F3" i="1"/>
  <c r="G3" i="1" s="1"/>
  <c r="J3" i="1" s="1"/>
  <c r="F6" i="1"/>
  <c r="G6" i="1" s="1"/>
  <c r="J6" i="1" s="1"/>
  <c r="C19" i="13"/>
  <c r="C24" i="13"/>
  <c r="C18" i="13"/>
  <c r="C34" i="13"/>
  <c r="C28" i="13"/>
  <c r="C40" i="13"/>
  <c r="C32" i="13"/>
  <c r="C41" i="13"/>
  <c r="C31" i="13"/>
  <c r="C37" i="13"/>
  <c r="C25" i="13"/>
  <c r="E12" i="13"/>
  <c r="F7" i="1" s="1"/>
  <c r="G7" i="1" s="1"/>
  <c r="J7" i="1" s="1"/>
  <c r="F10" i="1"/>
  <c r="G10" i="1" s="1"/>
  <c r="J10" i="1" s="1"/>
  <c r="F2" i="1"/>
  <c r="G2" i="1" s="1"/>
  <c r="J2" i="1" s="1"/>
  <c r="C14" i="13"/>
  <c r="C38" i="13"/>
  <c r="C33" i="13"/>
  <c r="F9" i="1"/>
  <c r="G9" i="1" s="1"/>
  <c r="J9" i="1" s="1"/>
  <c r="C30" i="13"/>
  <c r="J11" i="1" l="1"/>
  <c r="G14" i="1"/>
  <c r="F8" i="1"/>
  <c r="G8" i="1" s="1"/>
  <c r="J8" i="1" s="1"/>
  <c r="F4" i="1"/>
  <c r="G4" i="1" s="1"/>
  <c r="J4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<sst xmlns="http://schemas.openxmlformats.org/spreadsheetml/2006/main" count="11103" uniqueCount="792">
  <si>
    <t>Equipo</t>
  </si>
  <si>
    <t>Manager</t>
  </si>
  <si>
    <t>Gasto</t>
  </si>
  <si>
    <t>Ingresos</t>
  </si>
  <si>
    <t>Saldo Inicial</t>
  </si>
  <si>
    <t>Saldo Actual</t>
  </si>
  <si>
    <t>FC Recreativo de Juerga</t>
  </si>
  <si>
    <t>yandrak</t>
  </si>
  <si>
    <t>Shiquetito 9</t>
  </si>
  <si>
    <t>JMGuti14</t>
  </si>
  <si>
    <t>AdolfitoFlick</t>
  </si>
  <si>
    <t>Desteban19</t>
  </si>
  <si>
    <t>FC Capitan</t>
  </si>
  <si>
    <t>Reivaj95</t>
  </si>
  <si>
    <t>CrisGC14</t>
  </si>
  <si>
    <t>Cano</t>
  </si>
  <si>
    <t>Diaz</t>
  </si>
  <si>
    <t>Alvarito</t>
  </si>
  <si>
    <t>Diez</t>
  </si>
  <si>
    <t>Jona</t>
  </si>
  <si>
    <t>Jose</t>
  </si>
  <si>
    <t>David</t>
  </si>
  <si>
    <t>Dani Capitan</t>
  </si>
  <si>
    <t>Javi</t>
  </si>
  <si>
    <t>Cristian</t>
  </si>
  <si>
    <t>Jugador</t>
  </si>
  <si>
    <t>Comprador</t>
  </si>
  <si>
    <t>Vendedor</t>
  </si>
  <si>
    <t>Precio</t>
  </si>
  <si>
    <t>Fecha</t>
  </si>
  <si>
    <t>Stuani</t>
  </si>
  <si>
    <t>Liga</t>
  </si>
  <si>
    <t>Le Normand</t>
  </si>
  <si>
    <t>Juanlu</t>
  </si>
  <si>
    <t>Areso</t>
  </si>
  <si>
    <t>Muriqui</t>
  </si>
  <si>
    <t>Carreras</t>
  </si>
  <si>
    <t>Ruben Garcia</t>
  </si>
  <si>
    <t>Arda Guler</t>
  </si>
  <si>
    <t>Rudiguer</t>
  </si>
  <si>
    <t>Parejo</t>
  </si>
  <si>
    <t>Almeida</t>
  </si>
  <si>
    <t>Endrick</t>
  </si>
  <si>
    <t>Paredes</t>
  </si>
  <si>
    <t>Mendy</t>
  </si>
  <si>
    <t>Gueye</t>
  </si>
  <si>
    <t>Correia</t>
  </si>
  <si>
    <t>Barrenetxea</t>
  </si>
  <si>
    <t>Casado</t>
  </si>
  <si>
    <t>Miguel</t>
  </si>
  <si>
    <t>Rodrygo</t>
  </si>
  <si>
    <t>Pablo Duran</t>
  </si>
  <si>
    <t>Gudelj</t>
  </si>
  <si>
    <t>Starfelt</t>
  </si>
  <si>
    <t>Oblak</t>
  </si>
  <si>
    <t>Gorosabel</t>
  </si>
  <si>
    <t>Pacha</t>
  </si>
  <si>
    <t>Asencio</t>
  </si>
  <si>
    <t>Gallagher</t>
  </si>
  <si>
    <t>Becker</t>
  </si>
  <si>
    <t>Alvaro Garcia</t>
  </si>
  <si>
    <t>Andrei</t>
  </si>
  <si>
    <t>Brahim</t>
  </si>
  <si>
    <t>Tsygankov</t>
  </si>
  <si>
    <t>Antonio Sanchez</t>
  </si>
  <si>
    <t>Coba</t>
  </si>
  <si>
    <t>De Jong</t>
  </si>
  <si>
    <t>Abel Bretones</t>
  </si>
  <si>
    <t>Agoume</t>
  </si>
  <si>
    <t>Luiz Felipe</t>
  </si>
  <si>
    <t>Mouriño</t>
  </si>
  <si>
    <t>Raul</t>
  </si>
  <si>
    <t>Araujo</t>
  </si>
  <si>
    <t>Arambarri</t>
  </si>
  <si>
    <t>Pablo Torre</t>
  </si>
  <si>
    <t>Posicion</t>
  </si>
  <si>
    <t>Fecha Compra</t>
  </si>
  <si>
    <t>POR</t>
  </si>
  <si>
    <t>Leo Roman</t>
  </si>
  <si>
    <t>Traore</t>
  </si>
  <si>
    <t>David Lopez</t>
  </si>
  <si>
    <t>Carvajal</t>
  </si>
  <si>
    <t>Alderete</t>
  </si>
  <si>
    <t>Llorente</t>
  </si>
  <si>
    <t>Terrats</t>
  </si>
  <si>
    <t>Van de Beek</t>
  </si>
  <si>
    <t>Torro</t>
  </si>
  <si>
    <t>Guridi</t>
  </si>
  <si>
    <t>Moncayola</t>
  </si>
  <si>
    <t>DEL</t>
  </si>
  <si>
    <t>Asano</t>
  </si>
  <si>
    <t>Bakambu</t>
  </si>
  <si>
    <t>Ejuke</t>
  </si>
  <si>
    <t>Fecha Venta</t>
  </si>
  <si>
    <t>Indice</t>
  </si>
  <si>
    <t>Precio Compra</t>
  </si>
  <si>
    <t>Precio Venta</t>
  </si>
  <si>
    <t>Dimitrevski</t>
  </si>
  <si>
    <t>Krejci</t>
  </si>
  <si>
    <t>Foyth</t>
  </si>
  <si>
    <t>Ruggeri</t>
  </si>
  <si>
    <t>Rioja</t>
  </si>
  <si>
    <t>Moi Gomez</t>
  </si>
  <si>
    <t>Blanco</t>
  </si>
  <si>
    <t>Javi Guerra</t>
  </si>
  <si>
    <t>Pepe</t>
  </si>
  <si>
    <t>Aitor Fdez</t>
  </si>
  <si>
    <t>Hancko</t>
  </si>
  <si>
    <t>Domingos Duarte</t>
  </si>
  <si>
    <t>Riquelme</t>
  </si>
  <si>
    <t>Almada</t>
  </si>
  <si>
    <t>Moleiro</t>
  </si>
  <si>
    <t>Raba</t>
  </si>
  <si>
    <t>Dimitrovic</t>
  </si>
  <si>
    <t>Zubeldia</t>
  </si>
  <si>
    <t>Boyomo</t>
  </si>
  <si>
    <t>Dela</t>
  </si>
  <si>
    <t>Bade</t>
  </si>
  <si>
    <t>Natan</t>
  </si>
  <si>
    <t>De Frutos</t>
  </si>
  <si>
    <t>Fornals</t>
  </si>
  <si>
    <t>Herrera</t>
  </si>
  <si>
    <t>Yeremy Pino</t>
  </si>
  <si>
    <t>Isi</t>
  </si>
  <si>
    <t>Kike Garcia</t>
  </si>
  <si>
    <t>Junior</t>
  </si>
  <si>
    <t>Yuri</t>
  </si>
  <si>
    <t>Lejeune</t>
  </si>
  <si>
    <t>Mingueza</t>
  </si>
  <si>
    <t>Marcao</t>
  </si>
  <si>
    <t>Guevara</t>
  </si>
  <si>
    <t>Camavinga</t>
  </si>
  <si>
    <t>Sow</t>
  </si>
  <si>
    <t>Trejo</t>
  </si>
  <si>
    <t>Hugo Duro</t>
  </si>
  <si>
    <t>Camello</t>
  </si>
  <si>
    <t>Oyarzabal</t>
  </si>
  <si>
    <t>Sivera</t>
  </si>
  <si>
    <t>Pedraza</t>
  </si>
  <si>
    <t>Alvaro Nuñez</t>
  </si>
  <si>
    <t>Daley Blind</t>
  </si>
  <si>
    <t>Raillo</t>
  </si>
  <si>
    <t>Ivan Martin</t>
  </si>
  <si>
    <t>Dani Rodriguez</t>
  </si>
  <si>
    <t>Darder</t>
  </si>
  <si>
    <t>Comesaña</t>
  </si>
  <si>
    <t>Guruzeta</t>
  </si>
  <si>
    <t>Ez Abde</t>
  </si>
  <si>
    <t>Gerard</t>
  </si>
  <si>
    <t>Nyland</t>
  </si>
  <si>
    <t>Bartra</t>
  </si>
  <si>
    <t>Christensen</t>
  </si>
  <si>
    <t>Eric</t>
  </si>
  <si>
    <t>Ristic</t>
  </si>
  <si>
    <t>Fran Garcia</t>
  </si>
  <si>
    <t>De Galarreta</t>
  </si>
  <si>
    <t>Koke</t>
  </si>
  <si>
    <t>Pepelu</t>
  </si>
  <si>
    <t>Brais Mendez</t>
  </si>
  <si>
    <t>Diego Lopez</t>
  </si>
  <si>
    <t>Sergio Gomez</t>
  </si>
  <si>
    <t>Ferran</t>
  </si>
  <si>
    <t>Lunin</t>
  </si>
  <si>
    <t>Gimenez</t>
  </si>
  <si>
    <t>Militao</t>
  </si>
  <si>
    <t>Fran Beltran</t>
  </si>
  <si>
    <t>Marc Roca</t>
  </si>
  <si>
    <t>Zakharyan</t>
  </si>
  <si>
    <t>Asprilla</t>
  </si>
  <si>
    <t>Chimy Avila</t>
  </si>
  <si>
    <t>Oskarsson</t>
  </si>
  <si>
    <t>Batalla</t>
  </si>
  <si>
    <t>Dominguez</t>
  </si>
  <si>
    <t>Mojica</t>
  </si>
  <si>
    <t>Lenglet</t>
  </si>
  <si>
    <t>Catena</t>
  </si>
  <si>
    <t>Jauregizar</t>
  </si>
  <si>
    <t>Gavi</t>
  </si>
  <si>
    <t>Mayoral</t>
  </si>
  <si>
    <t>Diego Conde</t>
  </si>
  <si>
    <t>Gaya</t>
  </si>
  <si>
    <t>Marcos Alonso</t>
  </si>
  <si>
    <t>Cardona</t>
  </si>
  <si>
    <t>Garces</t>
  </si>
  <si>
    <t>Fermin</t>
  </si>
  <si>
    <t>Sucic</t>
  </si>
  <si>
    <t>Berenguer</t>
  </si>
  <si>
    <t>Isaac</t>
  </si>
  <si>
    <t>Fichajes</t>
  </si>
  <si>
    <t>Ventas</t>
  </si>
  <si>
    <t>Plantilla</t>
  </si>
  <si>
    <t>Jugadores</t>
  </si>
  <si>
    <t>Rico</t>
  </si>
  <si>
    <t>Williot</t>
  </si>
  <si>
    <t>Maroan</t>
  </si>
  <si>
    <t>Budimir</t>
  </si>
  <si>
    <t>Tchouameni</t>
  </si>
  <si>
    <t>Valjent</t>
  </si>
  <si>
    <t>Aleña</t>
  </si>
  <si>
    <t>Portu</t>
  </si>
  <si>
    <t>Cabrera</t>
  </si>
  <si>
    <t>Hassan</t>
  </si>
  <si>
    <t>Tarrega</t>
  </si>
  <si>
    <t>Dani Olmo</t>
  </si>
  <si>
    <t>Alex Baena</t>
  </si>
  <si>
    <t>Nico Williams</t>
  </si>
  <si>
    <t>Sibo</t>
  </si>
  <si>
    <t>Rahim</t>
  </si>
  <si>
    <t>Bellerin</t>
  </si>
  <si>
    <t>Greif</t>
  </si>
  <si>
    <t>Balliu</t>
  </si>
  <si>
    <t>Adrian</t>
  </si>
  <si>
    <t>Raphinha</t>
  </si>
  <si>
    <t>Vivian</t>
  </si>
  <si>
    <t>Rincon</t>
  </si>
  <si>
    <t>Juan Iglesias</t>
  </si>
  <si>
    <t>Febas</t>
  </si>
  <si>
    <t>Cardenas</t>
  </si>
  <si>
    <t>Pol Lozano</t>
  </si>
  <si>
    <t>DEF</t>
  </si>
  <si>
    <t>Luengo</t>
  </si>
  <si>
    <t>Lukebakio</t>
  </si>
  <si>
    <t>Musso</t>
  </si>
  <si>
    <t>Thomas Partey</t>
  </si>
  <si>
    <t>Alex Balde</t>
  </si>
  <si>
    <t>Barrios</t>
  </si>
  <si>
    <t>Chavarria</t>
  </si>
  <si>
    <t>Kounde</t>
  </si>
  <si>
    <t>Valles</t>
  </si>
  <si>
    <t>Unai Simon</t>
  </si>
  <si>
    <t>Navarro</t>
  </si>
  <si>
    <t>Pathe Ciss</t>
  </si>
  <si>
    <t>Kubo</t>
  </si>
  <si>
    <t>Affengruber</t>
  </si>
  <si>
    <t>Rafa Marin</t>
  </si>
  <si>
    <t>Brugue</t>
  </si>
  <si>
    <t>Carlos M</t>
  </si>
  <si>
    <t>Rey</t>
  </si>
  <si>
    <t>Diakhaby</t>
  </si>
  <si>
    <t>Buchanan</t>
  </si>
  <si>
    <t>Rosier</t>
  </si>
  <si>
    <t>Aramburu</t>
  </si>
  <si>
    <t>Jornada</t>
  </si>
  <si>
    <t>Puntos</t>
  </si>
  <si>
    <t>Premio</t>
  </si>
  <si>
    <t>Ilic</t>
  </si>
  <si>
    <t>Mariano</t>
  </si>
  <si>
    <t>Kike Salas</t>
  </si>
  <si>
    <t>Pedro Diaz</t>
  </si>
  <si>
    <t>Nacho Vidal</t>
  </si>
  <si>
    <t>Moldovan</t>
  </si>
  <si>
    <t>Liso</t>
  </si>
  <si>
    <t>Premios</t>
  </si>
  <si>
    <t>Agirrezabala</t>
  </si>
  <si>
    <t>Jofre</t>
  </si>
  <si>
    <t>David Soria</t>
  </si>
  <si>
    <t>Cabello</t>
  </si>
  <si>
    <t>Alvarez</t>
  </si>
  <si>
    <t>Mestre</t>
  </si>
  <si>
    <t>Solis</t>
  </si>
  <si>
    <t>Dituro</t>
  </si>
  <si>
    <t>Viñas</t>
  </si>
  <si>
    <t>Juan Cruz</t>
  </si>
  <si>
    <t>P. Martinez</t>
  </si>
  <si>
    <t>T. Martinez</t>
  </si>
  <si>
    <t>Pablo Garcia</t>
  </si>
  <si>
    <t>Pau Lopez</t>
  </si>
  <si>
    <t>Lamine Yamal</t>
  </si>
  <si>
    <t>Copete</t>
  </si>
  <si>
    <t>Kumbulla</t>
  </si>
  <si>
    <t>Victor Muñoz</t>
  </si>
  <si>
    <t>Edu Exposito</t>
  </si>
  <si>
    <t>Johnny</t>
  </si>
  <si>
    <t>Morey</t>
  </si>
  <si>
    <t>Etta Eyong</t>
  </si>
  <si>
    <t>Danjuma</t>
  </si>
  <si>
    <t>El Hilali</t>
  </si>
  <si>
    <t>Javi Rodriguez</t>
  </si>
  <si>
    <t>Mastantuono</t>
  </si>
  <si>
    <t>Valor Plantilla</t>
  </si>
  <si>
    <t>Rentabilidad</t>
  </si>
  <si>
    <t>I. Romero</t>
  </si>
  <si>
    <t>Rentabilidad Fichajes</t>
  </si>
  <si>
    <t>Puado</t>
  </si>
  <si>
    <t>Ruben</t>
  </si>
  <si>
    <t>Dendoncker</t>
  </si>
  <si>
    <t>Aimar</t>
  </si>
  <si>
    <t>Rafa Mir</t>
  </si>
  <si>
    <t>Tenaglia</t>
  </si>
  <si>
    <t>Ramazani</t>
  </si>
  <si>
    <t>Sergio Herrera</t>
  </si>
  <si>
    <t>Soler</t>
  </si>
  <si>
    <t>Castrin</t>
  </si>
  <si>
    <t>Jan Virgili</t>
  </si>
  <si>
    <t>Abqar</t>
  </si>
  <si>
    <t>Dolan</t>
  </si>
  <si>
    <t>Suazo</t>
  </si>
  <si>
    <t>Joan Garcia</t>
  </si>
  <si>
    <t>Bryan</t>
  </si>
  <si>
    <t>Lo Celso</t>
  </si>
  <si>
    <t>Ilaix Moriba</t>
  </si>
  <si>
    <t>Vargas</t>
  </si>
  <si>
    <t>Marc Bernal</t>
  </si>
  <si>
    <t>Giuliano</t>
  </si>
  <si>
    <t>Montero</t>
  </si>
  <si>
    <t>Neyou</t>
  </si>
  <si>
    <t>Roberto</t>
  </si>
  <si>
    <t>Foulquier</t>
  </si>
  <si>
    <t>Mikautadze</t>
  </si>
  <si>
    <t>Alexis Sanchez</t>
  </si>
  <si>
    <t>Ratiu</t>
  </si>
  <si>
    <t>Carlos V</t>
  </si>
  <si>
    <t>Bryan Gil</t>
  </si>
  <si>
    <t>Gerard Martin</t>
  </si>
  <si>
    <t>Lucas Boye</t>
  </si>
  <si>
    <t>Jeremy Toljan</t>
  </si>
  <si>
    <t>Manu G.</t>
  </si>
  <si>
    <t>Vitor Reis</t>
  </si>
  <si>
    <t>Alemao</t>
  </si>
  <si>
    <t>Andre Silva</t>
  </si>
  <si>
    <t>Martim Neto</t>
  </si>
  <si>
    <t>C. Romero</t>
  </si>
  <si>
    <t>Ryan</t>
  </si>
  <si>
    <t>Cucho</t>
  </si>
  <si>
    <t>Antony</t>
  </si>
  <si>
    <t>German V</t>
  </si>
  <si>
    <t>L. Milla</t>
  </si>
  <si>
    <t>Mendoza</t>
  </si>
  <si>
    <t>Mbappe</t>
  </si>
  <si>
    <t>Alfon</t>
  </si>
  <si>
    <t>Altamira</t>
  </si>
  <si>
    <t>C. Alvarez</t>
  </si>
  <si>
    <t>Junior R.</t>
  </si>
  <si>
    <t>Uche</t>
  </si>
  <si>
    <t>Kiko F</t>
  </si>
  <si>
    <t>Laporte</t>
  </si>
  <si>
    <t>Alberto F</t>
  </si>
  <si>
    <t>Azpilicueta</t>
  </si>
  <si>
    <t>Gazzaniga</t>
  </si>
  <si>
    <t>Muriqi</t>
  </si>
  <si>
    <t>Álvaro García</t>
  </si>
  <si>
    <t>Aleñá</t>
  </si>
  <si>
    <t>Tchouaméni</t>
  </si>
  <si>
    <t>Bellerín</t>
  </si>
  <si>
    <t>Dimitrievski</t>
  </si>
  <si>
    <t>Sergio Gómez</t>
  </si>
  <si>
    <t>Moi Gómez</t>
  </si>
  <si>
    <t>Rafa Marín</t>
  </si>
  <si>
    <t>Fran García</t>
  </si>
  <si>
    <t>Dmitrovic</t>
  </si>
  <si>
    <t>Leo Román</t>
  </si>
  <si>
    <t>Pablo García</t>
  </si>
  <si>
    <t>Diego López</t>
  </si>
  <si>
    <t>Kike García</t>
  </si>
  <si>
    <t>David López</t>
  </si>
  <si>
    <t>Javi Rodríguez</t>
  </si>
  <si>
    <t>Altimira</t>
  </si>
  <si>
    <t>Iván Martín</t>
  </si>
  <si>
    <t>Denis Suarez</t>
  </si>
  <si>
    <t>Griezmann</t>
  </si>
  <si>
    <t>Mario Martin</t>
  </si>
  <si>
    <t>Urko</t>
  </si>
  <si>
    <t>Bigas</t>
  </si>
  <si>
    <t>Morlanes</t>
  </si>
  <si>
    <t>Maffeo</t>
  </si>
  <si>
    <t>Oroz</t>
  </si>
  <si>
    <t>Baena</t>
  </si>
  <si>
    <t>Balde</t>
  </si>
  <si>
    <t>Blind</t>
  </si>
  <si>
    <t>Olmo</t>
  </si>
  <si>
    <t>Soria</t>
  </si>
  <si>
    <t>Á. Núñez</t>
  </si>
  <si>
    <t>Araújo</t>
  </si>
  <si>
    <t>Güler</t>
  </si>
  <si>
    <t>Brais</t>
  </si>
  <si>
    <t>Brugui</t>
  </si>
  <si>
    <t>C. Álvarez</t>
  </si>
  <si>
    <t>Carlos Vicente</t>
  </si>
  <si>
    <t>Casadó</t>
  </si>
  <si>
    <t>A. F. Carreras</t>
  </si>
  <si>
    <t>Pep Chavarría</t>
  </si>
  <si>
    <t>Chimy</t>
  </si>
  <si>
    <t>A. Christensen</t>
  </si>
  <si>
    <t>Thierry</t>
  </si>
  <si>
    <t>Dani Rodríguez</t>
  </si>
  <si>
    <t>R. de Galarreta</t>
  </si>
  <si>
    <t>F. de Jong</t>
  </si>
  <si>
    <t>De la Fuente</t>
  </si>
  <si>
    <t>D. Duarte</t>
  </si>
  <si>
    <t>Domínguez</t>
  </si>
  <si>
    <t>Eric García</t>
  </si>
  <si>
    <t>Fermín</t>
  </si>
  <si>
    <t>Beltrán</t>
  </si>
  <si>
    <t>Garcés</t>
  </si>
  <si>
    <t>Gayà</t>
  </si>
  <si>
    <t>Giménez</t>
  </si>
  <si>
    <t>P. Gueye</t>
  </si>
  <si>
    <t>Iván Romero</t>
  </si>
  <si>
    <t>Moriba</t>
  </si>
  <si>
    <t>Romero</t>
  </si>
  <si>
    <t>Virgili</t>
  </si>
  <si>
    <t>Cardoso</t>
  </si>
  <si>
    <t>Iglesias</t>
  </si>
  <si>
    <t>Luiz Junior</t>
  </si>
  <si>
    <t>Luis Milla</t>
  </si>
  <si>
    <t>D. Llorente</t>
  </si>
  <si>
    <t>M. Alonso</t>
  </si>
  <si>
    <t>Sannadi</t>
  </si>
  <si>
    <t>Sergio Mestre</t>
  </si>
  <si>
    <t>Militão</t>
  </si>
  <si>
    <t>N. Williams</t>
  </si>
  <si>
    <t>Óskarsson</t>
  </si>
  <si>
    <t>Pablo Martínez</t>
  </si>
  <si>
    <t>Durán</t>
  </si>
  <si>
    <t>Pathé Ciss</t>
  </si>
  <si>
    <t>Pépé</t>
  </si>
  <si>
    <t>Lozano</t>
  </si>
  <si>
    <t>Raíllo</t>
  </si>
  <si>
    <t>Oriol Rey</t>
  </si>
  <si>
    <t>Diego Rico</t>
  </si>
  <si>
    <t>Rüdiger</t>
  </si>
  <si>
    <t>Toni Martinez</t>
  </si>
  <si>
    <t>Thomas</t>
  </si>
  <si>
    <t>Víctor Muñoz</t>
  </si>
  <si>
    <t>Swedberg</t>
  </si>
  <si>
    <t>Bellingham</t>
  </si>
  <si>
    <t>Pere Milla</t>
  </si>
  <si>
    <t>Calvo</t>
  </si>
  <si>
    <t>Huijsen</t>
  </si>
  <si>
    <t>Aarón</t>
  </si>
  <si>
    <t>Veiga</t>
  </si>
  <si>
    <t>Vertrouwd</t>
  </si>
  <si>
    <t>Pedro Díaz</t>
  </si>
  <si>
    <t>Akhomach</t>
  </si>
  <si>
    <t>Morales</t>
  </si>
  <si>
    <t>Rincón</t>
  </si>
  <si>
    <t>Hugo Alvarez</t>
  </si>
  <si>
    <t>Ounahi</t>
  </si>
  <si>
    <t>Radu</t>
  </si>
  <si>
    <t>Iñaki Williams</t>
  </si>
  <si>
    <t>Javi Rueda</t>
  </si>
  <si>
    <t>Iñaki Peña</t>
  </si>
  <si>
    <t>Hugo Álvarez</t>
  </si>
  <si>
    <t>Francés</t>
  </si>
  <si>
    <t>Oluwaseyi</t>
  </si>
  <si>
    <t>Marc Pubill</t>
  </si>
  <si>
    <t>Roca</t>
  </si>
  <si>
    <t>Barcelona</t>
  </si>
  <si>
    <t>Real Madrid</t>
  </si>
  <si>
    <t>Real Oviedo</t>
  </si>
  <si>
    <t>Abde</t>
  </si>
  <si>
    <t>Betis</t>
  </si>
  <si>
    <t>Abdon</t>
  </si>
  <si>
    <t>Mallorca</t>
  </si>
  <si>
    <t>Abel Ruiz</t>
  </si>
  <si>
    <t>Girona</t>
  </si>
  <si>
    <t>Getafe</t>
  </si>
  <si>
    <t>Adam Boayar</t>
  </si>
  <si>
    <t>Elche</t>
  </si>
  <si>
    <t>MED</t>
  </si>
  <si>
    <t>Adams</t>
  </si>
  <si>
    <t>Sevilla</t>
  </si>
  <si>
    <t>Adrián</t>
  </si>
  <si>
    <t>Adrián Molina</t>
  </si>
  <si>
    <t>Rayo</t>
  </si>
  <si>
    <t>Valencia</t>
  </si>
  <si>
    <t>Aguado</t>
  </si>
  <si>
    <t>Ahijado</t>
  </si>
  <si>
    <t>Aihen</t>
  </si>
  <si>
    <t>Real Sociedad</t>
  </si>
  <si>
    <t>Aimar Blázquez</t>
  </si>
  <si>
    <t>Aitor</t>
  </si>
  <si>
    <t>Osasuna</t>
  </si>
  <si>
    <t>Aitor Fraga</t>
  </si>
  <si>
    <t>Villarreal</t>
  </si>
  <si>
    <t>Alaba</t>
  </si>
  <si>
    <t>Albert Niculaesei</t>
  </si>
  <si>
    <t>Alberto</t>
  </si>
  <si>
    <t>Alberto Risco</t>
  </si>
  <si>
    <t>Alejandro Rego</t>
  </si>
  <si>
    <t>Athletic</t>
  </si>
  <si>
    <t>Aleksandar Andreev</t>
  </si>
  <si>
    <t>Alemão</t>
  </si>
  <si>
    <t>Alexander-Arnold</t>
  </si>
  <si>
    <t>Alexis</t>
  </si>
  <si>
    <t>Alavés</t>
  </si>
  <si>
    <t>Alhassane</t>
  </si>
  <si>
    <t>Ali Houary</t>
  </si>
  <si>
    <t>Atlético</t>
  </si>
  <si>
    <t>Alvaro R.</t>
  </si>
  <si>
    <t>André Silva</t>
  </si>
  <si>
    <t>Antonio</t>
  </si>
  <si>
    <t>Antonio Martínez Bastida</t>
  </si>
  <si>
    <t>Aritz</t>
  </si>
  <si>
    <t>Arnau</t>
  </si>
  <si>
    <t>Arriaga</t>
  </si>
  <si>
    <t>Levante</t>
  </si>
  <si>
    <t>Aspas</t>
  </si>
  <si>
    <t>Celta</t>
  </si>
  <si>
    <t>Ayoze</t>
  </si>
  <si>
    <t>Bailly</t>
  </si>
  <si>
    <t>Bambo</t>
  </si>
  <si>
    <t>Bardghji</t>
  </si>
  <si>
    <t>Bekhoucha</t>
  </si>
  <si>
    <t>Benavidez</t>
  </si>
  <si>
    <t>Benito</t>
  </si>
  <si>
    <t>Bergstrom</t>
  </si>
  <si>
    <t>Bernal</t>
  </si>
  <si>
    <t>Boiro</t>
  </si>
  <si>
    <t>Boyé</t>
  </si>
  <si>
    <t>Brandon</t>
  </si>
  <si>
    <t>Brekalo</t>
  </si>
  <si>
    <t>Bretones</t>
  </si>
  <si>
    <t>Cabanes</t>
  </si>
  <si>
    <t>Espanyol</t>
  </si>
  <si>
    <t>Calebe</t>
  </si>
  <si>
    <t>Calero</t>
  </si>
  <si>
    <t>Caleta-Car</t>
  </si>
  <si>
    <t>Carlos Espí</t>
  </si>
  <si>
    <t>Carlos Martín</t>
  </si>
  <si>
    <t>Carlos Soler</t>
  </si>
  <si>
    <t>Carmo</t>
  </si>
  <si>
    <t>Carmona</t>
  </si>
  <si>
    <t>Carreira</t>
  </si>
  <si>
    <t>Castrín</t>
  </si>
  <si>
    <t>Cayetano Romero</t>
  </si>
  <si>
    <t>Cazorla</t>
  </si>
  <si>
    <t>Ceballos</t>
  </si>
  <si>
    <t>Cervi</t>
  </si>
  <si>
    <t>Chaira</t>
  </si>
  <si>
    <t>Cheli Pereda</t>
  </si>
  <si>
    <t>Chust</t>
  </si>
  <si>
    <t>Colombatto</t>
  </si>
  <si>
    <t>Conde</t>
  </si>
  <si>
    <t>Costas</t>
  </si>
  <si>
    <t>Courtois</t>
  </si>
  <si>
    <t>Cubarsí</t>
  </si>
  <si>
    <t>Cuéllar</t>
  </si>
  <si>
    <t>Cuñat Campos</t>
  </si>
  <si>
    <t>Cárdenas</t>
  </si>
  <si>
    <t>Cömert</t>
  </si>
  <si>
    <t>Damián</t>
  </si>
  <si>
    <t>Dani Pérez</t>
  </si>
  <si>
    <t>Darling Bladi</t>
  </si>
  <si>
    <t>David Jiménez</t>
  </si>
  <si>
    <t>David Otorbi</t>
  </si>
  <si>
    <t>Davinchi</t>
  </si>
  <si>
    <t>Denis Suárez</t>
  </si>
  <si>
    <t>Deossa</t>
  </si>
  <si>
    <t>Diangana</t>
  </si>
  <si>
    <t>Diarra</t>
  </si>
  <si>
    <t>Diego Kochen</t>
  </si>
  <si>
    <t>Dimitrios Stamatakis</t>
  </si>
  <si>
    <t>Djené</t>
  </si>
  <si>
    <t>Doménech</t>
  </si>
  <si>
    <t>Dro Fernández</t>
  </si>
  <si>
    <t>Duro</t>
  </si>
  <si>
    <t>Edu Altozano</t>
  </si>
  <si>
    <t>Edu Expósito</t>
  </si>
  <si>
    <t>Egoitz Arana</t>
  </si>
  <si>
    <t>Egoitz Muñoz</t>
  </si>
  <si>
    <t>Ejaria</t>
  </si>
  <si>
    <t>El-Abdellaoui</t>
  </si>
  <si>
    <t>Elgezabal</t>
  </si>
  <si>
    <t>Espino</t>
  </si>
  <si>
    <t>Femenia</t>
  </si>
  <si>
    <t>Fort</t>
  </si>
  <si>
    <t>Fortuño</t>
  </si>
  <si>
    <t>Forés</t>
  </si>
  <si>
    <t>Fran Pérez</t>
  </si>
  <si>
    <t>Galán</t>
  </si>
  <si>
    <t>Germán García</t>
  </si>
  <si>
    <t>Gibert Jordana</t>
  </si>
  <si>
    <t>Gonzalo</t>
  </si>
  <si>
    <t>González</t>
  </si>
  <si>
    <t>Gorrotxategi</t>
  </si>
  <si>
    <t>Goti</t>
  </si>
  <si>
    <t>Grégoire Swiderski</t>
  </si>
  <si>
    <t>Guedes</t>
  </si>
  <si>
    <t>Guille Fernández</t>
  </si>
  <si>
    <t>Gumbau</t>
  </si>
  <si>
    <t>Herrando</t>
  </si>
  <si>
    <t>Hugo López</t>
  </si>
  <si>
    <t>I. Williams</t>
  </si>
  <si>
    <t>Ibáñez</t>
  </si>
  <si>
    <t>Iker Muñoz</t>
  </si>
  <si>
    <t>Ilias Kostis</t>
  </si>
  <si>
    <t>Iliesse Salhi</t>
  </si>
  <si>
    <t>Iturbe</t>
  </si>
  <si>
    <t>Iván Corralejo</t>
  </si>
  <si>
    <t>Iván Villar</t>
  </si>
  <si>
    <t>Izeta</t>
  </si>
  <si>
    <t>Jano Monserrate</t>
  </si>
  <si>
    <t>Januzaj</t>
  </si>
  <si>
    <t>Javi López</t>
  </si>
  <si>
    <t>Javi Muñoz</t>
  </si>
  <si>
    <t>Javier Hernández</t>
  </si>
  <si>
    <t>Jean Ives Valou</t>
  </si>
  <si>
    <t>Jesús Vázquez</t>
  </si>
  <si>
    <t>Joan Ruiz</t>
  </si>
  <si>
    <t>Joaquín Oso</t>
  </si>
  <si>
    <t>Jofre Torrents</t>
  </si>
  <si>
    <t>John C.</t>
  </si>
  <si>
    <t>Jon Martín</t>
  </si>
  <si>
    <t>Jon de Luis</t>
  </si>
  <si>
    <t>Jonny</t>
  </si>
  <si>
    <t>Jorge Cabello</t>
  </si>
  <si>
    <t>Josan</t>
  </si>
  <si>
    <t>Joselu Pérez</t>
  </si>
  <si>
    <t>Joseph</t>
  </si>
  <si>
    <t>Juan Carlos</t>
  </si>
  <si>
    <t>Juanpe Gil</t>
  </si>
  <si>
    <t>Jutglà</t>
  </si>
  <si>
    <t>Kamara</t>
  </si>
  <si>
    <t>Karrikaburu</t>
  </si>
  <si>
    <t>Kike Barja</t>
  </si>
  <si>
    <t>Koleosho</t>
  </si>
  <si>
    <t>Koundé</t>
  </si>
  <si>
    <t>Koyalipou</t>
  </si>
  <si>
    <t>Krapyvtsov</t>
  </si>
  <si>
    <t>L. Ilic</t>
  </si>
  <si>
    <t>Lago</t>
  </si>
  <si>
    <t>Lamine Gueye</t>
  </si>
  <si>
    <t>Lander Pinillos</t>
  </si>
  <si>
    <t>Lato</t>
  </si>
  <si>
    <t>Lekue</t>
  </si>
  <si>
    <t>Lemar</t>
  </si>
  <si>
    <t>Letácek</t>
  </si>
  <si>
    <t>Lewandowski</t>
  </si>
  <si>
    <t>Livakovic</t>
  </si>
  <si>
    <t>Llabrés</t>
  </si>
  <si>
    <t>Losada</t>
  </si>
  <si>
    <t>Lucas Núñez</t>
  </si>
  <si>
    <t>M. Llorente</t>
  </si>
  <si>
    <t>Manu Bueno</t>
  </si>
  <si>
    <t>Manu Fernández</t>
  </si>
  <si>
    <t>Manu González</t>
  </si>
  <si>
    <t>Manu Sánchez</t>
  </si>
  <si>
    <t>Maras</t>
  </si>
  <si>
    <t>Marc Vidal</t>
  </si>
  <si>
    <t>Marc Vilaplana</t>
  </si>
  <si>
    <t>Marco Esteban</t>
  </si>
  <si>
    <t>Marco de la Sías</t>
  </si>
  <si>
    <t>Marcos Navarro</t>
  </si>
  <si>
    <t>Marcão</t>
  </si>
  <si>
    <t>Mario Martín</t>
  </si>
  <si>
    <t>Marrero</t>
  </si>
  <si>
    <t>Martín</t>
  </si>
  <si>
    <t>Martín Krug</t>
  </si>
  <si>
    <t>Marín</t>
  </si>
  <si>
    <t>Mascarell</t>
  </si>
  <si>
    <t>Matturro</t>
  </si>
  <si>
    <t>Mauro Echegoyen</t>
  </si>
  <si>
    <t>Mawuli Mensah</t>
  </si>
  <si>
    <t>Mbappé</t>
  </si>
  <si>
    <t>Miguel Rubio</t>
  </si>
  <si>
    <t>Miguel Sierra</t>
  </si>
  <si>
    <t>Mikel Santos</t>
  </si>
  <si>
    <t>Molina</t>
  </si>
  <si>
    <t>Moreno</t>
  </si>
  <si>
    <t>Nacho Pérez</t>
  </si>
  <si>
    <t>Narvaez</t>
  </si>
  <si>
    <t>Nianzou</t>
  </si>
  <si>
    <t>Nteka</t>
  </si>
  <si>
    <t>Nyom</t>
  </si>
  <si>
    <t>Odriozola</t>
  </si>
  <si>
    <t>Olasagasti</t>
  </si>
  <si>
    <t>Omar Falah</t>
  </si>
  <si>
    <t>Ortiz</t>
  </si>
  <si>
    <t>Osambela</t>
  </si>
  <si>
    <t>Pacheco</t>
  </si>
  <si>
    <t>Padilla</t>
  </si>
  <si>
    <t>Pampín</t>
  </si>
  <si>
    <t>Papa Dame Ba</t>
  </si>
  <si>
    <t>Parada</t>
  </si>
  <si>
    <t>Pau López</t>
  </si>
  <si>
    <t>Pau Navarro</t>
  </si>
  <si>
    <t>Pedri</t>
  </si>
  <si>
    <t>Pedrosa</t>
  </si>
  <si>
    <t>Peque</t>
  </si>
  <si>
    <t>Peña</t>
  </si>
  <si>
    <t>Pickel</t>
  </si>
  <si>
    <t>Pol Tristan</t>
  </si>
  <si>
    <t>Prados</t>
  </si>
  <si>
    <t>Primo</t>
  </si>
  <si>
    <t>Pubill</t>
  </si>
  <si>
    <t>Pétrot</t>
  </si>
  <si>
    <t>Rafael Romero</t>
  </si>
  <si>
    <t>Ramón</t>
  </si>
  <si>
    <t>Rashford</t>
  </si>
  <si>
    <t>Raspadori</t>
  </si>
  <si>
    <t>Raúl Chasco</t>
  </si>
  <si>
    <t>Raúl F.</t>
  </si>
  <si>
    <t>Raúl García</t>
  </si>
  <si>
    <t>Rebbach</t>
  </si>
  <si>
    <t>Redondo</t>
  </si>
  <si>
    <t>Reina</t>
  </si>
  <si>
    <t>Remiro</t>
  </si>
  <si>
    <t>Riedel</t>
  </si>
  <si>
    <t>Rivero</t>
  </si>
  <si>
    <t>Rodríguez</t>
  </si>
  <si>
    <t>Román</t>
  </si>
  <si>
    <t>Rondón</t>
  </si>
  <si>
    <t>Rubén G.</t>
  </si>
  <si>
    <t>Rubén Gómez</t>
  </si>
  <si>
    <t>Rubén Iranzo</t>
  </si>
  <si>
    <t>Rubén Sánchez</t>
  </si>
  <si>
    <t>Rueda</t>
  </si>
  <si>
    <t>Ruibal</t>
  </si>
  <si>
    <t>Rúben Montero</t>
  </si>
  <si>
    <t>S. Amrabat</t>
  </si>
  <si>
    <t>S. Cardona</t>
  </si>
  <si>
    <t>Sadiq</t>
  </si>
  <si>
    <t>Salinas</t>
  </si>
  <si>
    <t>Salvi Esquivel</t>
  </si>
  <si>
    <t>Samu Becerra</t>
  </si>
  <si>
    <t>Samú</t>
  </si>
  <si>
    <t>Sancet</t>
  </si>
  <si>
    <t>Sancris</t>
  </si>
  <si>
    <t>Santamaria</t>
  </si>
  <si>
    <t>Serrano</t>
  </si>
  <si>
    <t>Solomon</t>
  </si>
  <si>
    <t>Solís</t>
  </si>
  <si>
    <t>Sotelo</t>
  </si>
  <si>
    <t>Szczesny</t>
  </si>
  <si>
    <t>Sörloth</t>
  </si>
  <si>
    <t>Taufik Seidu</t>
  </si>
  <si>
    <t>Tenas</t>
  </si>
  <si>
    <t>Theo Folgado</t>
  </si>
  <si>
    <t>Thiago Pitarch</t>
  </si>
  <si>
    <t>Toljan</t>
  </si>
  <si>
    <t>Toni Fernández</t>
  </si>
  <si>
    <t>Torró</t>
  </si>
  <si>
    <t>Turrientes</t>
  </si>
  <si>
    <t>Tárrega</t>
  </si>
  <si>
    <t>Ugrinic</t>
  </si>
  <si>
    <t>Unai Gómez</t>
  </si>
  <si>
    <t>Unai López</t>
  </si>
  <si>
    <t>Unai Simón</t>
  </si>
  <si>
    <t>Valentín</t>
  </si>
  <si>
    <t>Valentín Gómez</t>
  </si>
  <si>
    <t>Valera</t>
  </si>
  <si>
    <t>Valverde</t>
  </si>
  <si>
    <t>Vanat</t>
  </si>
  <si>
    <t>Vencedor</t>
  </si>
  <si>
    <t>Vesga</t>
  </si>
  <si>
    <t>Vicent Abril</t>
  </si>
  <si>
    <t>Vinicius</t>
  </si>
  <si>
    <t>Vlachodimos</t>
  </si>
  <si>
    <t>Víctor García</t>
  </si>
  <si>
    <t>Witsel</t>
  </si>
  <si>
    <t>Yamal</t>
  </si>
  <si>
    <t>Youssef</t>
  </si>
  <si>
    <t>Álex Costa</t>
  </si>
  <si>
    <t>Álex Moreno</t>
  </si>
  <si>
    <t>Álvaro</t>
  </si>
  <si>
    <t>FAN</t>
  </si>
  <si>
    <t>Jugador Fantasy</t>
  </si>
  <si>
    <t>ID</t>
  </si>
  <si>
    <t>Equipo Real</t>
  </si>
  <si>
    <t>Posicion2</t>
  </si>
  <si>
    <t>Samu Costa</t>
  </si>
  <si>
    <t>Leo Petrot</t>
  </si>
  <si>
    <t>David Costas</t>
  </si>
  <si>
    <t>Vini Jr</t>
  </si>
  <si>
    <t>Marcos Llorente</t>
  </si>
  <si>
    <t>B. Iglesias</t>
  </si>
  <si>
    <t>Rego</t>
  </si>
  <si>
    <t>davidcdl10</t>
  </si>
  <si>
    <t>Unai Lopez</t>
  </si>
  <si>
    <t>Rodriguez</t>
  </si>
  <si>
    <t>Hugo Sotelo</t>
  </si>
  <si>
    <t>Gorrotxa</t>
  </si>
  <si>
    <t>Valentin Gomez</t>
  </si>
  <si>
    <t>David Carmo</t>
  </si>
  <si>
    <t>Roman</t>
  </si>
  <si>
    <t>Esquivel</t>
  </si>
  <si>
    <t>Manu Sanchez</t>
  </si>
  <si>
    <t>Nico Gonzalez</t>
  </si>
  <si>
    <t>Caleta-Cor</t>
  </si>
  <si>
    <t>Jonny Otto</t>
  </si>
  <si>
    <t>Matias Moreno</t>
  </si>
  <si>
    <t>Ibañez</t>
  </si>
  <si>
    <t>Djene</t>
  </si>
  <si>
    <t>Joel Roca</t>
  </si>
  <si>
    <t>Jutgla</t>
  </si>
  <si>
    <t>Oscar Valentin</t>
  </si>
  <si>
    <t>Trent</t>
  </si>
  <si>
    <t>Alvaro</t>
  </si>
  <si>
    <t>jm</t>
  </si>
  <si>
    <t>Rondon</t>
  </si>
  <si>
    <t>Isco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</si>
</sst>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\ &quot;€&quot;"/>
  </numFmts>
  <fonts count="4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1" fillId="0" borderId="0" xfId="1"/>
    <xf numFmtId="0" fontId="3" fillId="0" borderId="0" xfId="0" applyFont="1"/>
    <xf numFmtId="0" fontId="0" fillId="2" borderId="1" xfId="0" applyFill="1" applyBorder="1"/>
    <xf numFmtId="0" fontId="0" fillId="0" borderId="1" xfId="0" applyBorder="1"/>
  </cellXfs>
  <cellStyles count="2">
    <cellStyle name="Hipervínculo" xfId="1" builtinId="8"/>
    <cellStyle name="Normal" xfId="0" builtinId="0"/>
  </cellStyles>
  <dxfs count="4">
    <dxf>
      <numFmt numFmtId="164" formatCode="#,##0\ &quot;€&quot;"/>
    </dxf>
    <dxf>
      <numFmt numFmtId="19" formatCode="dd/mm/yyyy"/>
    </dxf>
    <dxf>
      <numFmt numFmtId="164" formatCode="#,##0\ &quot;€&quot;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4ED1A68-B287-4841-B965-2037BFBDC806}" name="Tabla1" displayName="Tabla1" ref="A1:I1060" totalsRowShown="0">
  <autoFilter ref="A1:I1060" xr:uid="{D4ED1A68-B287-4841-B965-2037BFBDC806}"/>
  <sortState xmlns:xlrd2="http://schemas.microsoft.com/office/spreadsheetml/2017/richdata2" ref="A5:I657">
    <sortCondition ref="F1:F740"/>
  </sortState>
  <tableColumns count="9">
    <tableColumn id="1" xr3:uid="{4597B4BF-17A6-49DE-912D-3F82B05761C2}" name="ID"/>
    <tableColumn id="2" xr3:uid="{BFF57304-1BE6-4993-93BC-7162E6E05C4F}" name="Jugador Fantasy"/>
    <tableColumn id="3" xr3:uid="{90AC8D93-78E7-42D9-B9B1-5C521E6EDBC3}" name="Posicion"/>
    <tableColumn id="4" xr3:uid="{B97D9122-2EBC-40F1-BA1A-EE2BAA129BC2}" name="Equipo Real"/>
    <tableColumn id="5" xr3:uid="{65127B9F-5035-4F12-A16F-F2BA25A6DCB3}" name="Jugador"/>
    <tableColumn id="6" xr3:uid="{8F0B57DC-D979-44CA-8349-F8D2E8E2F3D4}" name="Fecha" dataDxfId="3"/>
    <tableColumn id="7" xr3:uid="{C3D26DD5-CD6A-4342-8B1D-1DD21DCC4C87}" name="Comprador"/>
    <tableColumn id="8" xr3:uid="{50C2ACB0-464C-4599-B043-AD867CCABA41}" name="Vendedor"/>
    <tableColumn id="9" xr3:uid="{813ED777-5F92-4445-ADD6-A15393CD826F}" name="Precio" dataDxfId="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D361BBF-1F57-4F39-BA43-4EB11E90C3D1}" name="Tabla2" displayName="Tabla2" ref="A1:J1321" totalsRowShown="0">
  <autoFilter ref="A1:J1321" xr:uid="{2D361BBF-1F57-4F39-BA43-4EB11E90C3D1}">
    <filterColumn colId="0">
      <filters>
        <filter val="9"/>
        <filter val="10"/>
      </filters>
    </filterColumn>
  </autoFilter>
  <sortState xmlns:xlrd2="http://schemas.microsoft.com/office/spreadsheetml/2017/richdata2" ref="A882:J1321">
    <sortCondition ref="C1:C1321"/>
  </sortState>
  <tableColumns count="10">
    <tableColumn id="1" xr3:uid="{DFF2F06E-8317-4884-9D7E-2B3593CC1BDA}" name="Jornada"/>
    <tableColumn id="2" xr3:uid="{12BC2A68-8D71-46EE-89D5-FD3FDD822BEA}" name="Fecha" dataDxfId="1"/>
    <tableColumn id="3" xr3:uid="{FA6BCB4D-551B-42BA-9C22-6BE6236F0A20}" name="Equipo"/>
    <tableColumn id="4" xr3:uid="{4CB249DB-169E-44C8-934A-4DC03F136E7C}" name="Jugador"/>
    <tableColumn id="5" xr3:uid="{CF5A6F81-4D16-4A64-B061-E3105F545667}" name="Posicion">
      <calculatedColumnFormula>IF(ISERROR(VLOOKUP(D2,Nombres!A:D,4,FALSE)),"PROBLEMAAAAAA",VLOOKUP(D2,Nombres!A:D,4,FALSE))</calculatedColumnFormula>
    </tableColumn>
    <tableColumn id="6" xr3:uid="{179BB7B1-D323-4FA2-853E-F0A4BE5B054D}" name="Equipo Real">
      <calculatedColumnFormula>IF(ISERROR(VLOOKUP(D2,Nombres!A:D,3,FALSE)),"PROBLEMAAAAAA",VLOOKUP(D2,Nombres!A:D,3,FALSE))</calculatedColumnFormula>
    </tableColumn>
    <tableColumn id="7" xr3:uid="{46FF4BC3-31DA-465B-ADCF-A9007B05FC29}" name="Puntos"/>
    <tableColumn id="8" xr3:uid="{64F1FB3F-8781-40FC-B192-1A23E71E8826}" name="Premio" dataDxfId="0">
      <calculatedColumnFormula>G2*100000</calculatedColumnFormula>
    </tableColumn>
    <tableColumn id="9" xr3:uid="{F6A8C2AC-F471-4D70-8829-B820D32F8FA9}" name="Posicion2">
      <calculatedColumnFormula>IF(E2="POR",1,IF(E2="DEF",2,IF(E2="MED",3,4)))</calculatedColumnFormula>
    </tableColumn>
    <tableColumn id="10" xr3:uid="{090A38B6-096E-40C3-9AE7-71261911D078}" name="Jugador Fantasy">
      <calculatedColumnFormula>IF(ISERROR(VLOOKUP(D2,Nombres!A:D,2,FALSE)),"PROBLEMAAAAAA",VLOOKUP(D2,Nombres!A:D,2,FALSE))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8B17D-3DFE-40E7-BA59-F39A14346828}">
  <dimension ref="A1:J17"/>
  <sheetViews>
    <sheetView workbookViewId="0">
      <selection activeCell="G8" sqref="G8"/>
    </sheetView>
  </sheetViews>
  <sheetFormatPr baseColWidth="10" defaultRowHeight="15" x14ac:dyDescent="0.25"/>
  <cols>
    <col min="1" max="1" width="21.7109375" bestFit="1" customWidth="1"/>
    <col min="2" max="2" width="12.42578125" bestFit="1" customWidth="1"/>
    <col min="3" max="3" width="12.5703125" bestFit="1" customWidth="1"/>
    <col min="4" max="5" width="14.140625" bestFit="1" customWidth="1"/>
    <col min="6" max="6" width="12.5703125" customWidth="1"/>
    <col min="7" max="7" width="12.5703125" bestFit="1" customWidth="1"/>
    <col min="8" max="8" width="10" bestFit="1" customWidth="1"/>
    <col min="9" max="10" width="12.5703125" bestFit="1" customWidth="1"/>
  </cols>
  <sheetData>
    <row r="1" spans="1:10" x14ac:dyDescent="0.25">
      <c r="A1" t="s">
        <v>0</v>
      </c>
      <c r="B1" t="s">
        <v>1</v>
      </c>
      <c r="C1" t="s">
        <v>4</v>
      </c>
      <c r="D1" t="s">
        <v>2</v>
      </c>
      <c r="E1" t="s">
        <v>3</v>
      </c>
      <c r="F1" t="s">
        <v>252</v>
      </c>
      <c r="G1" t="s">
        <v>5</v>
      </c>
      <c r="H1" t="s">
        <v>191</v>
      </c>
      <c r="I1" t="s">
        <v>279</v>
      </c>
    </row>
    <row r="2" spans="1:10" x14ac:dyDescent="0.25">
      <c r="A2" s="3" t="s">
        <v>10</v>
      </c>
      <c r="B2" t="s">
        <v>20</v>
      </c>
      <c r="C2" s="2">
        <v>100000000</v>
      </c>
      <c r="D2" s="2">
        <f>IFERROR(SUMIF(Fichajes!G:G,A2,Fichajes!I:I),0)</f>
        <v>1363579862</v>
      </c>
      <c r="E2" s="2">
        <f>IFERROR(SUMIF(Fichajes!H:H,A2,Fichajes!I:I),0)</f>
        <v>1302581395</v>
      </c>
      <c r="F2" s="2">
        <f>SUMIF(Premios!A:A,A2,Premios!E:E)</f>
        <v>64700000</v>
      </c>
      <c r="G2" s="2">
        <f t="shared" ref="G2:G11" si="0">C2-D2+E2+F2</f>
        <v>103701533</v>
      </c>
      <c r="H2">
        <f>COUNTIF(AdolfitoFlick!E:E,"X")</f>
        <v>0</v>
      </c>
      <c r="I2" s="2">
        <v>244476931</v>
      </c>
      <c r="J2" s="2">
        <f t="shared" ref="J2:J11" si="1">I2+G2</f>
        <v>348178464</v>
      </c>
    </row>
    <row r="3" spans="1:10" x14ac:dyDescent="0.25">
      <c r="A3" s="3" t="s">
        <v>14</v>
      </c>
      <c r="B3" t="s">
        <v>24</v>
      </c>
      <c r="C3" s="2">
        <v>100000000</v>
      </c>
      <c r="D3" s="2">
        <f>IFERROR(SUMIF(Fichajes!G:G,A3,Fichajes!I:I),0)</f>
        <v>637182397</v>
      </c>
      <c r="E3" s="2">
        <f>IFERROR(SUMIF(Fichajes!H:H,A3,Fichajes!I:I),0)</f>
        <v>566505557</v>
      </c>
      <c r="F3" s="2">
        <f>SUMIF(Premios!A:A,A3,Premios!E:E)</f>
        <v>55300000</v>
      </c>
      <c r="G3" s="2">
        <f t="shared" si="0"/>
        <v>84623160</v>
      </c>
      <c r="H3">
        <f>COUNTIF(CrisGC14!E:E,"X")</f>
        <v>5</v>
      </c>
      <c r="I3" s="2">
        <v>208024347</v>
      </c>
      <c r="J3" s="2">
        <f t="shared" si="1"/>
        <v>292647507</v>
      </c>
    </row>
    <row r="4" spans="1:10" x14ac:dyDescent="0.25">
      <c r="A4" s="3" t="s">
        <v>768</v>
      </c>
      <c r="B4" t="s">
        <v>18</v>
      </c>
      <c r="C4" s="2">
        <v>100000000</v>
      </c>
      <c r="D4" s="2">
        <f>IFERROR(SUMIF(Fichajes!G:G,A4,Fichajes!I:I),0)</f>
        <v>1313284059</v>
      </c>
      <c r="E4" s="2">
        <f>IFERROR(SUMIF(Fichajes!H:H,A4,Fichajes!I:I),0)</f>
        <v>1274294160</v>
      </c>
      <c r="F4" s="2">
        <f>SUMIF(Premios!A:A,A4,Premios!E:E)</f>
        <v>64700000</v>
      </c>
      <c r="G4" s="2">
        <f t="shared" si="0"/>
        <v>125710101</v>
      </c>
      <c r="H4">
        <f>COUNTIF(davidcdl10!E:E,"X")</f>
        <v>7</v>
      </c>
      <c r="I4" s="2">
        <v>264054935</v>
      </c>
      <c r="J4" s="2">
        <f t="shared" si="1"/>
        <v>389765036</v>
      </c>
    </row>
    <row r="5" spans="1:10" x14ac:dyDescent="0.25">
      <c r="A5" s="3" t="s">
        <v>11</v>
      </c>
      <c r="B5" t="s">
        <v>21</v>
      </c>
      <c r="C5" s="2">
        <v>100000000</v>
      </c>
      <c r="D5" s="2">
        <f>IFERROR(SUMIF(Fichajes!G:G,A5,Fichajes!I:I),0)</f>
        <v>1971859169</v>
      </c>
      <c r="E5" s="2">
        <f>IFERROR(SUMIF(Fichajes!H:H,A5,Fichajes!I:I),0)</f>
        <v>1931381128</v>
      </c>
      <c r="F5" s="2">
        <f>SUMIF(Premios!A:A,A5,Premios!E:E)</f>
        <v>66700000</v>
      </c>
      <c r="G5" s="2">
        <f t="shared" si="0"/>
        <v>126221959</v>
      </c>
      <c r="H5">
        <f>COUNTIF(Desteban19!E:E,"X")</f>
        <v>20</v>
      </c>
      <c r="I5" s="2">
        <v>353435221</v>
      </c>
      <c r="J5" s="2">
        <f t="shared" si="1"/>
        <v>479657180</v>
      </c>
    </row>
    <row r="6" spans="1:10" x14ac:dyDescent="0.25">
      <c r="A6" s="3" t="s">
        <v>12</v>
      </c>
      <c r="B6" t="s">
        <v>22</v>
      </c>
      <c r="C6" s="2">
        <v>100000000</v>
      </c>
      <c r="D6" s="2">
        <f>IFERROR(SUMIF(Fichajes!G:G,A6,Fichajes!I:I),0)</f>
        <v>1526797672</v>
      </c>
      <c r="E6" s="2">
        <f>IFERROR(SUMIF(Fichajes!H:H,A6,Fichajes!I:I),0)</f>
        <v>1616953841</v>
      </c>
      <c r="F6" s="2">
        <f>SUMIF(Premios!A:A,A6,Premios!E:E)</f>
        <v>64400000</v>
      </c>
      <c r="G6" s="2">
        <f t="shared" si="0"/>
        <v>254556169</v>
      </c>
      <c r="H6">
        <f>COUNTIF('FC Capitan'!E:E,"X")</f>
        <v>1</v>
      </c>
      <c r="I6" s="2">
        <v>187973098</v>
      </c>
      <c r="J6" s="2">
        <f t="shared" si="1"/>
        <v>442529267</v>
      </c>
    </row>
    <row r="7" spans="1:10" x14ac:dyDescent="0.25">
      <c r="A7" s="3" t="s">
        <v>6</v>
      </c>
      <c r="B7" t="s">
        <v>15</v>
      </c>
      <c r="C7" s="2">
        <v>100000000</v>
      </c>
      <c r="D7" s="2">
        <f>IFERROR(SUMIF(Fichajes!G:G,A7,Fichajes!I:I),0)</f>
        <v>1246569425</v>
      </c>
      <c r="E7" s="2">
        <f>IFERROR(SUMIF(Fichajes!H:H,A7,Fichajes!I:I),0)</f>
        <v>1297664581</v>
      </c>
      <c r="F7" s="2">
        <f>SUMIF(Premios!A:A,A7,Premios!E:E)</f>
        <v>67400000</v>
      </c>
      <c r="G7" s="2">
        <f t="shared" si="0"/>
        <v>218495156</v>
      </c>
      <c r="H7">
        <f>COUNTIF('FC Recreativo de Juerga'!E:E,"X")</f>
        <v>24</v>
      </c>
      <c r="I7" s="2">
        <v>235537339</v>
      </c>
      <c r="J7" s="2">
        <f t="shared" si="1"/>
        <v>454032495</v>
      </c>
    </row>
    <row r="8" spans="1:10" x14ac:dyDescent="0.25">
      <c r="A8" s="3" t="s">
        <v>9</v>
      </c>
      <c r="B8" t="s">
        <v>19</v>
      </c>
      <c r="C8" s="2">
        <v>100000000</v>
      </c>
      <c r="D8" s="2">
        <f>IFERROR(SUMIF(Fichajes!G:G,A8,Fichajes!I:I),0)</f>
        <v>778796018</v>
      </c>
      <c r="E8" s="2">
        <f>IFERROR(SUMIF(Fichajes!H:H,A8,Fichajes!I:I),0)</f>
        <v>720394620</v>
      </c>
      <c r="F8" s="2">
        <f>SUMIF(Premios!A:A,A8,Premios!E:E)</f>
        <v>62000000</v>
      </c>
      <c r="G8" s="2">
        <f t="shared" si="0"/>
        <v>103598602</v>
      </c>
      <c r="H8">
        <f>COUNTIF(JMGuti14!E:E,"X")</f>
        <v>9</v>
      </c>
      <c r="I8" s="2">
        <v>242665307</v>
      </c>
      <c r="J8" s="2">
        <f t="shared" si="1"/>
        <v>346263909</v>
      </c>
    </row>
    <row r="9" spans="1:10" x14ac:dyDescent="0.25">
      <c r="A9" s="3" t="s">
        <v>13</v>
      </c>
      <c r="B9" t="s">
        <v>23</v>
      </c>
      <c r="C9" s="2">
        <v>100000000</v>
      </c>
      <c r="D9" s="2">
        <f>IFERROR(SUMIF(Fichajes!G:G,A9,Fichajes!I:I),0)</f>
        <v>2301792361</v>
      </c>
      <c r="E9" s="2">
        <f>IFERROR(SUMIF(Fichajes!H:H,A9,Fichajes!I:I),0)</f>
        <v>2348240333</v>
      </c>
      <c r="F9" s="2">
        <f>SUMIF(Premios!A:A,A9,Premios!E:E)</f>
        <v>82100000</v>
      </c>
      <c r="G9" s="2">
        <f t="shared" si="0"/>
        <v>228547972</v>
      </c>
      <c r="H9">
        <f>COUNTIF(Reivaj95!E:E,"X")</f>
        <v>0</v>
      </c>
      <c r="I9" s="2">
        <v>353155756</v>
      </c>
      <c r="J9" s="2">
        <f t="shared" si="1"/>
        <v>581703728</v>
      </c>
    </row>
    <row r="10" spans="1:10" x14ac:dyDescent="0.25">
      <c r="A10" s="3" t="s">
        <v>8</v>
      </c>
      <c r="B10" t="s">
        <v>17</v>
      </c>
      <c r="C10" s="2">
        <v>100000000</v>
      </c>
      <c r="D10" s="2">
        <f>IFERROR(SUMIF(Fichajes!G:G,A10,Fichajes!I:I),0)</f>
        <v>602185440</v>
      </c>
      <c r="E10" s="2">
        <f>IFERROR(SUMIF(Fichajes!H:H,A10,Fichajes!I:I),0)</f>
        <v>572401121</v>
      </c>
      <c r="F10" s="2">
        <f>SUMIF(Premios!A:A,A10,Premios!E:E)</f>
        <v>49100000</v>
      </c>
      <c r="G10" s="2">
        <f t="shared" si="0"/>
        <v>119315681</v>
      </c>
      <c r="H10">
        <f>COUNTIF('Shiquetito 9'!E:E,"X")</f>
        <v>14</v>
      </c>
      <c r="I10" s="2">
        <v>224496375</v>
      </c>
      <c r="J10" s="2">
        <f t="shared" si="1"/>
        <v>343812056</v>
      </c>
    </row>
    <row r="11" spans="1:10" x14ac:dyDescent="0.25">
      <c r="A11" s="3" t="s">
        <v>7</v>
      </c>
      <c r="B11" t="s">
        <v>16</v>
      </c>
      <c r="C11" s="2">
        <v>100000000</v>
      </c>
      <c r="D11" s="2">
        <f>IFERROR(SUMIF(Fichajes!G:G,A11,Fichajes!I:I),0)</f>
        <v>1207671008</v>
      </c>
      <c r="E11" s="2">
        <f>IFERROR(SUMIF(Fichajes!H:H,A11,Fichajes!I:I),0)</f>
        <v>1140725189</v>
      </c>
      <c r="F11" s="2">
        <f>SUMIF(Premios!A:A,A11,Premios!E:E)</f>
        <v>58400000</v>
      </c>
      <c r="G11" s="2">
        <f t="shared" si="0"/>
        <v>91454181</v>
      </c>
      <c r="H11">
        <f>COUNTIF(yandrak!E:E,"X")</f>
        <v>3</v>
      </c>
      <c r="I11" s="2">
        <v>198920627</v>
      </c>
      <c r="J11" s="2">
        <f t="shared" si="1"/>
        <v>290374808</v>
      </c>
    </row>
    <row r="14" spans="1:10" x14ac:dyDescent="0.25">
      <c r="G14" s="2">
        <f>G3-G16-G17</f>
        <v>81123160</v>
      </c>
    </row>
    <row r="16" spans="1:10" x14ac:dyDescent="0.25">
      <c r="G16">
        <v>1500000</v>
      </c>
    </row>
    <row r="17" spans="7:7" x14ac:dyDescent="0.25">
      <c r="G17">
        <v>2000000</v>
      </c>
    </row>
  </sheetData>
  <autoFilter ref="A1:J11" xr:uid="{D378B17D-3DFE-40E7-BA59-F39A14346828}">
    <sortState xmlns:xlrd2="http://schemas.microsoft.com/office/spreadsheetml/2017/richdata2" ref="A2:J11">
      <sortCondition ref="A1:A11"/>
    </sortState>
  </autoFilter>
  <hyperlinks>
    <hyperlink ref="A7" location="'FC Recreativo de Juerga'!A1" display="FC Recreativo de Juerga" xr:uid="{88297396-67E7-4D70-9B7F-E6A59E6BAD76}"/>
    <hyperlink ref="A11" location="yandrak!A1" display="yandrak" xr:uid="{12B320EA-01F7-4486-A3F7-0CFAA220FA46}"/>
    <hyperlink ref="A10" location="'Shiquetito 9'!A1" display="Shiquetito 9" xr:uid="{A7081E8C-BAC0-4441-9806-EA7D53B8B9CA}"/>
    <hyperlink ref="A4" location="daviddl10!A1" display="daviddl10" xr:uid="{95F1AEA3-80E3-4C4C-89F9-0D34BED0CE3E}"/>
    <hyperlink ref="A8" location="JMGuti14!A1" display="JMGuti14" xr:uid="{779B09BA-3BC5-4EE7-9656-09E95DF88DC1}"/>
    <hyperlink ref="A2" location="AdolfitoFlick!A1" display="AdolfitoFlick" xr:uid="{D2925AB1-6FF4-4014-9DF6-98103A2F6EED}"/>
    <hyperlink ref="A5" location="Desteban19!A1" display="Desteban19" xr:uid="{E5D94E59-5913-4827-9CAE-6F3D136289F2}"/>
    <hyperlink ref="A6" location="'FC Capitan'!A1" display="FC Capitan" xr:uid="{C300E1CD-8E20-44F3-839E-5209020616A8}"/>
    <hyperlink ref="A9" location="Reivaj95!A1" display="Reivaj95" xr:uid="{9C1B91B7-F04D-485D-B120-54BBDA988623}"/>
    <hyperlink ref="A3" location="CrisGC14!A1" display="CrisGC14" xr:uid="{E1B8BB90-3614-42DF-BC9F-21EF4FF4C3FA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235A9-D41F-4073-9890-FEBAC6DAED8A}">
  <sheetPr filterMode="1"/>
  <dimension ref="A1:E801"/>
  <sheetViews>
    <sheetView workbookViewId="0">
      <selection activeCell="A122" sqref="A122"/>
    </sheetView>
  </sheetViews>
  <sheetFormatPr baseColWidth="10" defaultRowHeight="15" x14ac:dyDescent="0.25"/>
  <sheetData>
    <row r="1" spans="1:5" x14ac:dyDescent="0.25">
      <c r="A1" t="s">
        <v>25</v>
      </c>
      <c r="B1" t="s">
        <v>757</v>
      </c>
      <c r="C1" t="s">
        <v>0</v>
      </c>
      <c r="D1" t="s">
        <v>75</v>
      </c>
      <c r="E1" t="s">
        <v>756</v>
      </c>
    </row>
    <row r="2" spans="1:5" hidden="1" x14ac:dyDescent="0.25">
      <c r="A2" t="s">
        <v>151</v>
      </c>
      <c r="B2" t="s">
        <v>382</v>
      </c>
      <c r="C2" t="s">
        <v>447</v>
      </c>
      <c r="D2" t="s">
        <v>219</v>
      </c>
      <c r="E2" t="b">
        <f t="shared" ref="E2:E65" si="0">OR(ISBLANK(B2),ISBLANK(A2))</f>
        <v>0</v>
      </c>
    </row>
    <row r="3" spans="1:5" hidden="1" x14ac:dyDescent="0.25">
      <c r="A3" t="s">
        <v>36</v>
      </c>
      <c r="B3" t="s">
        <v>379</v>
      </c>
      <c r="C3" t="s">
        <v>448</v>
      </c>
      <c r="D3" t="s">
        <v>219</v>
      </c>
      <c r="E3" t="b">
        <f t="shared" si="0"/>
        <v>0</v>
      </c>
    </row>
    <row r="4" spans="1:5" hidden="1" x14ac:dyDescent="0.25">
      <c r="A4" t="s">
        <v>139</v>
      </c>
      <c r="B4" t="s">
        <v>371</v>
      </c>
      <c r="C4" t="s">
        <v>458</v>
      </c>
      <c r="D4" t="s">
        <v>219</v>
      </c>
      <c r="E4" t="b">
        <f t="shared" si="0"/>
        <v>0</v>
      </c>
    </row>
    <row r="5" spans="1:5" hidden="1" x14ac:dyDescent="0.25">
      <c r="A5" t="s">
        <v>429</v>
      </c>
      <c r="B5" t="s">
        <v>429</v>
      </c>
      <c r="C5" t="s">
        <v>449</v>
      </c>
      <c r="D5" t="s">
        <v>77</v>
      </c>
      <c r="E5" t="b">
        <f t="shared" si="0"/>
        <v>0</v>
      </c>
    </row>
    <row r="6" spans="1:5" hidden="1" x14ac:dyDescent="0.25">
      <c r="A6" t="s">
        <v>147</v>
      </c>
      <c r="B6" t="s">
        <v>450</v>
      </c>
      <c r="C6" t="s">
        <v>451</v>
      </c>
      <c r="D6" t="s">
        <v>89</v>
      </c>
      <c r="E6" t="b">
        <f t="shared" si="0"/>
        <v>0</v>
      </c>
    </row>
    <row r="7" spans="1:5" hidden="1" x14ac:dyDescent="0.25">
      <c r="B7" t="s">
        <v>452</v>
      </c>
      <c r="C7" t="s">
        <v>453</v>
      </c>
      <c r="D7" t="s">
        <v>89</v>
      </c>
      <c r="E7" t="b">
        <f t="shared" si="0"/>
        <v>1</v>
      </c>
    </row>
    <row r="8" spans="1:5" hidden="1" x14ac:dyDescent="0.25">
      <c r="B8" t="s">
        <v>454</v>
      </c>
      <c r="C8" t="s">
        <v>455</v>
      </c>
      <c r="D8" t="s">
        <v>89</v>
      </c>
      <c r="E8" t="b">
        <f t="shared" si="0"/>
        <v>1</v>
      </c>
    </row>
    <row r="9" spans="1:5" hidden="1" x14ac:dyDescent="0.25">
      <c r="A9" t="s">
        <v>294</v>
      </c>
      <c r="B9" t="s">
        <v>294</v>
      </c>
      <c r="C9" t="s">
        <v>456</v>
      </c>
      <c r="D9" t="s">
        <v>219</v>
      </c>
      <c r="E9" t="b">
        <f t="shared" si="0"/>
        <v>0</v>
      </c>
    </row>
    <row r="10" spans="1:5" hidden="1" x14ac:dyDescent="0.25">
      <c r="B10" t="s">
        <v>457</v>
      </c>
      <c r="C10" t="s">
        <v>458</v>
      </c>
      <c r="D10" t="s">
        <v>459</v>
      </c>
      <c r="E10" t="b">
        <f t="shared" si="0"/>
        <v>1</v>
      </c>
    </row>
    <row r="11" spans="1:5" hidden="1" x14ac:dyDescent="0.25">
      <c r="B11" t="s">
        <v>460</v>
      </c>
      <c r="C11" t="s">
        <v>461</v>
      </c>
      <c r="D11" t="s">
        <v>89</v>
      </c>
      <c r="E11" t="b">
        <f t="shared" si="0"/>
        <v>1</v>
      </c>
    </row>
    <row r="12" spans="1:5" hidden="1" x14ac:dyDescent="0.25">
      <c r="A12" t="s">
        <v>211</v>
      </c>
      <c r="B12" t="s">
        <v>462</v>
      </c>
      <c r="C12" t="s">
        <v>451</v>
      </c>
      <c r="D12" t="s">
        <v>77</v>
      </c>
      <c r="E12" t="b">
        <f t="shared" si="0"/>
        <v>0</v>
      </c>
    </row>
    <row r="13" spans="1:5" hidden="1" x14ac:dyDescent="0.25">
      <c r="B13" t="s">
        <v>463</v>
      </c>
      <c r="C13" t="s">
        <v>464</v>
      </c>
      <c r="D13" t="s">
        <v>77</v>
      </c>
      <c r="E13" t="b">
        <f t="shared" si="0"/>
        <v>1</v>
      </c>
    </row>
    <row r="14" spans="1:5" hidden="1" x14ac:dyDescent="0.25">
      <c r="A14" t="s">
        <v>233</v>
      </c>
      <c r="B14" t="s">
        <v>233</v>
      </c>
      <c r="C14" t="s">
        <v>458</v>
      </c>
      <c r="D14" t="s">
        <v>219</v>
      </c>
      <c r="E14" t="b">
        <f t="shared" si="0"/>
        <v>0</v>
      </c>
    </row>
    <row r="15" spans="1:5" hidden="1" x14ac:dyDescent="0.25">
      <c r="A15" t="s">
        <v>253</v>
      </c>
      <c r="B15" t="s">
        <v>253</v>
      </c>
      <c r="C15" t="s">
        <v>465</v>
      </c>
      <c r="D15" t="s">
        <v>77</v>
      </c>
      <c r="E15" t="b">
        <f t="shared" si="0"/>
        <v>0</v>
      </c>
    </row>
    <row r="16" spans="1:5" hidden="1" x14ac:dyDescent="0.25">
      <c r="A16" t="s">
        <v>68</v>
      </c>
      <c r="B16" t="s">
        <v>68</v>
      </c>
      <c r="C16" t="s">
        <v>461</v>
      </c>
      <c r="D16" t="s">
        <v>459</v>
      </c>
      <c r="E16" t="b">
        <f t="shared" si="0"/>
        <v>0</v>
      </c>
    </row>
    <row r="17" spans="1:5" hidden="1" x14ac:dyDescent="0.25">
      <c r="A17" t="s">
        <v>466</v>
      </c>
      <c r="B17" t="s">
        <v>466</v>
      </c>
      <c r="C17" t="s">
        <v>458</v>
      </c>
      <c r="D17" t="s">
        <v>459</v>
      </c>
      <c r="E17" t="b">
        <f t="shared" si="0"/>
        <v>0</v>
      </c>
    </row>
    <row r="18" spans="1:5" hidden="1" x14ac:dyDescent="0.25">
      <c r="B18" t="s">
        <v>467</v>
      </c>
      <c r="C18" t="s">
        <v>449</v>
      </c>
      <c r="D18" t="s">
        <v>219</v>
      </c>
      <c r="E18" t="b">
        <f t="shared" si="0"/>
        <v>1</v>
      </c>
    </row>
    <row r="19" spans="1:5" hidden="1" x14ac:dyDescent="0.25">
      <c r="B19" t="s">
        <v>468</v>
      </c>
      <c r="C19" t="s">
        <v>469</v>
      </c>
      <c r="D19" t="s">
        <v>219</v>
      </c>
      <c r="E19" t="b">
        <f t="shared" si="0"/>
        <v>1</v>
      </c>
    </row>
    <row r="20" spans="1:5" hidden="1" x14ac:dyDescent="0.25">
      <c r="B20" t="s">
        <v>470</v>
      </c>
      <c r="C20" t="s">
        <v>465</v>
      </c>
      <c r="D20" t="s">
        <v>89</v>
      </c>
      <c r="E20" t="b">
        <f t="shared" si="0"/>
        <v>1</v>
      </c>
    </row>
    <row r="21" spans="1:5" hidden="1" x14ac:dyDescent="0.25">
      <c r="A21" t="s">
        <v>106</v>
      </c>
      <c r="B21" t="s">
        <v>471</v>
      </c>
      <c r="C21" t="s">
        <v>472</v>
      </c>
      <c r="D21" t="s">
        <v>77</v>
      </c>
      <c r="E21" t="b">
        <f t="shared" si="0"/>
        <v>0</v>
      </c>
    </row>
    <row r="22" spans="1:5" hidden="1" x14ac:dyDescent="0.25">
      <c r="B22" t="s">
        <v>473</v>
      </c>
      <c r="C22" t="s">
        <v>469</v>
      </c>
      <c r="D22" t="s">
        <v>77</v>
      </c>
      <c r="E22" t="b">
        <f t="shared" si="0"/>
        <v>1</v>
      </c>
    </row>
    <row r="23" spans="1:5" hidden="1" x14ac:dyDescent="0.25">
      <c r="A23" t="s">
        <v>433</v>
      </c>
      <c r="B23" t="s">
        <v>433</v>
      </c>
      <c r="C23" t="s">
        <v>474</v>
      </c>
      <c r="D23" t="s">
        <v>89</v>
      </c>
      <c r="E23" t="b">
        <f t="shared" si="0"/>
        <v>0</v>
      </c>
    </row>
    <row r="24" spans="1:5" hidden="1" x14ac:dyDescent="0.25">
      <c r="B24" t="s">
        <v>475</v>
      </c>
      <c r="C24" t="s">
        <v>448</v>
      </c>
      <c r="D24" t="s">
        <v>219</v>
      </c>
      <c r="E24" t="b">
        <f t="shared" si="0"/>
        <v>1</v>
      </c>
    </row>
    <row r="25" spans="1:5" hidden="1" x14ac:dyDescent="0.25">
      <c r="B25" t="s">
        <v>476</v>
      </c>
      <c r="C25" t="s">
        <v>458</v>
      </c>
      <c r="D25" t="s">
        <v>219</v>
      </c>
      <c r="E25" t="b">
        <f t="shared" si="0"/>
        <v>1</v>
      </c>
    </row>
    <row r="26" spans="1:5" hidden="1" x14ac:dyDescent="0.25">
      <c r="A26" t="s">
        <v>336</v>
      </c>
      <c r="B26" t="s">
        <v>477</v>
      </c>
      <c r="C26" t="s">
        <v>461</v>
      </c>
      <c r="D26" t="s">
        <v>77</v>
      </c>
      <c r="E26" t="b">
        <f t="shared" si="0"/>
        <v>0</v>
      </c>
    </row>
    <row r="27" spans="1:5" hidden="1" x14ac:dyDescent="0.25">
      <c r="B27" t="s">
        <v>478</v>
      </c>
      <c r="C27" t="s">
        <v>456</v>
      </c>
      <c r="D27" t="s">
        <v>459</v>
      </c>
      <c r="E27" t="b">
        <f t="shared" si="0"/>
        <v>1</v>
      </c>
    </row>
    <row r="28" spans="1:5" hidden="1" x14ac:dyDescent="0.25">
      <c r="A28" t="s">
        <v>82</v>
      </c>
      <c r="B28" t="s">
        <v>82</v>
      </c>
      <c r="C28" t="s">
        <v>456</v>
      </c>
      <c r="D28" t="s">
        <v>219</v>
      </c>
      <c r="E28" t="b">
        <f t="shared" si="0"/>
        <v>0</v>
      </c>
    </row>
    <row r="29" spans="1:5" hidden="1" x14ac:dyDescent="0.25">
      <c r="A29" t="s">
        <v>767</v>
      </c>
      <c r="B29" t="s">
        <v>479</v>
      </c>
      <c r="C29" t="s">
        <v>480</v>
      </c>
      <c r="D29" t="s">
        <v>219</v>
      </c>
      <c r="E29" t="b">
        <f t="shared" si="0"/>
        <v>0</v>
      </c>
    </row>
    <row r="30" spans="1:5" hidden="1" x14ac:dyDescent="0.25">
      <c r="B30" t="s">
        <v>481</v>
      </c>
      <c r="C30" t="s">
        <v>455</v>
      </c>
      <c r="D30" t="s">
        <v>77</v>
      </c>
      <c r="E30" t="b">
        <f t="shared" si="0"/>
        <v>1</v>
      </c>
    </row>
    <row r="31" spans="1:5" hidden="1" x14ac:dyDescent="0.25">
      <c r="A31" t="s">
        <v>318</v>
      </c>
      <c r="B31" t="s">
        <v>482</v>
      </c>
      <c r="C31" t="s">
        <v>464</v>
      </c>
      <c r="D31" t="s">
        <v>89</v>
      </c>
      <c r="E31" t="b">
        <f t="shared" si="0"/>
        <v>0</v>
      </c>
    </row>
    <row r="32" spans="1:5" hidden="1" x14ac:dyDescent="0.25">
      <c r="A32" t="s">
        <v>198</v>
      </c>
      <c r="B32" t="s">
        <v>341</v>
      </c>
      <c r="C32" t="s">
        <v>485</v>
      </c>
      <c r="D32" t="s">
        <v>459</v>
      </c>
      <c r="E32" t="b">
        <f t="shared" si="0"/>
        <v>0</v>
      </c>
    </row>
    <row r="33" spans="1:5" hidden="1" x14ac:dyDescent="0.25">
      <c r="B33" t="s">
        <v>753</v>
      </c>
      <c r="C33" t="s">
        <v>461</v>
      </c>
      <c r="D33" t="s">
        <v>89</v>
      </c>
      <c r="E33" t="b">
        <f t="shared" si="0"/>
        <v>1</v>
      </c>
    </row>
    <row r="34" spans="1:5" hidden="1" x14ac:dyDescent="0.25">
      <c r="B34" t="s">
        <v>754</v>
      </c>
      <c r="C34" t="s">
        <v>455</v>
      </c>
      <c r="D34" t="s">
        <v>219</v>
      </c>
      <c r="E34" t="b">
        <f t="shared" si="0"/>
        <v>1</v>
      </c>
    </row>
    <row r="35" spans="1:5" hidden="1" x14ac:dyDescent="0.25">
      <c r="A35" t="s">
        <v>787</v>
      </c>
      <c r="B35" t="s">
        <v>483</v>
      </c>
      <c r="C35" t="s">
        <v>448</v>
      </c>
      <c r="D35" t="s">
        <v>219</v>
      </c>
      <c r="E35" t="b">
        <f t="shared" si="0"/>
        <v>0</v>
      </c>
    </row>
    <row r="36" spans="1:5" hidden="1" x14ac:dyDescent="0.25">
      <c r="A36" t="s">
        <v>309</v>
      </c>
      <c r="B36" t="s">
        <v>484</v>
      </c>
      <c r="C36" t="s">
        <v>461</v>
      </c>
      <c r="D36" t="s">
        <v>89</v>
      </c>
      <c r="E36" t="b">
        <f t="shared" si="0"/>
        <v>0</v>
      </c>
    </row>
    <row r="37" spans="1:5" hidden="1" x14ac:dyDescent="0.25">
      <c r="A37" t="s">
        <v>329</v>
      </c>
      <c r="B37" t="s">
        <v>329</v>
      </c>
      <c r="C37" t="s">
        <v>461</v>
      </c>
      <c r="D37" t="s">
        <v>89</v>
      </c>
      <c r="E37" t="b">
        <f t="shared" si="0"/>
        <v>0</v>
      </c>
    </row>
    <row r="38" spans="1:5" hidden="1" x14ac:dyDescent="0.25">
      <c r="A38" t="s">
        <v>207</v>
      </c>
      <c r="B38" t="s">
        <v>486</v>
      </c>
      <c r="C38" t="s">
        <v>449</v>
      </c>
      <c r="D38" t="s">
        <v>219</v>
      </c>
      <c r="E38" t="b">
        <f t="shared" si="0"/>
        <v>0</v>
      </c>
    </row>
    <row r="39" spans="1:5" hidden="1" x14ac:dyDescent="0.25">
      <c r="B39" t="s">
        <v>487</v>
      </c>
      <c r="C39" t="s">
        <v>458</v>
      </c>
      <c r="D39" t="s">
        <v>89</v>
      </c>
      <c r="E39" t="b">
        <f t="shared" si="0"/>
        <v>1</v>
      </c>
    </row>
    <row r="40" spans="1:5" hidden="1" x14ac:dyDescent="0.25">
      <c r="A40" t="s">
        <v>110</v>
      </c>
      <c r="B40" t="s">
        <v>110</v>
      </c>
      <c r="C40" t="s">
        <v>488</v>
      </c>
      <c r="D40" t="s">
        <v>459</v>
      </c>
      <c r="E40" t="b">
        <f t="shared" si="0"/>
        <v>0</v>
      </c>
    </row>
    <row r="41" spans="1:5" hidden="1" x14ac:dyDescent="0.25">
      <c r="A41" t="s">
        <v>41</v>
      </c>
      <c r="B41" t="s">
        <v>41</v>
      </c>
      <c r="C41" t="s">
        <v>465</v>
      </c>
      <c r="D41" t="s">
        <v>459</v>
      </c>
      <c r="E41" t="b">
        <f t="shared" si="0"/>
        <v>0</v>
      </c>
    </row>
    <row r="42" spans="1:5" hidden="1" x14ac:dyDescent="0.25">
      <c r="A42" t="s">
        <v>41</v>
      </c>
      <c r="B42" t="s">
        <v>41</v>
      </c>
      <c r="C42" t="s">
        <v>465</v>
      </c>
      <c r="D42" t="s">
        <v>459</v>
      </c>
      <c r="E42" t="b">
        <f t="shared" si="0"/>
        <v>0</v>
      </c>
    </row>
    <row r="43" spans="1:5" hidden="1" x14ac:dyDescent="0.25">
      <c r="A43" t="s">
        <v>330</v>
      </c>
      <c r="B43" t="s">
        <v>356</v>
      </c>
      <c r="C43" t="s">
        <v>451</v>
      </c>
      <c r="D43" t="s">
        <v>459</v>
      </c>
      <c r="E43" t="b">
        <f t="shared" si="0"/>
        <v>0</v>
      </c>
    </row>
    <row r="44" spans="1:5" hidden="1" x14ac:dyDescent="0.25">
      <c r="A44" t="s">
        <v>330</v>
      </c>
      <c r="B44" t="s">
        <v>356</v>
      </c>
      <c r="C44" t="s">
        <v>474</v>
      </c>
      <c r="D44" t="s">
        <v>219</v>
      </c>
      <c r="E44" t="b">
        <f t="shared" si="0"/>
        <v>0</v>
      </c>
    </row>
    <row r="45" spans="1:5" hidden="1" x14ac:dyDescent="0.25">
      <c r="A45" t="s">
        <v>257</v>
      </c>
      <c r="B45" t="s">
        <v>257</v>
      </c>
      <c r="C45" t="s">
        <v>488</v>
      </c>
      <c r="D45" t="s">
        <v>89</v>
      </c>
      <c r="E45" t="b">
        <f t="shared" si="0"/>
        <v>0</v>
      </c>
    </row>
    <row r="46" spans="1:5" hidden="1" x14ac:dyDescent="0.25">
      <c r="B46" t="s">
        <v>755</v>
      </c>
      <c r="C46" t="s">
        <v>461</v>
      </c>
      <c r="D46" t="s">
        <v>77</v>
      </c>
      <c r="E46" t="b">
        <f t="shared" si="0"/>
        <v>1</v>
      </c>
    </row>
    <row r="47" spans="1:5" hidden="1" x14ac:dyDescent="0.25">
      <c r="A47" t="s">
        <v>60</v>
      </c>
      <c r="B47" t="s">
        <v>340</v>
      </c>
      <c r="C47" t="s">
        <v>464</v>
      </c>
      <c r="D47" t="s">
        <v>459</v>
      </c>
      <c r="E47" t="b">
        <f t="shared" si="0"/>
        <v>0</v>
      </c>
    </row>
    <row r="48" spans="1:5" hidden="1" x14ac:dyDescent="0.25">
      <c r="A48" t="s">
        <v>788</v>
      </c>
      <c r="B48" t="s">
        <v>489</v>
      </c>
      <c r="C48" t="s">
        <v>458</v>
      </c>
      <c r="D48" t="s">
        <v>89</v>
      </c>
      <c r="E48" t="b">
        <f t="shared" si="0"/>
        <v>0</v>
      </c>
    </row>
    <row r="49" spans="1:5" hidden="1" x14ac:dyDescent="0.25">
      <c r="A49" t="s">
        <v>319</v>
      </c>
      <c r="B49" t="s">
        <v>490</v>
      </c>
      <c r="C49" t="s">
        <v>458</v>
      </c>
      <c r="D49" t="s">
        <v>89</v>
      </c>
      <c r="E49" t="b">
        <f t="shared" si="0"/>
        <v>0</v>
      </c>
    </row>
    <row r="50" spans="1:5" hidden="1" x14ac:dyDescent="0.25">
      <c r="A50" t="s">
        <v>61</v>
      </c>
      <c r="B50" t="s">
        <v>61</v>
      </c>
      <c r="C50" t="s">
        <v>464</v>
      </c>
      <c r="D50" t="s">
        <v>219</v>
      </c>
      <c r="E50" t="b">
        <f t="shared" si="0"/>
        <v>0</v>
      </c>
    </row>
    <row r="51" spans="1:5" hidden="1" x14ac:dyDescent="0.25">
      <c r="A51" t="s">
        <v>64</v>
      </c>
      <c r="B51" t="s">
        <v>491</v>
      </c>
      <c r="C51" t="s">
        <v>453</v>
      </c>
      <c r="D51" t="s">
        <v>459</v>
      </c>
      <c r="E51" t="b">
        <f t="shared" si="0"/>
        <v>0</v>
      </c>
    </row>
    <row r="52" spans="1:5" hidden="1" x14ac:dyDescent="0.25">
      <c r="B52" t="s">
        <v>492</v>
      </c>
      <c r="C52" t="s">
        <v>458</v>
      </c>
      <c r="D52" t="s">
        <v>459</v>
      </c>
      <c r="E52" t="b">
        <f t="shared" si="0"/>
        <v>1</v>
      </c>
    </row>
    <row r="53" spans="1:5" hidden="1" x14ac:dyDescent="0.25">
      <c r="A53" t="s">
        <v>324</v>
      </c>
      <c r="B53" t="s">
        <v>324</v>
      </c>
      <c r="C53" t="s">
        <v>451</v>
      </c>
      <c r="D53" t="s">
        <v>89</v>
      </c>
      <c r="E53" t="b">
        <f t="shared" si="0"/>
        <v>0</v>
      </c>
    </row>
    <row r="54" spans="1:5" hidden="1" x14ac:dyDescent="0.25">
      <c r="A54" t="s">
        <v>73</v>
      </c>
      <c r="B54" t="s">
        <v>73</v>
      </c>
      <c r="C54" t="s">
        <v>456</v>
      </c>
      <c r="D54" t="s">
        <v>459</v>
      </c>
      <c r="E54" t="b">
        <f t="shared" si="0"/>
        <v>0</v>
      </c>
    </row>
    <row r="55" spans="1:5" hidden="1" x14ac:dyDescent="0.25">
      <c r="A55" t="s">
        <v>241</v>
      </c>
      <c r="B55" t="s">
        <v>241</v>
      </c>
      <c r="C55" t="s">
        <v>469</v>
      </c>
      <c r="D55" t="s">
        <v>219</v>
      </c>
      <c r="E55" t="b">
        <f t="shared" si="0"/>
        <v>0</v>
      </c>
    </row>
    <row r="56" spans="1:5" hidden="1" x14ac:dyDescent="0.25">
      <c r="A56" t="s">
        <v>72</v>
      </c>
      <c r="B56" t="s">
        <v>372</v>
      </c>
      <c r="C56" t="s">
        <v>447</v>
      </c>
      <c r="D56" t="s">
        <v>219</v>
      </c>
      <c r="E56" t="b">
        <f t="shared" si="0"/>
        <v>0</v>
      </c>
    </row>
    <row r="57" spans="1:5" hidden="1" x14ac:dyDescent="0.25">
      <c r="A57" t="s">
        <v>34</v>
      </c>
      <c r="B57" t="s">
        <v>34</v>
      </c>
      <c r="C57" t="s">
        <v>480</v>
      </c>
      <c r="D57" t="s">
        <v>219</v>
      </c>
      <c r="E57" t="b">
        <f t="shared" si="0"/>
        <v>0</v>
      </c>
    </row>
    <row r="58" spans="1:5" hidden="1" x14ac:dyDescent="0.25">
      <c r="B58" t="s">
        <v>493</v>
      </c>
      <c r="C58" t="s">
        <v>469</v>
      </c>
      <c r="D58" t="s">
        <v>219</v>
      </c>
      <c r="E58" t="b">
        <f t="shared" si="0"/>
        <v>1</v>
      </c>
    </row>
    <row r="59" spans="1:5" hidden="1" x14ac:dyDescent="0.25">
      <c r="B59" t="s">
        <v>494</v>
      </c>
      <c r="C59" t="s">
        <v>455</v>
      </c>
      <c r="D59" t="s">
        <v>219</v>
      </c>
      <c r="E59" t="b">
        <f t="shared" si="0"/>
        <v>1</v>
      </c>
    </row>
    <row r="60" spans="1:5" hidden="1" x14ac:dyDescent="0.25">
      <c r="A60" t="s">
        <v>495</v>
      </c>
      <c r="B60" t="s">
        <v>495</v>
      </c>
      <c r="C60" t="s">
        <v>496</v>
      </c>
      <c r="D60" t="s">
        <v>459</v>
      </c>
      <c r="E60" t="b">
        <f t="shared" si="0"/>
        <v>0</v>
      </c>
    </row>
    <row r="61" spans="1:5" hidden="1" x14ac:dyDescent="0.25">
      <c r="A61" t="s">
        <v>90</v>
      </c>
      <c r="B61" t="s">
        <v>90</v>
      </c>
      <c r="C61" t="s">
        <v>453</v>
      </c>
      <c r="D61" t="s">
        <v>89</v>
      </c>
      <c r="E61" t="b">
        <f t="shared" si="0"/>
        <v>0</v>
      </c>
    </row>
    <row r="62" spans="1:5" hidden="1" x14ac:dyDescent="0.25">
      <c r="A62" t="s">
        <v>57</v>
      </c>
      <c r="B62" t="s">
        <v>57</v>
      </c>
      <c r="C62" t="s">
        <v>448</v>
      </c>
      <c r="D62" t="s">
        <v>219</v>
      </c>
      <c r="E62" t="b">
        <f t="shared" si="0"/>
        <v>0</v>
      </c>
    </row>
    <row r="63" spans="1:5" hidden="1" x14ac:dyDescent="0.25">
      <c r="A63" t="s">
        <v>497</v>
      </c>
      <c r="B63" t="s">
        <v>497</v>
      </c>
      <c r="C63" t="s">
        <v>498</v>
      </c>
      <c r="D63" t="s">
        <v>89</v>
      </c>
      <c r="E63" t="b">
        <f t="shared" si="0"/>
        <v>0</v>
      </c>
    </row>
    <row r="64" spans="1:5" hidden="1" x14ac:dyDescent="0.25">
      <c r="A64" t="s">
        <v>168</v>
      </c>
      <c r="B64" t="s">
        <v>168</v>
      </c>
      <c r="C64" t="s">
        <v>455</v>
      </c>
      <c r="D64" t="s">
        <v>89</v>
      </c>
      <c r="E64" t="b">
        <f t="shared" si="0"/>
        <v>0</v>
      </c>
    </row>
    <row r="65" spans="1:5" hidden="1" x14ac:dyDescent="0.25">
      <c r="B65" t="s">
        <v>499</v>
      </c>
      <c r="C65" t="s">
        <v>474</v>
      </c>
      <c r="D65" t="s">
        <v>89</v>
      </c>
      <c r="E65" t="b">
        <f t="shared" si="0"/>
        <v>1</v>
      </c>
    </row>
    <row r="66" spans="1:5" hidden="1" x14ac:dyDescent="0.25">
      <c r="A66" t="s">
        <v>337</v>
      </c>
      <c r="B66" t="s">
        <v>337</v>
      </c>
      <c r="C66" t="s">
        <v>461</v>
      </c>
      <c r="D66" t="s">
        <v>219</v>
      </c>
      <c r="E66" t="b">
        <f t="shared" ref="E66:E129" si="1">OR(ISBLANK(B66),ISBLANK(A66))</f>
        <v>0</v>
      </c>
    </row>
    <row r="67" spans="1:5" hidden="1" x14ac:dyDescent="0.25">
      <c r="A67" t="s">
        <v>117</v>
      </c>
      <c r="B67" t="s">
        <v>117</v>
      </c>
      <c r="C67" t="s">
        <v>461</v>
      </c>
      <c r="D67" t="s">
        <v>219</v>
      </c>
      <c r="E67" t="b">
        <f t="shared" si="1"/>
        <v>0</v>
      </c>
    </row>
    <row r="68" spans="1:5" hidden="1" x14ac:dyDescent="0.25">
      <c r="A68" t="s">
        <v>204</v>
      </c>
      <c r="B68" t="s">
        <v>366</v>
      </c>
      <c r="C68" t="s">
        <v>488</v>
      </c>
      <c r="D68" t="s">
        <v>459</v>
      </c>
      <c r="E68" t="b">
        <f t="shared" si="1"/>
        <v>0</v>
      </c>
    </row>
    <row r="69" spans="1:5" hidden="1" x14ac:dyDescent="0.25">
      <c r="A69" t="s">
        <v>500</v>
      </c>
      <c r="B69" t="s">
        <v>500</v>
      </c>
      <c r="C69" t="s">
        <v>449</v>
      </c>
      <c r="D69" t="s">
        <v>219</v>
      </c>
      <c r="E69" t="b">
        <f t="shared" si="1"/>
        <v>0</v>
      </c>
    </row>
    <row r="70" spans="1:5" hidden="1" x14ac:dyDescent="0.25">
      <c r="A70" t="s">
        <v>91</v>
      </c>
      <c r="B70" t="s">
        <v>91</v>
      </c>
      <c r="C70" t="s">
        <v>451</v>
      </c>
      <c r="D70" t="s">
        <v>89</v>
      </c>
      <c r="E70" t="b">
        <f t="shared" si="1"/>
        <v>0</v>
      </c>
    </row>
    <row r="71" spans="1:5" hidden="1" x14ac:dyDescent="0.25">
      <c r="A71" t="s">
        <v>224</v>
      </c>
      <c r="B71" t="s">
        <v>367</v>
      </c>
      <c r="C71" t="s">
        <v>447</v>
      </c>
      <c r="D71" t="s">
        <v>219</v>
      </c>
      <c r="E71" t="b">
        <f t="shared" si="1"/>
        <v>0</v>
      </c>
    </row>
    <row r="72" spans="1:5" hidden="1" x14ac:dyDescent="0.25">
      <c r="A72" t="s">
        <v>210</v>
      </c>
      <c r="B72" t="s">
        <v>210</v>
      </c>
      <c r="C72" t="s">
        <v>464</v>
      </c>
      <c r="D72" t="s">
        <v>219</v>
      </c>
      <c r="E72" t="b">
        <f t="shared" si="1"/>
        <v>0</v>
      </c>
    </row>
    <row r="73" spans="1:5" hidden="1" x14ac:dyDescent="0.25">
      <c r="B73" t="s">
        <v>501</v>
      </c>
      <c r="C73" t="s">
        <v>458</v>
      </c>
      <c r="D73" t="s">
        <v>219</v>
      </c>
      <c r="E73" t="b">
        <f t="shared" si="1"/>
        <v>1</v>
      </c>
    </row>
    <row r="74" spans="1:5" hidden="1" x14ac:dyDescent="0.25">
      <c r="B74" t="s">
        <v>502</v>
      </c>
      <c r="C74" t="s">
        <v>447</v>
      </c>
      <c r="D74" t="s">
        <v>89</v>
      </c>
      <c r="E74" t="b">
        <f t="shared" si="1"/>
        <v>1</v>
      </c>
    </row>
    <row r="75" spans="1:5" hidden="1" x14ac:dyDescent="0.25">
      <c r="A75" t="s">
        <v>47</v>
      </c>
      <c r="B75" t="s">
        <v>47</v>
      </c>
      <c r="C75" t="s">
        <v>469</v>
      </c>
      <c r="D75" t="s">
        <v>459</v>
      </c>
      <c r="E75" t="b">
        <f t="shared" si="1"/>
        <v>0</v>
      </c>
    </row>
    <row r="76" spans="1:5" hidden="1" x14ac:dyDescent="0.25">
      <c r="A76" t="s">
        <v>225</v>
      </c>
      <c r="B76" t="s">
        <v>225</v>
      </c>
      <c r="C76" t="s">
        <v>488</v>
      </c>
      <c r="D76" t="s">
        <v>459</v>
      </c>
      <c r="E76" t="b">
        <f t="shared" si="1"/>
        <v>0</v>
      </c>
    </row>
    <row r="77" spans="1:5" hidden="1" x14ac:dyDescent="0.25">
      <c r="A77" t="s">
        <v>150</v>
      </c>
      <c r="B77" t="s">
        <v>150</v>
      </c>
      <c r="C77" t="s">
        <v>451</v>
      </c>
      <c r="D77" t="s">
        <v>219</v>
      </c>
      <c r="E77" t="b">
        <f t="shared" si="1"/>
        <v>0</v>
      </c>
    </row>
    <row r="78" spans="1:5" hidden="1" x14ac:dyDescent="0.25">
      <c r="A78" t="s">
        <v>171</v>
      </c>
      <c r="B78" t="s">
        <v>171</v>
      </c>
      <c r="C78" t="s">
        <v>464</v>
      </c>
      <c r="D78" t="s">
        <v>77</v>
      </c>
      <c r="E78" t="b">
        <f t="shared" si="1"/>
        <v>0</v>
      </c>
    </row>
    <row r="79" spans="1:5" hidden="1" x14ac:dyDescent="0.25">
      <c r="A79" t="s">
        <v>59</v>
      </c>
      <c r="B79" t="s">
        <v>59</v>
      </c>
      <c r="C79" t="s">
        <v>472</v>
      </c>
      <c r="D79" t="s">
        <v>459</v>
      </c>
      <c r="E79" t="b">
        <f t="shared" si="1"/>
        <v>0</v>
      </c>
    </row>
    <row r="80" spans="1:5" hidden="1" x14ac:dyDescent="0.25">
      <c r="B80" t="s">
        <v>503</v>
      </c>
      <c r="C80" t="s">
        <v>456</v>
      </c>
      <c r="D80" t="s">
        <v>219</v>
      </c>
      <c r="E80" t="b">
        <f t="shared" si="1"/>
        <v>1</v>
      </c>
    </row>
    <row r="81" spans="1:5" hidden="1" x14ac:dyDescent="0.25">
      <c r="A81" t="s">
        <v>208</v>
      </c>
      <c r="B81" t="s">
        <v>343</v>
      </c>
      <c r="C81" t="s">
        <v>451</v>
      </c>
      <c r="D81" t="s">
        <v>219</v>
      </c>
      <c r="E81" t="b">
        <f t="shared" si="1"/>
        <v>0</v>
      </c>
    </row>
    <row r="82" spans="1:5" hidden="1" x14ac:dyDescent="0.25">
      <c r="A82" t="s">
        <v>425</v>
      </c>
      <c r="B82" t="s">
        <v>425</v>
      </c>
      <c r="C82" t="s">
        <v>448</v>
      </c>
      <c r="D82" t="s">
        <v>459</v>
      </c>
      <c r="E82" t="b">
        <f t="shared" si="1"/>
        <v>0</v>
      </c>
    </row>
    <row r="83" spans="1:5" hidden="1" x14ac:dyDescent="0.25">
      <c r="A83" t="s">
        <v>165</v>
      </c>
      <c r="B83" t="s">
        <v>392</v>
      </c>
      <c r="C83" t="s">
        <v>498</v>
      </c>
      <c r="D83" t="s">
        <v>459</v>
      </c>
      <c r="E83" t="b">
        <f t="shared" si="1"/>
        <v>0</v>
      </c>
    </row>
    <row r="84" spans="1:5" hidden="1" x14ac:dyDescent="0.25">
      <c r="A84" t="s">
        <v>165</v>
      </c>
      <c r="B84" t="s">
        <v>392</v>
      </c>
      <c r="C84" t="s">
        <v>465</v>
      </c>
      <c r="D84" t="s">
        <v>459</v>
      </c>
      <c r="E84" t="b">
        <f t="shared" si="1"/>
        <v>0</v>
      </c>
    </row>
    <row r="85" spans="1:5" hidden="1" x14ac:dyDescent="0.25">
      <c r="B85" t="s">
        <v>504</v>
      </c>
      <c r="C85" t="s">
        <v>485</v>
      </c>
      <c r="D85" t="s">
        <v>459</v>
      </c>
      <c r="E85" t="b">
        <f t="shared" si="1"/>
        <v>1</v>
      </c>
    </row>
    <row r="86" spans="1:5" hidden="1" x14ac:dyDescent="0.25">
      <c r="A86" t="s">
        <v>505</v>
      </c>
      <c r="B86" t="s">
        <v>505</v>
      </c>
      <c r="C86" t="s">
        <v>472</v>
      </c>
      <c r="D86" t="s">
        <v>89</v>
      </c>
      <c r="E86" t="b">
        <f t="shared" si="1"/>
        <v>0</v>
      </c>
    </row>
    <row r="87" spans="1:5" hidden="1" x14ac:dyDescent="0.25">
      <c r="A87" t="s">
        <v>186</v>
      </c>
      <c r="B87" t="s">
        <v>186</v>
      </c>
      <c r="C87" t="s">
        <v>480</v>
      </c>
      <c r="D87" t="s">
        <v>89</v>
      </c>
      <c r="E87" t="b">
        <f t="shared" si="1"/>
        <v>0</v>
      </c>
    </row>
    <row r="88" spans="1:5" hidden="1" x14ac:dyDescent="0.25">
      <c r="B88" t="s">
        <v>506</v>
      </c>
      <c r="C88" t="s">
        <v>453</v>
      </c>
      <c r="D88" t="s">
        <v>77</v>
      </c>
      <c r="E88" t="b">
        <f t="shared" si="1"/>
        <v>1</v>
      </c>
    </row>
    <row r="89" spans="1:5" hidden="1" x14ac:dyDescent="0.25">
      <c r="A89" t="s">
        <v>302</v>
      </c>
      <c r="B89" t="s">
        <v>507</v>
      </c>
      <c r="C89" t="s">
        <v>447</v>
      </c>
      <c r="D89" t="s">
        <v>459</v>
      </c>
      <c r="E89" t="b">
        <f t="shared" si="1"/>
        <v>0</v>
      </c>
    </row>
    <row r="90" spans="1:5" hidden="1" x14ac:dyDescent="0.25">
      <c r="A90" t="s">
        <v>362</v>
      </c>
      <c r="B90" t="s">
        <v>362</v>
      </c>
      <c r="C90" t="s">
        <v>458</v>
      </c>
      <c r="D90" t="s">
        <v>219</v>
      </c>
      <c r="E90" t="b">
        <f t="shared" si="1"/>
        <v>0</v>
      </c>
    </row>
    <row r="91" spans="1:5" hidden="1" x14ac:dyDescent="0.25">
      <c r="A91" t="s">
        <v>103</v>
      </c>
      <c r="B91" t="s">
        <v>103</v>
      </c>
      <c r="C91" t="s">
        <v>485</v>
      </c>
      <c r="D91" t="s">
        <v>459</v>
      </c>
      <c r="E91" t="b">
        <f t="shared" si="1"/>
        <v>0</v>
      </c>
    </row>
    <row r="92" spans="1:5" hidden="1" x14ac:dyDescent="0.25">
      <c r="A92" t="s">
        <v>140</v>
      </c>
      <c r="B92" t="s">
        <v>368</v>
      </c>
      <c r="C92" t="s">
        <v>455</v>
      </c>
      <c r="D92" t="s">
        <v>219</v>
      </c>
      <c r="E92" t="b">
        <f t="shared" si="1"/>
        <v>0</v>
      </c>
    </row>
    <row r="93" spans="1:5" hidden="1" x14ac:dyDescent="0.25">
      <c r="B93" t="s">
        <v>508</v>
      </c>
      <c r="C93" t="s">
        <v>480</v>
      </c>
      <c r="D93" t="s">
        <v>219</v>
      </c>
      <c r="E93" t="b">
        <f t="shared" si="1"/>
        <v>1</v>
      </c>
    </row>
    <row r="94" spans="1:5" hidden="1" x14ac:dyDescent="0.25">
      <c r="A94" t="s">
        <v>314</v>
      </c>
      <c r="B94" t="s">
        <v>509</v>
      </c>
      <c r="C94" t="s">
        <v>485</v>
      </c>
      <c r="D94" t="s">
        <v>89</v>
      </c>
      <c r="E94" t="b">
        <f t="shared" si="1"/>
        <v>0</v>
      </c>
    </row>
    <row r="95" spans="1:5" hidden="1" x14ac:dyDescent="0.25">
      <c r="A95" t="s">
        <v>115</v>
      </c>
      <c r="B95" t="s">
        <v>115</v>
      </c>
      <c r="C95" t="s">
        <v>472</v>
      </c>
      <c r="D95" t="s">
        <v>219</v>
      </c>
      <c r="E95" t="b">
        <f t="shared" si="1"/>
        <v>0</v>
      </c>
    </row>
    <row r="96" spans="1:5" hidden="1" x14ac:dyDescent="0.25">
      <c r="A96" t="s">
        <v>62</v>
      </c>
      <c r="B96" t="s">
        <v>62</v>
      </c>
      <c r="C96" t="s">
        <v>448</v>
      </c>
      <c r="D96" t="s">
        <v>459</v>
      </c>
      <c r="E96" t="b">
        <f t="shared" si="1"/>
        <v>0</v>
      </c>
    </row>
    <row r="97" spans="1:5" hidden="1" x14ac:dyDescent="0.25">
      <c r="A97" t="s">
        <v>158</v>
      </c>
      <c r="B97" t="s">
        <v>374</v>
      </c>
      <c r="C97" t="s">
        <v>469</v>
      </c>
      <c r="D97" t="s">
        <v>459</v>
      </c>
      <c r="E97" t="b">
        <f t="shared" si="1"/>
        <v>0</v>
      </c>
    </row>
    <row r="98" spans="1:5" hidden="1" x14ac:dyDescent="0.25">
      <c r="B98" t="s">
        <v>510</v>
      </c>
      <c r="C98" t="s">
        <v>449</v>
      </c>
      <c r="D98" t="s">
        <v>459</v>
      </c>
      <c r="E98" t="b">
        <f t="shared" si="1"/>
        <v>1</v>
      </c>
    </row>
    <row r="99" spans="1:5" hidden="1" x14ac:dyDescent="0.25">
      <c r="B99" t="s">
        <v>511</v>
      </c>
      <c r="C99" t="s">
        <v>449</v>
      </c>
      <c r="D99" t="s">
        <v>459</v>
      </c>
      <c r="E99" t="b">
        <f t="shared" si="1"/>
        <v>1</v>
      </c>
    </row>
    <row r="100" spans="1:5" hidden="1" x14ac:dyDescent="0.25">
      <c r="A100" t="s">
        <v>67</v>
      </c>
      <c r="B100" t="s">
        <v>512</v>
      </c>
      <c r="C100" t="s">
        <v>472</v>
      </c>
      <c r="D100" t="s">
        <v>219</v>
      </c>
      <c r="E100" t="b">
        <f t="shared" si="1"/>
        <v>0</v>
      </c>
    </row>
    <row r="101" spans="1:5" hidden="1" x14ac:dyDescent="0.25">
      <c r="A101" t="s">
        <v>235</v>
      </c>
      <c r="B101" t="s">
        <v>375</v>
      </c>
      <c r="C101" t="s">
        <v>496</v>
      </c>
      <c r="D101" t="s">
        <v>89</v>
      </c>
      <c r="E101" t="b">
        <f t="shared" si="1"/>
        <v>0</v>
      </c>
    </row>
    <row r="102" spans="1:5" hidden="1" x14ac:dyDescent="0.25">
      <c r="A102" t="s">
        <v>298</v>
      </c>
      <c r="B102" t="s">
        <v>298</v>
      </c>
      <c r="C102" t="s">
        <v>498</v>
      </c>
      <c r="D102" t="s">
        <v>89</v>
      </c>
      <c r="E102" t="b">
        <f t="shared" si="1"/>
        <v>0</v>
      </c>
    </row>
    <row r="103" spans="1:5" hidden="1" x14ac:dyDescent="0.25">
      <c r="A103" t="s">
        <v>312</v>
      </c>
      <c r="B103" t="s">
        <v>312</v>
      </c>
      <c r="C103" t="s">
        <v>455</v>
      </c>
      <c r="D103" t="s">
        <v>89</v>
      </c>
      <c r="E103" t="b">
        <f t="shared" si="1"/>
        <v>0</v>
      </c>
    </row>
    <row r="104" spans="1:5" hidden="1" x14ac:dyDescent="0.25">
      <c r="A104" t="s">
        <v>239</v>
      </c>
      <c r="B104" t="s">
        <v>239</v>
      </c>
      <c r="C104" t="s">
        <v>474</v>
      </c>
      <c r="D104" t="s">
        <v>459</v>
      </c>
      <c r="E104" t="b">
        <f t="shared" si="1"/>
        <v>0</v>
      </c>
    </row>
    <row r="105" spans="1:5" hidden="1" x14ac:dyDescent="0.25">
      <c r="A105" t="s">
        <v>195</v>
      </c>
      <c r="B105" t="s">
        <v>195</v>
      </c>
      <c r="C105" t="s">
        <v>472</v>
      </c>
      <c r="D105" t="s">
        <v>89</v>
      </c>
      <c r="E105" t="b">
        <f t="shared" si="1"/>
        <v>0</v>
      </c>
    </row>
    <row r="106" spans="1:5" hidden="1" x14ac:dyDescent="0.25">
      <c r="A106" t="s">
        <v>331</v>
      </c>
      <c r="B106" t="s">
        <v>376</v>
      </c>
      <c r="C106" t="s">
        <v>496</v>
      </c>
      <c r="D106" t="s">
        <v>459</v>
      </c>
      <c r="E106" t="b">
        <f t="shared" si="1"/>
        <v>0</v>
      </c>
    </row>
    <row r="107" spans="1:5" hidden="1" x14ac:dyDescent="0.25">
      <c r="B107" t="s">
        <v>513</v>
      </c>
      <c r="C107" t="s">
        <v>474</v>
      </c>
      <c r="D107" t="s">
        <v>89</v>
      </c>
      <c r="E107" t="b">
        <f t="shared" si="1"/>
        <v>1</v>
      </c>
    </row>
    <row r="108" spans="1:5" hidden="1" x14ac:dyDescent="0.25">
      <c r="A108" t="s">
        <v>200</v>
      </c>
      <c r="B108" t="s">
        <v>200</v>
      </c>
      <c r="C108" t="s">
        <v>514</v>
      </c>
      <c r="D108" t="s">
        <v>219</v>
      </c>
      <c r="E108" t="b">
        <f t="shared" si="1"/>
        <v>0</v>
      </c>
    </row>
    <row r="109" spans="1:5" hidden="1" x14ac:dyDescent="0.25">
      <c r="B109" t="s">
        <v>515</v>
      </c>
      <c r="C109" t="s">
        <v>485</v>
      </c>
      <c r="D109" t="s">
        <v>459</v>
      </c>
      <c r="E109" t="b">
        <f t="shared" si="1"/>
        <v>1</v>
      </c>
    </row>
    <row r="110" spans="1:5" hidden="1" x14ac:dyDescent="0.25">
      <c r="B110" t="s">
        <v>516</v>
      </c>
      <c r="C110" t="s">
        <v>514</v>
      </c>
      <c r="D110" t="s">
        <v>219</v>
      </c>
      <c r="E110" t="b">
        <f t="shared" si="1"/>
        <v>1</v>
      </c>
    </row>
    <row r="111" spans="1:5" hidden="1" x14ac:dyDescent="0.25">
      <c r="A111" t="s">
        <v>779</v>
      </c>
      <c r="B111" t="s">
        <v>517</v>
      </c>
      <c r="C111" t="s">
        <v>469</v>
      </c>
      <c r="D111" t="s">
        <v>219</v>
      </c>
      <c r="E111" t="b">
        <f t="shared" si="1"/>
        <v>0</v>
      </c>
    </row>
    <row r="112" spans="1:5" hidden="1" x14ac:dyDescent="0.25">
      <c r="A112" t="s">
        <v>427</v>
      </c>
      <c r="B112" t="s">
        <v>427</v>
      </c>
      <c r="C112" t="s">
        <v>449</v>
      </c>
      <c r="D112" t="s">
        <v>219</v>
      </c>
      <c r="E112" t="b">
        <f t="shared" si="1"/>
        <v>0</v>
      </c>
    </row>
    <row r="113" spans="1:5" hidden="1" x14ac:dyDescent="0.25">
      <c r="A113" t="s">
        <v>131</v>
      </c>
      <c r="B113" t="s">
        <v>131</v>
      </c>
      <c r="C113" t="s">
        <v>448</v>
      </c>
      <c r="D113" t="s">
        <v>459</v>
      </c>
      <c r="E113" t="b">
        <f t="shared" si="1"/>
        <v>0</v>
      </c>
    </row>
    <row r="114" spans="1:5" hidden="1" x14ac:dyDescent="0.25">
      <c r="A114" t="s">
        <v>135</v>
      </c>
      <c r="B114" t="s">
        <v>135</v>
      </c>
      <c r="C114" t="s">
        <v>464</v>
      </c>
      <c r="D114" t="s">
        <v>89</v>
      </c>
      <c r="E114" t="b">
        <f t="shared" si="1"/>
        <v>0</v>
      </c>
    </row>
    <row r="115" spans="1:5" hidden="1" x14ac:dyDescent="0.25">
      <c r="A115" t="s">
        <v>217</v>
      </c>
      <c r="B115" t="s">
        <v>539</v>
      </c>
      <c r="C115" t="s">
        <v>464</v>
      </c>
      <c r="D115" t="s">
        <v>77</v>
      </c>
      <c r="E115" t="b">
        <f t="shared" si="1"/>
        <v>0</v>
      </c>
    </row>
    <row r="116" spans="1:5" hidden="1" x14ac:dyDescent="0.25">
      <c r="A116" t="s">
        <v>272</v>
      </c>
      <c r="B116" t="s">
        <v>401</v>
      </c>
      <c r="C116" t="s">
        <v>488</v>
      </c>
      <c r="D116" t="s">
        <v>459</v>
      </c>
      <c r="E116" t="b">
        <f t="shared" si="1"/>
        <v>0</v>
      </c>
    </row>
    <row r="117" spans="1:5" hidden="1" x14ac:dyDescent="0.25">
      <c r="A117" t="s">
        <v>401</v>
      </c>
      <c r="B117" t="s">
        <v>401</v>
      </c>
      <c r="C117" t="s">
        <v>461</v>
      </c>
      <c r="D117" t="s">
        <v>219</v>
      </c>
      <c r="E117" t="b">
        <f t="shared" si="1"/>
        <v>0</v>
      </c>
    </row>
    <row r="118" spans="1:5" hidden="1" x14ac:dyDescent="0.25">
      <c r="B118" t="s">
        <v>518</v>
      </c>
      <c r="C118" t="s">
        <v>496</v>
      </c>
      <c r="D118" t="s">
        <v>89</v>
      </c>
      <c r="E118" t="b">
        <f t="shared" si="1"/>
        <v>1</v>
      </c>
    </row>
    <row r="119" spans="1:5" hidden="1" x14ac:dyDescent="0.25">
      <c r="A119" t="s">
        <v>236</v>
      </c>
      <c r="B119" t="s">
        <v>519</v>
      </c>
      <c r="C119" t="s">
        <v>488</v>
      </c>
      <c r="D119" t="s">
        <v>459</v>
      </c>
      <c r="E119" t="b">
        <f t="shared" si="1"/>
        <v>0</v>
      </c>
    </row>
    <row r="120" spans="1:5" hidden="1" x14ac:dyDescent="0.25">
      <c r="A120" t="s">
        <v>291</v>
      </c>
      <c r="B120" t="s">
        <v>520</v>
      </c>
      <c r="C120" t="s">
        <v>469</v>
      </c>
      <c r="D120" t="s">
        <v>459</v>
      </c>
      <c r="E120" t="b">
        <f t="shared" si="1"/>
        <v>0</v>
      </c>
    </row>
    <row r="121" spans="1:5" hidden="1" x14ac:dyDescent="0.25">
      <c r="A121" t="s">
        <v>311</v>
      </c>
      <c r="B121" t="s">
        <v>377</v>
      </c>
      <c r="C121" t="s">
        <v>485</v>
      </c>
      <c r="D121" t="s">
        <v>89</v>
      </c>
      <c r="E121" t="b">
        <f t="shared" si="1"/>
        <v>0</v>
      </c>
    </row>
    <row r="122" spans="1:5" x14ac:dyDescent="0.25">
      <c r="A122" t="s">
        <v>774</v>
      </c>
      <c r="B122" t="s">
        <v>521</v>
      </c>
      <c r="C122" t="s">
        <v>449</v>
      </c>
      <c r="D122" t="s">
        <v>219</v>
      </c>
      <c r="E122" t="b">
        <f t="shared" si="1"/>
        <v>0</v>
      </c>
    </row>
    <row r="123" spans="1:5" x14ac:dyDescent="0.25">
      <c r="A123" t="s">
        <v>522</v>
      </c>
      <c r="B123" t="s">
        <v>522</v>
      </c>
      <c r="C123" t="s">
        <v>461</v>
      </c>
      <c r="D123" t="s">
        <v>219</v>
      </c>
      <c r="E123" t="b">
        <f t="shared" si="1"/>
        <v>0</v>
      </c>
    </row>
    <row r="124" spans="1:5" hidden="1" x14ac:dyDescent="0.25">
      <c r="B124" t="s">
        <v>523</v>
      </c>
      <c r="C124" t="s">
        <v>498</v>
      </c>
      <c r="D124" t="s">
        <v>219</v>
      </c>
      <c r="E124" t="b">
        <f t="shared" si="1"/>
        <v>1</v>
      </c>
    </row>
    <row r="125" spans="1:5" hidden="1" x14ac:dyDescent="0.25">
      <c r="A125" t="s">
        <v>81</v>
      </c>
      <c r="B125" t="s">
        <v>81</v>
      </c>
      <c r="C125" t="s">
        <v>448</v>
      </c>
      <c r="D125" t="s">
        <v>219</v>
      </c>
      <c r="E125" t="b">
        <f t="shared" si="1"/>
        <v>0</v>
      </c>
    </row>
    <row r="126" spans="1:5" hidden="1" x14ac:dyDescent="0.25">
      <c r="A126" t="s">
        <v>48</v>
      </c>
      <c r="B126" t="s">
        <v>378</v>
      </c>
      <c r="C126" t="s">
        <v>447</v>
      </c>
      <c r="D126" t="s">
        <v>459</v>
      </c>
      <c r="E126" t="b">
        <f t="shared" si="1"/>
        <v>0</v>
      </c>
    </row>
    <row r="127" spans="1:5" hidden="1" x14ac:dyDescent="0.25">
      <c r="A127" t="s">
        <v>292</v>
      </c>
      <c r="B127" t="s">
        <v>524</v>
      </c>
      <c r="C127" t="s">
        <v>461</v>
      </c>
      <c r="D127" t="s">
        <v>219</v>
      </c>
      <c r="E127" t="b">
        <f t="shared" si="1"/>
        <v>0</v>
      </c>
    </row>
    <row r="128" spans="1:5" hidden="1" x14ac:dyDescent="0.25">
      <c r="A128" t="s">
        <v>175</v>
      </c>
      <c r="B128" t="s">
        <v>175</v>
      </c>
      <c r="C128" t="s">
        <v>472</v>
      </c>
      <c r="D128" t="s">
        <v>219</v>
      </c>
      <c r="E128" t="b">
        <f t="shared" si="1"/>
        <v>0</v>
      </c>
    </row>
    <row r="129" spans="1:5" hidden="1" x14ac:dyDescent="0.25">
      <c r="B129" t="s">
        <v>525</v>
      </c>
      <c r="C129" t="s">
        <v>496</v>
      </c>
      <c r="D129" t="s">
        <v>77</v>
      </c>
      <c r="E129" t="b">
        <f t="shared" si="1"/>
        <v>1</v>
      </c>
    </row>
    <row r="130" spans="1:5" hidden="1" x14ac:dyDescent="0.25">
      <c r="B130" t="s">
        <v>526</v>
      </c>
      <c r="C130" t="s">
        <v>449</v>
      </c>
      <c r="D130" t="s">
        <v>459</v>
      </c>
      <c r="E130" t="b">
        <f t="shared" ref="E130:E193" si="2">OR(ISBLANK(B130),ISBLANK(A130))</f>
        <v>1</v>
      </c>
    </row>
    <row r="131" spans="1:5" hidden="1" x14ac:dyDescent="0.25">
      <c r="B131" t="s">
        <v>527</v>
      </c>
      <c r="C131" t="s">
        <v>448</v>
      </c>
      <c r="D131" t="s">
        <v>459</v>
      </c>
      <c r="E131" t="b">
        <f t="shared" si="2"/>
        <v>1</v>
      </c>
    </row>
    <row r="132" spans="1:5" hidden="1" x14ac:dyDescent="0.25">
      <c r="B132" t="s">
        <v>528</v>
      </c>
      <c r="C132" t="s">
        <v>498</v>
      </c>
      <c r="D132" t="s">
        <v>89</v>
      </c>
      <c r="E132" t="b">
        <f t="shared" si="2"/>
        <v>1</v>
      </c>
    </row>
    <row r="133" spans="1:5" hidden="1" x14ac:dyDescent="0.25">
      <c r="B133" t="s">
        <v>529</v>
      </c>
      <c r="C133" t="s">
        <v>449</v>
      </c>
      <c r="D133" t="s">
        <v>89</v>
      </c>
      <c r="E133" t="b">
        <f t="shared" si="2"/>
        <v>1</v>
      </c>
    </row>
    <row r="134" spans="1:5" hidden="1" x14ac:dyDescent="0.25">
      <c r="B134" t="s">
        <v>530</v>
      </c>
      <c r="C134" t="s">
        <v>449</v>
      </c>
      <c r="D134" t="s">
        <v>459</v>
      </c>
      <c r="E134" t="b">
        <f t="shared" si="2"/>
        <v>1</v>
      </c>
    </row>
    <row r="135" spans="1:5" hidden="1" x14ac:dyDescent="0.25">
      <c r="A135" t="s">
        <v>169</v>
      </c>
      <c r="B135" t="s">
        <v>381</v>
      </c>
      <c r="C135" t="s">
        <v>451</v>
      </c>
      <c r="D135" t="s">
        <v>89</v>
      </c>
      <c r="E135" t="b">
        <f t="shared" si="2"/>
        <v>0</v>
      </c>
    </row>
    <row r="136" spans="1:5" hidden="1" x14ac:dyDescent="0.25">
      <c r="B136" t="s">
        <v>531</v>
      </c>
      <c r="C136" t="s">
        <v>458</v>
      </c>
      <c r="D136" t="s">
        <v>219</v>
      </c>
      <c r="E136" t="b">
        <f t="shared" si="2"/>
        <v>1</v>
      </c>
    </row>
    <row r="137" spans="1:5" hidden="1" x14ac:dyDescent="0.25">
      <c r="A137" t="s">
        <v>65</v>
      </c>
      <c r="B137" t="s">
        <v>65</v>
      </c>
      <c r="C137" t="s">
        <v>456</v>
      </c>
      <c r="D137" t="s">
        <v>459</v>
      </c>
      <c r="E137" t="b">
        <f t="shared" si="2"/>
        <v>0</v>
      </c>
    </row>
    <row r="138" spans="1:5" hidden="1" x14ac:dyDescent="0.25">
      <c r="B138" t="s">
        <v>532</v>
      </c>
      <c r="C138" t="s">
        <v>449</v>
      </c>
      <c r="D138" t="s">
        <v>459</v>
      </c>
      <c r="E138" t="b">
        <f t="shared" si="2"/>
        <v>1</v>
      </c>
    </row>
    <row r="139" spans="1:5" hidden="1" x14ac:dyDescent="0.25">
      <c r="B139" t="s">
        <v>540</v>
      </c>
      <c r="C139" t="s">
        <v>465</v>
      </c>
      <c r="D139" t="s">
        <v>219</v>
      </c>
      <c r="E139" t="b">
        <f t="shared" si="2"/>
        <v>1</v>
      </c>
    </row>
    <row r="140" spans="1:5" hidden="1" x14ac:dyDescent="0.25">
      <c r="A140" t="s">
        <v>145</v>
      </c>
      <c r="B140" t="s">
        <v>145</v>
      </c>
      <c r="C140" t="s">
        <v>474</v>
      </c>
      <c r="D140" t="s">
        <v>459</v>
      </c>
      <c r="E140" t="b">
        <f t="shared" si="2"/>
        <v>0</v>
      </c>
    </row>
    <row r="141" spans="1:5" hidden="1" x14ac:dyDescent="0.25">
      <c r="A141" t="s">
        <v>179</v>
      </c>
      <c r="B141" t="s">
        <v>533</v>
      </c>
      <c r="C141" t="s">
        <v>474</v>
      </c>
      <c r="D141" t="s">
        <v>77</v>
      </c>
      <c r="E141" t="b">
        <f t="shared" si="2"/>
        <v>0</v>
      </c>
    </row>
    <row r="142" spans="1:5" hidden="1" x14ac:dyDescent="0.25">
      <c r="A142" t="s">
        <v>268</v>
      </c>
      <c r="B142" t="s">
        <v>268</v>
      </c>
      <c r="C142" t="s">
        <v>465</v>
      </c>
      <c r="D142" t="s">
        <v>219</v>
      </c>
      <c r="E142" t="b">
        <f t="shared" si="2"/>
        <v>0</v>
      </c>
    </row>
    <row r="143" spans="1:5" hidden="1" x14ac:dyDescent="0.25">
      <c r="A143" t="s">
        <v>763</v>
      </c>
      <c r="B143" t="s">
        <v>534</v>
      </c>
      <c r="C143" t="s">
        <v>449</v>
      </c>
      <c r="D143" t="s">
        <v>219</v>
      </c>
      <c r="E143" t="b">
        <f t="shared" si="2"/>
        <v>0</v>
      </c>
    </row>
    <row r="144" spans="1:5" hidden="1" x14ac:dyDescent="0.25">
      <c r="B144" t="s">
        <v>535</v>
      </c>
      <c r="C144" t="s">
        <v>448</v>
      </c>
      <c r="D144" t="s">
        <v>77</v>
      </c>
      <c r="E144" t="b">
        <f t="shared" si="2"/>
        <v>1</v>
      </c>
    </row>
    <row r="145" spans="1:5" hidden="1" x14ac:dyDescent="0.25">
      <c r="B145" t="s">
        <v>536</v>
      </c>
      <c r="C145" t="s">
        <v>447</v>
      </c>
      <c r="D145" t="s">
        <v>219</v>
      </c>
      <c r="E145" t="b">
        <f t="shared" si="2"/>
        <v>1</v>
      </c>
    </row>
    <row r="146" spans="1:5" hidden="1" x14ac:dyDescent="0.25">
      <c r="A146" t="s">
        <v>323</v>
      </c>
      <c r="B146" t="s">
        <v>323</v>
      </c>
      <c r="C146" t="s">
        <v>451</v>
      </c>
      <c r="D146" t="s">
        <v>89</v>
      </c>
      <c r="E146" t="b">
        <f t="shared" si="2"/>
        <v>0</v>
      </c>
    </row>
    <row r="147" spans="1:5" hidden="1" x14ac:dyDescent="0.25">
      <c r="B147" t="s">
        <v>537</v>
      </c>
      <c r="C147" t="s">
        <v>453</v>
      </c>
      <c r="D147" t="s">
        <v>77</v>
      </c>
      <c r="E147" t="b">
        <f t="shared" si="2"/>
        <v>1</v>
      </c>
    </row>
    <row r="148" spans="1:5" hidden="1" x14ac:dyDescent="0.25">
      <c r="B148" t="s">
        <v>538</v>
      </c>
      <c r="C148" t="s">
        <v>496</v>
      </c>
      <c r="D148" t="s">
        <v>77</v>
      </c>
      <c r="E148" t="b">
        <f t="shared" si="2"/>
        <v>1</v>
      </c>
    </row>
    <row r="149" spans="1:5" hidden="1" x14ac:dyDescent="0.25">
      <c r="A149" t="s">
        <v>108</v>
      </c>
      <c r="B149" t="s">
        <v>388</v>
      </c>
      <c r="C149" t="s">
        <v>456</v>
      </c>
      <c r="D149" t="s">
        <v>219</v>
      </c>
      <c r="E149" t="b">
        <f t="shared" si="2"/>
        <v>0</v>
      </c>
    </row>
    <row r="150" spans="1:5" hidden="1" x14ac:dyDescent="0.25">
      <c r="A150" t="s">
        <v>83</v>
      </c>
      <c r="B150" t="s">
        <v>405</v>
      </c>
      <c r="C150" t="s">
        <v>451</v>
      </c>
      <c r="D150" t="s">
        <v>219</v>
      </c>
      <c r="E150" t="b">
        <f t="shared" si="2"/>
        <v>0</v>
      </c>
    </row>
    <row r="151" spans="1:5" hidden="1" x14ac:dyDescent="0.25">
      <c r="B151" t="s">
        <v>541</v>
      </c>
      <c r="C151" t="s">
        <v>498</v>
      </c>
      <c r="D151" t="s">
        <v>459</v>
      </c>
      <c r="E151" t="b">
        <f t="shared" si="2"/>
        <v>1</v>
      </c>
    </row>
    <row r="152" spans="1:5" hidden="1" x14ac:dyDescent="0.25">
      <c r="B152" t="s">
        <v>542</v>
      </c>
      <c r="C152" t="s">
        <v>451</v>
      </c>
      <c r="D152" t="s">
        <v>459</v>
      </c>
      <c r="E152" t="b">
        <f t="shared" si="2"/>
        <v>1</v>
      </c>
    </row>
    <row r="153" spans="1:5" hidden="1" x14ac:dyDescent="0.25">
      <c r="A153" t="s">
        <v>143</v>
      </c>
      <c r="B153" t="s">
        <v>384</v>
      </c>
      <c r="C153" t="s">
        <v>453</v>
      </c>
      <c r="D153" t="s">
        <v>459</v>
      </c>
      <c r="E153" t="b">
        <f t="shared" si="2"/>
        <v>0</v>
      </c>
    </row>
    <row r="154" spans="1:5" hidden="1" x14ac:dyDescent="0.25">
      <c r="A154" t="s">
        <v>275</v>
      </c>
      <c r="B154" t="s">
        <v>275</v>
      </c>
      <c r="C154" t="s">
        <v>465</v>
      </c>
      <c r="D154" t="s">
        <v>89</v>
      </c>
      <c r="E154" t="b">
        <f t="shared" si="2"/>
        <v>0</v>
      </c>
    </row>
    <row r="155" spans="1:5" hidden="1" x14ac:dyDescent="0.25">
      <c r="A155" t="s">
        <v>144</v>
      </c>
      <c r="B155" t="s">
        <v>144</v>
      </c>
      <c r="C155" t="s">
        <v>453</v>
      </c>
      <c r="D155" t="s">
        <v>459</v>
      </c>
      <c r="E155" t="b">
        <f t="shared" si="2"/>
        <v>0</v>
      </c>
    </row>
    <row r="156" spans="1:5" hidden="1" x14ac:dyDescent="0.25">
      <c r="B156" t="s">
        <v>543</v>
      </c>
      <c r="C156" t="s">
        <v>451</v>
      </c>
      <c r="D156" t="s">
        <v>219</v>
      </c>
      <c r="E156" t="b">
        <f t="shared" si="2"/>
        <v>1</v>
      </c>
    </row>
    <row r="157" spans="1:5" hidden="1" x14ac:dyDescent="0.25">
      <c r="B157" t="s">
        <v>544</v>
      </c>
      <c r="C157" t="s">
        <v>448</v>
      </c>
      <c r="D157" t="s">
        <v>219</v>
      </c>
      <c r="E157" t="b">
        <f t="shared" si="2"/>
        <v>1</v>
      </c>
    </row>
    <row r="158" spans="1:5" hidden="1" x14ac:dyDescent="0.25">
      <c r="A158" t="s">
        <v>80</v>
      </c>
      <c r="B158" t="s">
        <v>354</v>
      </c>
      <c r="C158" t="s">
        <v>455</v>
      </c>
      <c r="D158" t="s">
        <v>219</v>
      </c>
      <c r="E158" t="b">
        <f t="shared" si="2"/>
        <v>0</v>
      </c>
    </row>
    <row r="159" spans="1:5" hidden="1" x14ac:dyDescent="0.25">
      <c r="A159" t="s">
        <v>80</v>
      </c>
      <c r="B159" t="s">
        <v>354</v>
      </c>
      <c r="C159" t="s">
        <v>453</v>
      </c>
      <c r="D159" t="s">
        <v>219</v>
      </c>
      <c r="E159" t="b">
        <f t="shared" si="2"/>
        <v>0</v>
      </c>
    </row>
    <row r="160" spans="1:5" hidden="1" x14ac:dyDescent="0.25">
      <c r="B160" t="s">
        <v>545</v>
      </c>
      <c r="C160" t="s">
        <v>465</v>
      </c>
      <c r="D160" t="s">
        <v>89</v>
      </c>
      <c r="E160" t="b">
        <f t="shared" si="2"/>
        <v>1</v>
      </c>
    </row>
    <row r="161" spans="1:5" hidden="1" x14ac:dyDescent="0.25">
      <c r="B161" t="s">
        <v>546</v>
      </c>
      <c r="C161" t="s">
        <v>456</v>
      </c>
      <c r="D161" t="s">
        <v>219</v>
      </c>
      <c r="E161" t="b">
        <f t="shared" si="2"/>
        <v>1</v>
      </c>
    </row>
    <row r="162" spans="1:5" hidden="1" x14ac:dyDescent="0.25">
      <c r="A162" t="s">
        <v>119</v>
      </c>
      <c r="B162" t="s">
        <v>119</v>
      </c>
      <c r="C162" t="s">
        <v>464</v>
      </c>
      <c r="D162" t="s">
        <v>89</v>
      </c>
      <c r="E162" t="b">
        <f t="shared" si="2"/>
        <v>0</v>
      </c>
    </row>
    <row r="163" spans="1:5" hidden="1" x14ac:dyDescent="0.25">
      <c r="A163" t="s">
        <v>116</v>
      </c>
      <c r="B163" t="s">
        <v>387</v>
      </c>
      <c r="C163" t="s">
        <v>496</v>
      </c>
      <c r="D163" t="s">
        <v>219</v>
      </c>
      <c r="E163" t="b">
        <f t="shared" si="2"/>
        <v>0</v>
      </c>
    </row>
    <row r="164" spans="1:5" hidden="1" x14ac:dyDescent="0.25">
      <c r="A164" t="s">
        <v>285</v>
      </c>
      <c r="B164" t="s">
        <v>285</v>
      </c>
      <c r="C164" t="s">
        <v>449</v>
      </c>
      <c r="D164" t="s">
        <v>459</v>
      </c>
      <c r="E164" t="b">
        <f t="shared" si="2"/>
        <v>0</v>
      </c>
    </row>
    <row r="165" spans="1:5" hidden="1" x14ac:dyDescent="0.25">
      <c r="A165" t="s">
        <v>358</v>
      </c>
      <c r="B165" t="s">
        <v>547</v>
      </c>
      <c r="C165" t="s">
        <v>485</v>
      </c>
      <c r="D165" t="s">
        <v>459</v>
      </c>
      <c r="E165" t="b">
        <f t="shared" si="2"/>
        <v>0</v>
      </c>
    </row>
    <row r="166" spans="1:5" hidden="1" x14ac:dyDescent="0.25">
      <c r="B166" t="s">
        <v>548</v>
      </c>
      <c r="C166" t="s">
        <v>451</v>
      </c>
      <c r="D166" t="s">
        <v>459</v>
      </c>
      <c r="E166" t="b">
        <f t="shared" si="2"/>
        <v>1</v>
      </c>
    </row>
    <row r="167" spans="1:5" hidden="1" x14ac:dyDescent="0.25">
      <c r="A167" t="s">
        <v>238</v>
      </c>
      <c r="B167" t="s">
        <v>238</v>
      </c>
      <c r="C167" t="s">
        <v>465</v>
      </c>
      <c r="D167" t="s">
        <v>219</v>
      </c>
      <c r="E167" t="b">
        <f t="shared" si="2"/>
        <v>0</v>
      </c>
    </row>
    <row r="168" spans="1:5" hidden="1" x14ac:dyDescent="0.25">
      <c r="B168" t="s">
        <v>549</v>
      </c>
      <c r="C168" t="s">
        <v>458</v>
      </c>
      <c r="D168" t="s">
        <v>89</v>
      </c>
      <c r="E168" t="b">
        <f t="shared" si="2"/>
        <v>1</v>
      </c>
    </row>
    <row r="169" spans="1:5" hidden="1" x14ac:dyDescent="0.25">
      <c r="B169" t="s">
        <v>550</v>
      </c>
      <c r="C169" t="s">
        <v>485</v>
      </c>
      <c r="D169" t="s">
        <v>219</v>
      </c>
      <c r="E169" t="b">
        <f t="shared" si="2"/>
        <v>1</v>
      </c>
    </row>
    <row r="170" spans="1:5" hidden="1" x14ac:dyDescent="0.25">
      <c r="B170" t="s">
        <v>551</v>
      </c>
      <c r="C170" t="s">
        <v>447</v>
      </c>
      <c r="D170" t="s">
        <v>77</v>
      </c>
      <c r="E170" t="b">
        <f t="shared" si="2"/>
        <v>1</v>
      </c>
    </row>
    <row r="171" spans="1:5" hidden="1" x14ac:dyDescent="0.25">
      <c r="A171" t="s">
        <v>159</v>
      </c>
      <c r="B171" t="s">
        <v>352</v>
      </c>
      <c r="C171" t="s">
        <v>465</v>
      </c>
      <c r="D171" t="s">
        <v>89</v>
      </c>
      <c r="E171" t="b">
        <f t="shared" si="2"/>
        <v>0</v>
      </c>
    </row>
    <row r="172" spans="1:5" hidden="1" x14ac:dyDescent="0.25">
      <c r="A172" t="s">
        <v>192</v>
      </c>
      <c r="B172" t="s">
        <v>419</v>
      </c>
      <c r="C172" t="s">
        <v>456</v>
      </c>
      <c r="D172" t="s">
        <v>219</v>
      </c>
      <c r="E172" t="b">
        <f t="shared" si="2"/>
        <v>0</v>
      </c>
    </row>
    <row r="173" spans="1:5" hidden="1" x14ac:dyDescent="0.25">
      <c r="A173" t="s">
        <v>97</v>
      </c>
      <c r="B173" t="s">
        <v>344</v>
      </c>
      <c r="C173" t="s">
        <v>465</v>
      </c>
      <c r="D173" t="s">
        <v>77</v>
      </c>
      <c r="E173" t="b">
        <f t="shared" si="2"/>
        <v>0</v>
      </c>
    </row>
    <row r="174" spans="1:5" hidden="1" x14ac:dyDescent="0.25">
      <c r="B174" t="s">
        <v>552</v>
      </c>
      <c r="C174" t="s">
        <v>472</v>
      </c>
      <c r="D174" t="s">
        <v>77</v>
      </c>
      <c r="E174" t="b">
        <f t="shared" si="2"/>
        <v>1</v>
      </c>
    </row>
    <row r="175" spans="1:5" hidden="1" x14ac:dyDescent="0.25">
      <c r="A175" t="s">
        <v>260</v>
      </c>
      <c r="B175" t="s">
        <v>260</v>
      </c>
      <c r="C175" t="s">
        <v>458</v>
      </c>
      <c r="D175" t="s">
        <v>77</v>
      </c>
      <c r="E175" t="b">
        <f t="shared" si="2"/>
        <v>0</v>
      </c>
    </row>
    <row r="176" spans="1:5" hidden="1" x14ac:dyDescent="0.25">
      <c r="A176" t="s">
        <v>783</v>
      </c>
      <c r="B176" t="s">
        <v>553</v>
      </c>
      <c r="C176" t="s">
        <v>456</v>
      </c>
      <c r="D176" t="s">
        <v>219</v>
      </c>
      <c r="E176" t="b">
        <f t="shared" si="2"/>
        <v>0</v>
      </c>
    </row>
    <row r="177" spans="1:5" hidden="1" x14ac:dyDescent="0.25">
      <c r="A177" t="s">
        <v>113</v>
      </c>
      <c r="B177" t="s">
        <v>349</v>
      </c>
      <c r="C177" t="s">
        <v>514</v>
      </c>
      <c r="D177" t="s">
        <v>77</v>
      </c>
      <c r="E177" t="b">
        <f t="shared" si="2"/>
        <v>0</v>
      </c>
    </row>
    <row r="178" spans="1:5" hidden="1" x14ac:dyDescent="0.25">
      <c r="A178" t="s">
        <v>295</v>
      </c>
      <c r="B178" t="s">
        <v>295</v>
      </c>
      <c r="C178" t="s">
        <v>514</v>
      </c>
      <c r="D178" t="s">
        <v>89</v>
      </c>
      <c r="E178" t="b">
        <f t="shared" si="2"/>
        <v>0</v>
      </c>
    </row>
    <row r="179" spans="1:5" hidden="1" x14ac:dyDescent="0.25">
      <c r="B179" t="s">
        <v>554</v>
      </c>
      <c r="C179" t="s">
        <v>453</v>
      </c>
      <c r="D179" t="s">
        <v>89</v>
      </c>
      <c r="E179" t="b">
        <f t="shared" si="2"/>
        <v>1</v>
      </c>
    </row>
    <row r="180" spans="1:5" hidden="1" x14ac:dyDescent="0.25">
      <c r="A180" t="s">
        <v>172</v>
      </c>
      <c r="B180" t="s">
        <v>389</v>
      </c>
      <c r="C180" t="s">
        <v>498</v>
      </c>
      <c r="D180" t="s">
        <v>219</v>
      </c>
      <c r="E180" t="b">
        <f t="shared" si="2"/>
        <v>0</v>
      </c>
    </row>
    <row r="181" spans="1:5" hidden="1" x14ac:dyDescent="0.25">
      <c r="B181" t="s">
        <v>555</v>
      </c>
      <c r="C181" t="s">
        <v>447</v>
      </c>
      <c r="D181" t="s">
        <v>459</v>
      </c>
      <c r="E181" t="b">
        <f t="shared" si="2"/>
        <v>1</v>
      </c>
    </row>
    <row r="182" spans="1:5" hidden="1" x14ac:dyDescent="0.25">
      <c r="A182" t="s">
        <v>51</v>
      </c>
      <c r="B182" t="s">
        <v>413</v>
      </c>
      <c r="C182" t="s">
        <v>498</v>
      </c>
      <c r="D182" t="s">
        <v>89</v>
      </c>
      <c r="E182" t="b">
        <f t="shared" si="2"/>
        <v>0</v>
      </c>
    </row>
    <row r="183" spans="1:5" hidden="1" x14ac:dyDescent="0.25">
      <c r="A183" t="s">
        <v>134</v>
      </c>
      <c r="B183" t="s">
        <v>556</v>
      </c>
      <c r="C183" t="s">
        <v>465</v>
      </c>
      <c r="D183" t="s">
        <v>89</v>
      </c>
      <c r="E183" t="b">
        <f t="shared" si="2"/>
        <v>0</v>
      </c>
    </row>
    <row r="184" spans="1:5" hidden="1" x14ac:dyDescent="0.25">
      <c r="B184" t="s">
        <v>557</v>
      </c>
      <c r="C184" t="s">
        <v>461</v>
      </c>
      <c r="D184" t="s">
        <v>459</v>
      </c>
      <c r="E184" t="b">
        <f t="shared" si="2"/>
        <v>1</v>
      </c>
    </row>
    <row r="185" spans="1:5" hidden="1" x14ac:dyDescent="0.25">
      <c r="A185" t="s">
        <v>271</v>
      </c>
      <c r="B185" t="s">
        <v>558</v>
      </c>
      <c r="C185" t="s">
        <v>514</v>
      </c>
      <c r="D185" t="s">
        <v>459</v>
      </c>
      <c r="E185" t="b">
        <f t="shared" si="2"/>
        <v>0</v>
      </c>
    </row>
    <row r="186" spans="1:5" hidden="1" x14ac:dyDescent="0.25">
      <c r="B186" t="s">
        <v>559</v>
      </c>
      <c r="C186" t="s">
        <v>469</v>
      </c>
      <c r="D186" t="s">
        <v>77</v>
      </c>
      <c r="E186" t="b">
        <f t="shared" si="2"/>
        <v>1</v>
      </c>
    </row>
    <row r="187" spans="1:5" hidden="1" x14ac:dyDescent="0.25">
      <c r="B187" t="s">
        <v>560</v>
      </c>
      <c r="C187" t="s">
        <v>485</v>
      </c>
      <c r="D187" t="s">
        <v>219</v>
      </c>
      <c r="E187" t="b">
        <f t="shared" si="2"/>
        <v>1</v>
      </c>
    </row>
    <row r="188" spans="1:5" hidden="1" x14ac:dyDescent="0.25">
      <c r="B188" t="s">
        <v>561</v>
      </c>
      <c r="C188" t="s">
        <v>449</v>
      </c>
      <c r="D188" t="s">
        <v>89</v>
      </c>
      <c r="E188" t="b">
        <f t="shared" si="2"/>
        <v>1</v>
      </c>
    </row>
    <row r="189" spans="1:5" hidden="1" x14ac:dyDescent="0.25">
      <c r="A189" t="s">
        <v>92</v>
      </c>
      <c r="B189" t="s">
        <v>92</v>
      </c>
      <c r="C189" t="s">
        <v>461</v>
      </c>
      <c r="D189" t="s">
        <v>89</v>
      </c>
      <c r="E189" t="b">
        <f t="shared" si="2"/>
        <v>0</v>
      </c>
    </row>
    <row r="190" spans="1:5" hidden="1" x14ac:dyDescent="0.25">
      <c r="A190" t="s">
        <v>276</v>
      </c>
      <c r="B190" t="s">
        <v>276</v>
      </c>
      <c r="C190" t="s">
        <v>514</v>
      </c>
      <c r="D190" t="s">
        <v>219</v>
      </c>
      <c r="E190" t="b">
        <f t="shared" si="2"/>
        <v>0</v>
      </c>
    </row>
    <row r="191" spans="1:5" hidden="1" x14ac:dyDescent="0.25">
      <c r="B191" t="s">
        <v>562</v>
      </c>
      <c r="C191" t="s">
        <v>498</v>
      </c>
      <c r="D191" t="s">
        <v>89</v>
      </c>
      <c r="E191" t="b">
        <f t="shared" si="2"/>
        <v>1</v>
      </c>
    </row>
    <row r="192" spans="1:5" hidden="1" x14ac:dyDescent="0.25">
      <c r="B192" t="s">
        <v>563</v>
      </c>
      <c r="C192" t="s">
        <v>496</v>
      </c>
      <c r="D192" t="s">
        <v>219</v>
      </c>
      <c r="E192" t="b">
        <f t="shared" si="2"/>
        <v>1</v>
      </c>
    </row>
    <row r="193" spans="1:5" hidden="1" x14ac:dyDescent="0.25">
      <c r="A193" t="s">
        <v>42</v>
      </c>
      <c r="B193" t="s">
        <v>42</v>
      </c>
      <c r="C193" t="s">
        <v>448</v>
      </c>
      <c r="D193" t="s">
        <v>89</v>
      </c>
      <c r="E193" t="b">
        <f t="shared" si="2"/>
        <v>0</v>
      </c>
    </row>
    <row r="194" spans="1:5" hidden="1" x14ac:dyDescent="0.25">
      <c r="A194" t="s">
        <v>152</v>
      </c>
      <c r="B194" t="s">
        <v>390</v>
      </c>
      <c r="C194" t="s">
        <v>447</v>
      </c>
      <c r="D194" t="s">
        <v>219</v>
      </c>
      <c r="E194" t="b">
        <f t="shared" ref="E194:E257" si="3">OR(ISBLANK(B194),ISBLANK(A194))</f>
        <v>0</v>
      </c>
    </row>
    <row r="195" spans="1:5" hidden="1" x14ac:dyDescent="0.25">
      <c r="A195" t="s">
        <v>56</v>
      </c>
      <c r="B195" t="s">
        <v>564</v>
      </c>
      <c r="C195" t="s">
        <v>464</v>
      </c>
      <c r="D195" t="s">
        <v>219</v>
      </c>
      <c r="E195" t="b">
        <f t="shared" si="3"/>
        <v>0</v>
      </c>
    </row>
    <row r="196" spans="1:5" hidden="1" x14ac:dyDescent="0.25">
      <c r="A196" t="s">
        <v>274</v>
      </c>
      <c r="B196" t="s">
        <v>274</v>
      </c>
      <c r="C196" t="s">
        <v>496</v>
      </c>
      <c r="D196" t="s">
        <v>89</v>
      </c>
      <c r="E196" t="b">
        <f t="shared" si="3"/>
        <v>0</v>
      </c>
    </row>
    <row r="197" spans="1:5" hidden="1" x14ac:dyDescent="0.25">
      <c r="A197" t="s">
        <v>66</v>
      </c>
      <c r="B197" t="s">
        <v>386</v>
      </c>
      <c r="C197" t="s">
        <v>447</v>
      </c>
      <c r="D197" t="s">
        <v>459</v>
      </c>
      <c r="E197" t="b">
        <f t="shared" si="3"/>
        <v>0</v>
      </c>
    </row>
    <row r="198" spans="1:5" hidden="1" x14ac:dyDescent="0.25">
      <c r="A198" t="s">
        <v>216</v>
      </c>
      <c r="B198" t="s">
        <v>216</v>
      </c>
      <c r="C198" t="s">
        <v>458</v>
      </c>
      <c r="D198" t="s">
        <v>459</v>
      </c>
      <c r="E198" t="b">
        <f t="shared" si="3"/>
        <v>0</v>
      </c>
    </row>
    <row r="199" spans="1:5" hidden="1" x14ac:dyDescent="0.25">
      <c r="A199" t="s">
        <v>334</v>
      </c>
      <c r="B199" t="s">
        <v>565</v>
      </c>
      <c r="C199" t="s">
        <v>456</v>
      </c>
      <c r="D199" t="s">
        <v>219</v>
      </c>
      <c r="E199" t="b">
        <f t="shared" si="3"/>
        <v>0</v>
      </c>
    </row>
    <row r="200" spans="1:5" hidden="1" x14ac:dyDescent="0.25">
      <c r="A200" t="s">
        <v>184</v>
      </c>
      <c r="B200" t="s">
        <v>391</v>
      </c>
      <c r="C200" t="s">
        <v>447</v>
      </c>
      <c r="D200" t="s">
        <v>459</v>
      </c>
      <c r="E200" t="b">
        <f t="shared" si="3"/>
        <v>0</v>
      </c>
    </row>
    <row r="201" spans="1:5" hidden="1" x14ac:dyDescent="0.25">
      <c r="A201" t="s">
        <v>161</v>
      </c>
      <c r="B201" t="s">
        <v>161</v>
      </c>
      <c r="C201" t="s">
        <v>447</v>
      </c>
      <c r="D201" t="s">
        <v>89</v>
      </c>
      <c r="E201" t="b">
        <f t="shared" si="3"/>
        <v>0</v>
      </c>
    </row>
    <row r="202" spans="1:5" hidden="1" x14ac:dyDescent="0.25">
      <c r="B202" t="s">
        <v>568</v>
      </c>
      <c r="C202" t="s">
        <v>449</v>
      </c>
      <c r="D202" t="s">
        <v>89</v>
      </c>
      <c r="E202" t="b">
        <f t="shared" si="3"/>
        <v>1</v>
      </c>
    </row>
    <row r="203" spans="1:5" hidden="1" x14ac:dyDescent="0.25">
      <c r="A203" t="s">
        <v>120</v>
      </c>
      <c r="B203" t="s">
        <v>120</v>
      </c>
      <c r="C203" t="s">
        <v>451</v>
      </c>
      <c r="D203" t="s">
        <v>459</v>
      </c>
      <c r="E203" t="b">
        <f t="shared" si="3"/>
        <v>0</v>
      </c>
    </row>
    <row r="204" spans="1:5" hidden="1" x14ac:dyDescent="0.25">
      <c r="B204" t="s">
        <v>566</v>
      </c>
      <c r="C204" t="s">
        <v>458</v>
      </c>
      <c r="D204" t="s">
        <v>219</v>
      </c>
      <c r="E204" t="b">
        <f t="shared" si="3"/>
        <v>1</v>
      </c>
    </row>
    <row r="205" spans="1:5" hidden="1" x14ac:dyDescent="0.25">
      <c r="B205" t="s">
        <v>567</v>
      </c>
      <c r="C205" t="s">
        <v>514</v>
      </c>
      <c r="D205" t="s">
        <v>77</v>
      </c>
      <c r="E205" t="b">
        <f t="shared" si="3"/>
        <v>1</v>
      </c>
    </row>
    <row r="206" spans="1:5" hidden="1" x14ac:dyDescent="0.25">
      <c r="A206" t="s">
        <v>307</v>
      </c>
      <c r="B206" t="s">
        <v>307</v>
      </c>
      <c r="C206" t="s">
        <v>465</v>
      </c>
      <c r="D206" t="s">
        <v>219</v>
      </c>
      <c r="E206" t="b">
        <f t="shared" si="3"/>
        <v>0</v>
      </c>
    </row>
    <row r="207" spans="1:5" hidden="1" x14ac:dyDescent="0.25">
      <c r="A207" t="s">
        <v>99</v>
      </c>
      <c r="B207" t="s">
        <v>99</v>
      </c>
      <c r="C207" t="s">
        <v>474</v>
      </c>
      <c r="D207" t="s">
        <v>219</v>
      </c>
      <c r="E207" t="b">
        <f t="shared" si="3"/>
        <v>0</v>
      </c>
    </row>
    <row r="208" spans="1:5" hidden="1" x14ac:dyDescent="0.25">
      <c r="A208" t="s">
        <v>154</v>
      </c>
      <c r="B208" t="s">
        <v>348</v>
      </c>
      <c r="C208" t="s">
        <v>448</v>
      </c>
      <c r="D208" t="s">
        <v>219</v>
      </c>
      <c r="E208" t="b">
        <f t="shared" si="3"/>
        <v>0</v>
      </c>
    </row>
    <row r="209" spans="1:5" hidden="1" x14ac:dyDescent="0.25">
      <c r="B209" t="s">
        <v>569</v>
      </c>
      <c r="C209" t="s">
        <v>464</v>
      </c>
      <c r="D209" t="s">
        <v>459</v>
      </c>
      <c r="E209" t="b">
        <f t="shared" si="3"/>
        <v>1</v>
      </c>
    </row>
    <row r="210" spans="1:5" hidden="1" x14ac:dyDescent="0.25">
      <c r="A210" t="s">
        <v>443</v>
      </c>
      <c r="B210" t="s">
        <v>443</v>
      </c>
      <c r="C210" t="s">
        <v>455</v>
      </c>
      <c r="D210" t="s">
        <v>219</v>
      </c>
      <c r="E210" t="b">
        <f t="shared" si="3"/>
        <v>0</v>
      </c>
    </row>
    <row r="211" spans="1:5" hidden="1" x14ac:dyDescent="0.25">
      <c r="B211" t="s">
        <v>570</v>
      </c>
      <c r="C211" t="s">
        <v>488</v>
      </c>
      <c r="D211" t="s">
        <v>219</v>
      </c>
      <c r="E211" t="b">
        <f t="shared" si="3"/>
        <v>1</v>
      </c>
    </row>
    <row r="212" spans="1:5" hidden="1" x14ac:dyDescent="0.25">
      <c r="A212" t="s">
        <v>58</v>
      </c>
      <c r="B212" t="s">
        <v>58</v>
      </c>
      <c r="C212" t="s">
        <v>488</v>
      </c>
      <c r="D212" t="s">
        <v>459</v>
      </c>
      <c r="E212" t="b">
        <f t="shared" si="3"/>
        <v>0</v>
      </c>
    </row>
    <row r="213" spans="1:5" hidden="1" x14ac:dyDescent="0.25">
      <c r="A213" t="s">
        <v>183</v>
      </c>
      <c r="B213" t="s">
        <v>393</v>
      </c>
      <c r="C213" t="s">
        <v>485</v>
      </c>
      <c r="D213" t="s">
        <v>219</v>
      </c>
      <c r="E213" t="b">
        <f t="shared" si="3"/>
        <v>0</v>
      </c>
    </row>
    <row r="214" spans="1:5" hidden="1" x14ac:dyDescent="0.25">
      <c r="A214" t="s">
        <v>177</v>
      </c>
      <c r="B214" t="s">
        <v>177</v>
      </c>
      <c r="C214" t="s">
        <v>447</v>
      </c>
      <c r="D214" t="s">
        <v>459</v>
      </c>
      <c r="E214" t="b">
        <f t="shared" si="3"/>
        <v>0</v>
      </c>
    </row>
    <row r="215" spans="1:5" hidden="1" x14ac:dyDescent="0.25">
      <c r="A215" t="s">
        <v>180</v>
      </c>
      <c r="B215" t="s">
        <v>394</v>
      </c>
      <c r="C215" t="s">
        <v>465</v>
      </c>
      <c r="D215" t="s">
        <v>219</v>
      </c>
      <c r="E215" t="b">
        <f t="shared" si="3"/>
        <v>0</v>
      </c>
    </row>
    <row r="216" spans="1:5" hidden="1" x14ac:dyDescent="0.25">
      <c r="A216" t="s">
        <v>338</v>
      </c>
      <c r="B216" t="s">
        <v>338</v>
      </c>
      <c r="C216" t="s">
        <v>455</v>
      </c>
      <c r="D216" t="s">
        <v>77</v>
      </c>
      <c r="E216" t="b">
        <f t="shared" si="3"/>
        <v>0</v>
      </c>
    </row>
    <row r="217" spans="1:5" hidden="1" x14ac:dyDescent="0.25">
      <c r="A217" t="s">
        <v>148</v>
      </c>
      <c r="B217" t="s">
        <v>148</v>
      </c>
      <c r="C217" t="s">
        <v>474</v>
      </c>
      <c r="D217" t="s">
        <v>89</v>
      </c>
      <c r="E217" t="b">
        <f t="shared" si="3"/>
        <v>0</v>
      </c>
    </row>
    <row r="218" spans="1:5" hidden="1" x14ac:dyDescent="0.25">
      <c r="B218" t="s">
        <v>571</v>
      </c>
      <c r="C218" t="s">
        <v>451</v>
      </c>
      <c r="D218" t="s">
        <v>77</v>
      </c>
      <c r="E218" t="b">
        <f t="shared" si="3"/>
        <v>1</v>
      </c>
    </row>
    <row r="219" spans="1:5" hidden="1" x14ac:dyDescent="0.25">
      <c r="B219" t="s">
        <v>572</v>
      </c>
      <c r="C219" t="s">
        <v>455</v>
      </c>
      <c r="D219" t="s">
        <v>219</v>
      </c>
      <c r="E219" t="b">
        <f t="shared" si="3"/>
        <v>1</v>
      </c>
    </row>
    <row r="220" spans="1:5" hidden="1" x14ac:dyDescent="0.25">
      <c r="A220" t="s">
        <v>163</v>
      </c>
      <c r="B220" t="s">
        <v>395</v>
      </c>
      <c r="C220" t="s">
        <v>488</v>
      </c>
      <c r="D220" t="s">
        <v>219</v>
      </c>
      <c r="E220" t="b">
        <f t="shared" si="3"/>
        <v>0</v>
      </c>
    </row>
    <row r="221" spans="1:5" hidden="1" x14ac:dyDescent="0.25">
      <c r="A221" t="s">
        <v>303</v>
      </c>
      <c r="B221" t="s">
        <v>303</v>
      </c>
      <c r="C221" t="s">
        <v>488</v>
      </c>
      <c r="D221" t="s">
        <v>89</v>
      </c>
      <c r="E221" t="b">
        <f t="shared" si="3"/>
        <v>0</v>
      </c>
    </row>
    <row r="222" spans="1:5" hidden="1" x14ac:dyDescent="0.25">
      <c r="A222" t="s">
        <v>778</v>
      </c>
      <c r="B222" t="s">
        <v>574</v>
      </c>
      <c r="C222" t="s">
        <v>488</v>
      </c>
      <c r="D222" t="s">
        <v>459</v>
      </c>
      <c r="E222" t="b">
        <f t="shared" si="3"/>
        <v>0</v>
      </c>
    </row>
    <row r="223" spans="1:5" hidden="1" x14ac:dyDescent="0.25">
      <c r="B223" t="s">
        <v>573</v>
      </c>
      <c r="C223" t="s">
        <v>448</v>
      </c>
      <c r="D223" t="s">
        <v>89</v>
      </c>
      <c r="E223" t="b">
        <f t="shared" si="3"/>
        <v>1</v>
      </c>
    </row>
    <row r="224" spans="1:5" hidden="1" x14ac:dyDescent="0.25">
      <c r="A224" t="s">
        <v>55</v>
      </c>
      <c r="B224" t="s">
        <v>55</v>
      </c>
      <c r="C224" t="s">
        <v>480</v>
      </c>
      <c r="D224" t="s">
        <v>219</v>
      </c>
      <c r="E224" t="b">
        <f t="shared" si="3"/>
        <v>0</v>
      </c>
    </row>
    <row r="225" spans="1:5" hidden="1" x14ac:dyDescent="0.25">
      <c r="A225" t="s">
        <v>772</v>
      </c>
      <c r="B225" t="s">
        <v>575</v>
      </c>
      <c r="C225" t="s">
        <v>469</v>
      </c>
      <c r="D225" t="s">
        <v>459</v>
      </c>
      <c r="E225" t="b">
        <f t="shared" si="3"/>
        <v>0</v>
      </c>
    </row>
    <row r="226" spans="1:5" hidden="1" x14ac:dyDescent="0.25">
      <c r="B226" t="s">
        <v>576</v>
      </c>
      <c r="C226" t="s">
        <v>469</v>
      </c>
      <c r="D226" t="s">
        <v>459</v>
      </c>
      <c r="E226" t="b">
        <f t="shared" si="3"/>
        <v>1</v>
      </c>
    </row>
    <row r="227" spans="1:5" hidden="1" x14ac:dyDescent="0.25">
      <c r="B227" t="s">
        <v>577</v>
      </c>
      <c r="C227" t="s">
        <v>485</v>
      </c>
      <c r="D227" t="s">
        <v>77</v>
      </c>
      <c r="E227" t="b">
        <f t="shared" si="3"/>
        <v>1</v>
      </c>
    </row>
    <row r="228" spans="1:5" hidden="1" x14ac:dyDescent="0.25">
      <c r="A228" t="s">
        <v>209</v>
      </c>
      <c r="B228" t="s">
        <v>209</v>
      </c>
      <c r="C228" t="s">
        <v>453</v>
      </c>
      <c r="D228" t="s">
        <v>77</v>
      </c>
      <c r="E228" t="b">
        <f t="shared" si="3"/>
        <v>0</v>
      </c>
    </row>
    <row r="229" spans="1:5" hidden="1" x14ac:dyDescent="0.25">
      <c r="A229" t="s">
        <v>359</v>
      </c>
      <c r="B229" t="s">
        <v>359</v>
      </c>
      <c r="C229" t="s">
        <v>488</v>
      </c>
      <c r="D229" t="s">
        <v>89</v>
      </c>
      <c r="E229" t="b">
        <f t="shared" si="3"/>
        <v>0</v>
      </c>
    </row>
    <row r="230" spans="1:5" hidden="1" x14ac:dyDescent="0.25">
      <c r="A230" t="s">
        <v>52</v>
      </c>
      <c r="B230" t="s">
        <v>52</v>
      </c>
      <c r="C230" t="s">
        <v>461</v>
      </c>
      <c r="D230" t="s">
        <v>459</v>
      </c>
      <c r="E230" t="b">
        <f t="shared" si="3"/>
        <v>0</v>
      </c>
    </row>
    <row r="231" spans="1:5" hidden="1" x14ac:dyDescent="0.25">
      <c r="B231" t="s">
        <v>578</v>
      </c>
      <c r="C231" t="s">
        <v>469</v>
      </c>
      <c r="D231" t="s">
        <v>459</v>
      </c>
      <c r="E231" t="b">
        <f t="shared" si="3"/>
        <v>1</v>
      </c>
    </row>
    <row r="232" spans="1:5" hidden="1" x14ac:dyDescent="0.25">
      <c r="A232" t="s">
        <v>130</v>
      </c>
      <c r="B232" t="s">
        <v>130</v>
      </c>
      <c r="C232" t="s">
        <v>485</v>
      </c>
      <c r="D232" t="s">
        <v>459</v>
      </c>
      <c r="E232" t="b">
        <f t="shared" si="3"/>
        <v>0</v>
      </c>
    </row>
    <row r="233" spans="1:5" hidden="1" x14ac:dyDescent="0.25">
      <c r="B233" t="s">
        <v>579</v>
      </c>
      <c r="C233" t="s">
        <v>447</v>
      </c>
      <c r="D233" t="s">
        <v>459</v>
      </c>
      <c r="E233" t="b">
        <f t="shared" si="3"/>
        <v>1</v>
      </c>
    </row>
    <row r="234" spans="1:5" hidden="1" x14ac:dyDescent="0.25">
      <c r="A234" t="s">
        <v>38</v>
      </c>
      <c r="B234" t="s">
        <v>373</v>
      </c>
      <c r="C234" t="s">
        <v>448</v>
      </c>
      <c r="D234" t="s">
        <v>459</v>
      </c>
      <c r="E234" t="b">
        <f t="shared" si="3"/>
        <v>0</v>
      </c>
    </row>
    <row r="235" spans="1:5" hidden="1" x14ac:dyDescent="0.25">
      <c r="B235" t="s">
        <v>580</v>
      </c>
      <c r="C235" t="s">
        <v>464</v>
      </c>
      <c r="D235" t="s">
        <v>459</v>
      </c>
      <c r="E235" t="b">
        <f t="shared" si="3"/>
        <v>1</v>
      </c>
    </row>
    <row r="236" spans="1:5" hidden="1" x14ac:dyDescent="0.25">
      <c r="A236" t="s">
        <v>87</v>
      </c>
      <c r="B236" t="s">
        <v>87</v>
      </c>
      <c r="C236" t="s">
        <v>485</v>
      </c>
      <c r="D236" t="s">
        <v>459</v>
      </c>
      <c r="E236" t="b">
        <f t="shared" si="3"/>
        <v>0</v>
      </c>
    </row>
    <row r="237" spans="1:5" hidden="1" x14ac:dyDescent="0.25">
      <c r="A237" t="s">
        <v>146</v>
      </c>
      <c r="B237" t="s">
        <v>146</v>
      </c>
      <c r="C237" t="s">
        <v>480</v>
      </c>
      <c r="D237" t="s">
        <v>89</v>
      </c>
      <c r="E237" t="b">
        <f t="shared" si="3"/>
        <v>0</v>
      </c>
    </row>
    <row r="238" spans="1:5" hidden="1" x14ac:dyDescent="0.25">
      <c r="A238" t="s">
        <v>107</v>
      </c>
      <c r="B238" t="s">
        <v>107</v>
      </c>
      <c r="C238" t="s">
        <v>488</v>
      </c>
      <c r="D238" t="s">
        <v>219</v>
      </c>
      <c r="E238" t="b">
        <f t="shared" si="3"/>
        <v>0</v>
      </c>
    </row>
    <row r="239" spans="1:5" hidden="1" x14ac:dyDescent="0.25">
      <c r="A239" t="s">
        <v>201</v>
      </c>
      <c r="B239" t="s">
        <v>201</v>
      </c>
      <c r="C239" t="s">
        <v>449</v>
      </c>
      <c r="D239" t="s">
        <v>459</v>
      </c>
      <c r="E239" t="b">
        <f t="shared" si="3"/>
        <v>0</v>
      </c>
    </row>
    <row r="240" spans="1:5" hidden="1" x14ac:dyDescent="0.25">
      <c r="B240" t="s">
        <v>581</v>
      </c>
      <c r="C240" t="s">
        <v>472</v>
      </c>
      <c r="D240" t="s">
        <v>219</v>
      </c>
      <c r="E240" t="b">
        <f t="shared" si="3"/>
        <v>1</v>
      </c>
    </row>
    <row r="241" spans="1:5" hidden="1" x14ac:dyDescent="0.25">
      <c r="A241" t="s">
        <v>290</v>
      </c>
      <c r="B241" t="s">
        <v>121</v>
      </c>
      <c r="C241" t="s">
        <v>472</v>
      </c>
      <c r="D241" t="s">
        <v>77</v>
      </c>
      <c r="E241" t="b">
        <f t="shared" si="3"/>
        <v>0</v>
      </c>
    </row>
    <row r="242" spans="1:5" hidden="1" x14ac:dyDescent="0.25">
      <c r="A242" t="s">
        <v>121</v>
      </c>
      <c r="B242" t="s">
        <v>121</v>
      </c>
      <c r="C242" t="s">
        <v>469</v>
      </c>
      <c r="D242" t="s">
        <v>459</v>
      </c>
      <c r="E242" t="b">
        <f t="shared" si="3"/>
        <v>0</v>
      </c>
    </row>
    <row r="243" spans="1:5" hidden="1" x14ac:dyDescent="0.25">
      <c r="A243" t="s">
        <v>436</v>
      </c>
      <c r="B243" t="s">
        <v>442</v>
      </c>
      <c r="C243" t="s">
        <v>498</v>
      </c>
      <c r="D243" t="s">
        <v>459</v>
      </c>
      <c r="E243" t="b">
        <f t="shared" si="3"/>
        <v>0</v>
      </c>
    </row>
    <row r="244" spans="1:5" hidden="1" x14ac:dyDescent="0.25">
      <c r="B244" t="s">
        <v>582</v>
      </c>
      <c r="C244" t="s">
        <v>474</v>
      </c>
      <c r="D244" t="s">
        <v>459</v>
      </c>
      <c r="E244" t="b">
        <f t="shared" si="3"/>
        <v>1</v>
      </c>
    </row>
    <row r="245" spans="1:5" hidden="1" x14ac:dyDescent="0.25">
      <c r="A245" t="s">
        <v>428</v>
      </c>
      <c r="B245" t="s">
        <v>428</v>
      </c>
      <c r="C245" t="s">
        <v>448</v>
      </c>
      <c r="D245" t="s">
        <v>219</v>
      </c>
      <c r="E245" t="b">
        <f t="shared" si="3"/>
        <v>0</v>
      </c>
    </row>
    <row r="246" spans="1:5" hidden="1" x14ac:dyDescent="0.25">
      <c r="A246" t="s">
        <v>439</v>
      </c>
      <c r="B246" t="s">
        <v>583</v>
      </c>
      <c r="C246" t="s">
        <v>480</v>
      </c>
      <c r="D246" t="s">
        <v>89</v>
      </c>
      <c r="E246" t="b">
        <f t="shared" si="3"/>
        <v>0</v>
      </c>
    </row>
    <row r="247" spans="1:5" hidden="1" x14ac:dyDescent="0.25">
      <c r="A247" t="s">
        <v>782</v>
      </c>
      <c r="B247" t="s">
        <v>584</v>
      </c>
      <c r="C247" t="s">
        <v>485</v>
      </c>
      <c r="D247" t="s">
        <v>459</v>
      </c>
      <c r="E247" t="b">
        <f t="shared" si="3"/>
        <v>0</v>
      </c>
    </row>
    <row r="248" spans="1:5" hidden="1" x14ac:dyDescent="0.25">
      <c r="A248" t="s">
        <v>766</v>
      </c>
      <c r="B248" t="s">
        <v>402</v>
      </c>
      <c r="C248" t="s">
        <v>498</v>
      </c>
      <c r="D248" t="s">
        <v>89</v>
      </c>
      <c r="E248" t="b">
        <f t="shared" si="3"/>
        <v>0</v>
      </c>
    </row>
    <row r="249" spans="1:5" hidden="1" x14ac:dyDescent="0.25">
      <c r="A249" t="s">
        <v>215</v>
      </c>
      <c r="B249" t="s">
        <v>402</v>
      </c>
      <c r="C249" t="s">
        <v>456</v>
      </c>
      <c r="D249" t="s">
        <v>219</v>
      </c>
      <c r="E249" t="b">
        <f t="shared" si="3"/>
        <v>0</v>
      </c>
    </row>
    <row r="250" spans="1:5" hidden="1" x14ac:dyDescent="0.25">
      <c r="B250" t="s">
        <v>585</v>
      </c>
      <c r="C250" t="s">
        <v>472</v>
      </c>
      <c r="D250" t="s">
        <v>459</v>
      </c>
      <c r="E250" t="b">
        <f t="shared" si="3"/>
        <v>1</v>
      </c>
    </row>
    <row r="251" spans="1:5" hidden="1" x14ac:dyDescent="0.25">
      <c r="B251" t="s">
        <v>586</v>
      </c>
      <c r="C251" t="s">
        <v>488</v>
      </c>
      <c r="D251" t="s">
        <v>219</v>
      </c>
      <c r="E251" t="b">
        <f t="shared" si="3"/>
        <v>1</v>
      </c>
    </row>
    <row r="252" spans="1:5" hidden="1" x14ac:dyDescent="0.25">
      <c r="B252" t="s">
        <v>587</v>
      </c>
      <c r="C252" t="s">
        <v>453</v>
      </c>
      <c r="D252" t="s">
        <v>219</v>
      </c>
      <c r="E252" t="b">
        <f t="shared" si="3"/>
        <v>1</v>
      </c>
    </row>
    <row r="253" spans="1:5" hidden="1" x14ac:dyDescent="0.25">
      <c r="A253" t="s">
        <v>123</v>
      </c>
      <c r="B253" t="s">
        <v>123</v>
      </c>
      <c r="C253" t="s">
        <v>464</v>
      </c>
      <c r="D253" t="s">
        <v>89</v>
      </c>
      <c r="E253" t="b">
        <f t="shared" si="3"/>
        <v>0</v>
      </c>
    </row>
    <row r="254" spans="1:5" hidden="1" x14ac:dyDescent="0.25">
      <c r="B254" t="s">
        <v>588</v>
      </c>
      <c r="C254" t="s">
        <v>458</v>
      </c>
      <c r="D254" t="s">
        <v>77</v>
      </c>
      <c r="E254" t="b">
        <f t="shared" si="3"/>
        <v>1</v>
      </c>
    </row>
    <row r="255" spans="1:5" hidden="1" x14ac:dyDescent="0.25">
      <c r="B255" t="s">
        <v>589</v>
      </c>
      <c r="C255" t="s">
        <v>451</v>
      </c>
      <c r="D255" t="s">
        <v>459</v>
      </c>
      <c r="E255" t="b">
        <f t="shared" si="3"/>
        <v>1</v>
      </c>
    </row>
    <row r="256" spans="1:5" hidden="1" x14ac:dyDescent="0.25">
      <c r="A256" t="s">
        <v>142</v>
      </c>
      <c r="B256" t="s">
        <v>357</v>
      </c>
      <c r="C256" t="s">
        <v>455</v>
      </c>
      <c r="D256" t="s">
        <v>459</v>
      </c>
      <c r="E256" t="b">
        <f t="shared" si="3"/>
        <v>0</v>
      </c>
    </row>
    <row r="257" spans="1:5" hidden="1" x14ac:dyDescent="0.25">
      <c r="A257" t="s">
        <v>281</v>
      </c>
      <c r="B257" t="s">
        <v>397</v>
      </c>
      <c r="C257" t="s">
        <v>496</v>
      </c>
      <c r="D257" t="s">
        <v>89</v>
      </c>
      <c r="E257" t="b">
        <f t="shared" si="3"/>
        <v>0</v>
      </c>
    </row>
    <row r="258" spans="1:5" hidden="1" x14ac:dyDescent="0.25">
      <c r="B258" t="s">
        <v>590</v>
      </c>
      <c r="C258" t="s">
        <v>498</v>
      </c>
      <c r="D258" t="s">
        <v>77</v>
      </c>
      <c r="E258" t="b">
        <f t="shared" ref="E258:E321" si="4">OR(ISBLANK(B258),ISBLANK(A258))</f>
        <v>1</v>
      </c>
    </row>
    <row r="259" spans="1:5" hidden="1" x14ac:dyDescent="0.25">
      <c r="B259" t="s">
        <v>591</v>
      </c>
      <c r="C259" t="s">
        <v>480</v>
      </c>
      <c r="D259" t="s">
        <v>89</v>
      </c>
      <c r="E259" t="b">
        <f t="shared" si="4"/>
        <v>1</v>
      </c>
    </row>
    <row r="260" spans="1:5" hidden="1" x14ac:dyDescent="0.25">
      <c r="B260" t="s">
        <v>592</v>
      </c>
      <c r="C260" t="s">
        <v>488</v>
      </c>
      <c r="D260" t="s">
        <v>459</v>
      </c>
      <c r="E260" t="b">
        <f t="shared" si="4"/>
        <v>1</v>
      </c>
    </row>
    <row r="261" spans="1:5" hidden="1" x14ac:dyDescent="0.25">
      <c r="B261" t="s">
        <v>593</v>
      </c>
      <c r="C261" t="s">
        <v>461</v>
      </c>
      <c r="D261" t="s">
        <v>459</v>
      </c>
      <c r="E261" t="b">
        <f t="shared" si="4"/>
        <v>1</v>
      </c>
    </row>
    <row r="262" spans="1:5" hidden="1" x14ac:dyDescent="0.25">
      <c r="A262" t="s">
        <v>176</v>
      </c>
      <c r="B262" t="s">
        <v>176</v>
      </c>
      <c r="C262" t="s">
        <v>480</v>
      </c>
      <c r="D262" t="s">
        <v>459</v>
      </c>
      <c r="E262" t="b">
        <f t="shared" si="4"/>
        <v>0</v>
      </c>
    </row>
    <row r="263" spans="1:5" hidden="1" x14ac:dyDescent="0.25">
      <c r="A263" t="s">
        <v>104</v>
      </c>
      <c r="B263" t="s">
        <v>104</v>
      </c>
      <c r="C263" t="s">
        <v>465</v>
      </c>
      <c r="D263" t="s">
        <v>459</v>
      </c>
      <c r="E263" t="b">
        <f t="shared" si="4"/>
        <v>0</v>
      </c>
    </row>
    <row r="264" spans="1:5" hidden="1" x14ac:dyDescent="0.25">
      <c r="B264" t="s">
        <v>594</v>
      </c>
      <c r="C264" t="s">
        <v>449</v>
      </c>
      <c r="D264" t="s">
        <v>219</v>
      </c>
      <c r="E264" t="b">
        <f t="shared" si="4"/>
        <v>1</v>
      </c>
    </row>
    <row r="265" spans="1:5" hidden="1" x14ac:dyDescent="0.25">
      <c r="B265" t="s">
        <v>595</v>
      </c>
      <c r="C265" t="s">
        <v>456</v>
      </c>
      <c r="D265" t="s">
        <v>459</v>
      </c>
      <c r="E265" t="b">
        <f t="shared" si="4"/>
        <v>1</v>
      </c>
    </row>
    <row r="266" spans="1:5" hidden="1" x14ac:dyDescent="0.25">
      <c r="A266" t="s">
        <v>277</v>
      </c>
      <c r="B266" t="s">
        <v>355</v>
      </c>
      <c r="C266" t="s">
        <v>498</v>
      </c>
      <c r="D266" t="s">
        <v>219</v>
      </c>
      <c r="E266" t="b">
        <f t="shared" si="4"/>
        <v>0</v>
      </c>
    </row>
    <row r="267" spans="1:5" hidden="1" x14ac:dyDescent="0.25">
      <c r="B267" t="s">
        <v>596</v>
      </c>
      <c r="C267" t="s">
        <v>514</v>
      </c>
      <c r="D267" t="s">
        <v>89</v>
      </c>
      <c r="E267" t="b">
        <f t="shared" si="4"/>
        <v>1</v>
      </c>
    </row>
    <row r="268" spans="1:5" hidden="1" x14ac:dyDescent="0.25">
      <c r="B268" t="s">
        <v>597</v>
      </c>
      <c r="C268" t="s">
        <v>474</v>
      </c>
      <c r="D268" t="s">
        <v>219</v>
      </c>
      <c r="E268" t="b">
        <f t="shared" si="4"/>
        <v>1</v>
      </c>
    </row>
    <row r="269" spans="1:5" hidden="1" x14ac:dyDescent="0.25">
      <c r="B269" t="s">
        <v>598</v>
      </c>
      <c r="C269" t="s">
        <v>465</v>
      </c>
      <c r="D269" t="s">
        <v>219</v>
      </c>
      <c r="E269" t="b">
        <f t="shared" si="4"/>
        <v>1</v>
      </c>
    </row>
    <row r="270" spans="1:5" hidden="1" x14ac:dyDescent="0.25">
      <c r="A270" t="s">
        <v>297</v>
      </c>
      <c r="B270" t="s">
        <v>297</v>
      </c>
      <c r="C270" t="s">
        <v>447</v>
      </c>
      <c r="D270" t="s">
        <v>77</v>
      </c>
      <c r="E270" t="b">
        <f t="shared" si="4"/>
        <v>0</v>
      </c>
    </row>
    <row r="271" spans="1:5" hidden="1" x14ac:dyDescent="0.25">
      <c r="B271" t="s">
        <v>599</v>
      </c>
      <c r="C271" t="s">
        <v>496</v>
      </c>
      <c r="D271" t="s">
        <v>459</v>
      </c>
      <c r="E271" t="b">
        <f t="shared" si="4"/>
        <v>1</v>
      </c>
    </row>
    <row r="272" spans="1:5" hidden="1" x14ac:dyDescent="0.25">
      <c r="B272" t="s">
        <v>600</v>
      </c>
      <c r="C272" t="s">
        <v>461</v>
      </c>
      <c r="D272" t="s">
        <v>219</v>
      </c>
      <c r="E272" t="b">
        <f t="shared" si="4"/>
        <v>1</v>
      </c>
    </row>
    <row r="273" spans="1:5" hidden="1" x14ac:dyDescent="0.25">
      <c r="A273" t="s">
        <v>254</v>
      </c>
      <c r="B273" t="s">
        <v>254</v>
      </c>
      <c r="C273" t="s">
        <v>514</v>
      </c>
      <c r="D273" t="s">
        <v>89</v>
      </c>
      <c r="E273" t="b">
        <f t="shared" si="4"/>
        <v>0</v>
      </c>
    </row>
    <row r="274" spans="1:5" hidden="1" x14ac:dyDescent="0.25">
      <c r="B274" t="s">
        <v>601</v>
      </c>
      <c r="C274" t="s">
        <v>447</v>
      </c>
      <c r="D274" t="s">
        <v>219</v>
      </c>
      <c r="E274" t="b">
        <f t="shared" si="4"/>
        <v>1</v>
      </c>
    </row>
    <row r="275" spans="1:5" hidden="1" x14ac:dyDescent="0.25">
      <c r="B275" t="s">
        <v>602</v>
      </c>
      <c r="C275" t="s">
        <v>458</v>
      </c>
      <c r="D275" t="s">
        <v>219</v>
      </c>
      <c r="E275" t="b">
        <f t="shared" si="4"/>
        <v>1</v>
      </c>
    </row>
    <row r="276" spans="1:5" hidden="1" x14ac:dyDescent="0.25">
      <c r="B276" t="s">
        <v>604</v>
      </c>
      <c r="C276" t="s">
        <v>480</v>
      </c>
      <c r="D276" t="s">
        <v>219</v>
      </c>
      <c r="E276" t="b">
        <f t="shared" si="4"/>
        <v>1</v>
      </c>
    </row>
    <row r="277" spans="1:5" hidden="1" x14ac:dyDescent="0.25">
      <c r="B277" t="s">
        <v>603</v>
      </c>
      <c r="C277" t="s">
        <v>469</v>
      </c>
      <c r="D277" t="s">
        <v>219</v>
      </c>
      <c r="E277" t="b">
        <f t="shared" si="4"/>
        <v>1</v>
      </c>
    </row>
    <row r="278" spans="1:5" hidden="1" x14ac:dyDescent="0.25">
      <c r="A278" t="s">
        <v>780</v>
      </c>
      <c r="B278" t="s">
        <v>605</v>
      </c>
      <c r="C278" t="s">
        <v>485</v>
      </c>
      <c r="D278" t="s">
        <v>219</v>
      </c>
      <c r="E278" t="b">
        <f t="shared" si="4"/>
        <v>0</v>
      </c>
    </row>
    <row r="279" spans="1:5" hidden="1" x14ac:dyDescent="0.25">
      <c r="A279" t="s">
        <v>256</v>
      </c>
      <c r="B279" t="s">
        <v>606</v>
      </c>
      <c r="C279" t="s">
        <v>496</v>
      </c>
      <c r="D279" t="s">
        <v>219</v>
      </c>
      <c r="E279" t="b">
        <f t="shared" si="4"/>
        <v>0</v>
      </c>
    </row>
    <row r="280" spans="1:5" hidden="1" x14ac:dyDescent="0.25">
      <c r="A280" t="s">
        <v>607</v>
      </c>
      <c r="B280" t="s">
        <v>607</v>
      </c>
      <c r="C280" t="s">
        <v>458</v>
      </c>
      <c r="D280" t="s">
        <v>459</v>
      </c>
      <c r="E280" t="b">
        <f t="shared" si="4"/>
        <v>0</v>
      </c>
    </row>
    <row r="281" spans="1:5" hidden="1" x14ac:dyDescent="0.25">
      <c r="B281" t="s">
        <v>608</v>
      </c>
      <c r="C281" t="s">
        <v>456</v>
      </c>
      <c r="D281" t="s">
        <v>89</v>
      </c>
      <c r="E281" t="b">
        <f t="shared" si="4"/>
        <v>1</v>
      </c>
    </row>
    <row r="282" spans="1:5" hidden="1" x14ac:dyDescent="0.25">
      <c r="B282" t="s">
        <v>609</v>
      </c>
      <c r="C282" t="s">
        <v>453</v>
      </c>
      <c r="D282" t="s">
        <v>89</v>
      </c>
      <c r="E282" t="b">
        <f t="shared" si="4"/>
        <v>1</v>
      </c>
    </row>
    <row r="283" spans="1:5" hidden="1" x14ac:dyDescent="0.25">
      <c r="B283" t="s">
        <v>610</v>
      </c>
      <c r="C283" t="s">
        <v>455</v>
      </c>
      <c r="D283" t="s">
        <v>77</v>
      </c>
      <c r="E283" t="b">
        <f t="shared" si="4"/>
        <v>1</v>
      </c>
    </row>
    <row r="284" spans="1:5" hidden="1" x14ac:dyDescent="0.25">
      <c r="A284" t="s">
        <v>262</v>
      </c>
      <c r="B284" t="s">
        <v>262</v>
      </c>
      <c r="C284" t="s">
        <v>472</v>
      </c>
      <c r="D284" t="s">
        <v>219</v>
      </c>
      <c r="E284" t="b">
        <f t="shared" si="4"/>
        <v>0</v>
      </c>
    </row>
    <row r="285" spans="1:5" hidden="1" x14ac:dyDescent="0.25">
      <c r="A285" t="s">
        <v>33</v>
      </c>
      <c r="B285" t="s">
        <v>33</v>
      </c>
      <c r="C285" t="s">
        <v>461</v>
      </c>
      <c r="D285" t="s">
        <v>459</v>
      </c>
      <c r="E285" t="b">
        <f t="shared" si="4"/>
        <v>0</v>
      </c>
    </row>
    <row r="286" spans="1:5" hidden="1" x14ac:dyDescent="0.25">
      <c r="B286" t="s">
        <v>611</v>
      </c>
      <c r="C286" t="s">
        <v>464</v>
      </c>
      <c r="D286" t="s">
        <v>77</v>
      </c>
      <c r="E286" t="b">
        <f t="shared" si="4"/>
        <v>1</v>
      </c>
    </row>
    <row r="287" spans="1:5" hidden="1" x14ac:dyDescent="0.25">
      <c r="A287" t="s">
        <v>125</v>
      </c>
      <c r="B287" t="s">
        <v>125</v>
      </c>
      <c r="C287" t="s">
        <v>451</v>
      </c>
      <c r="D287" t="s">
        <v>219</v>
      </c>
      <c r="E287" t="b">
        <f t="shared" si="4"/>
        <v>0</v>
      </c>
    </row>
    <row r="288" spans="1:5" hidden="1" x14ac:dyDescent="0.25">
      <c r="A288" t="s">
        <v>785</v>
      </c>
      <c r="B288" t="s">
        <v>612</v>
      </c>
      <c r="C288" t="s">
        <v>498</v>
      </c>
      <c r="D288" t="s">
        <v>89</v>
      </c>
      <c r="E288" t="b">
        <f t="shared" si="4"/>
        <v>0</v>
      </c>
    </row>
    <row r="289" spans="1:5" hidden="1" x14ac:dyDescent="0.25">
      <c r="B289" t="s">
        <v>613</v>
      </c>
      <c r="C289" t="s">
        <v>456</v>
      </c>
      <c r="D289" t="s">
        <v>89</v>
      </c>
      <c r="E289" t="b">
        <f t="shared" si="4"/>
        <v>1</v>
      </c>
    </row>
    <row r="290" spans="1:5" hidden="1" x14ac:dyDescent="0.25">
      <c r="B290" t="s">
        <v>614</v>
      </c>
      <c r="C290" t="s">
        <v>469</v>
      </c>
      <c r="D290" t="s">
        <v>89</v>
      </c>
      <c r="E290" t="b">
        <f t="shared" si="4"/>
        <v>1</v>
      </c>
    </row>
    <row r="291" spans="1:5" hidden="1" x14ac:dyDescent="0.25">
      <c r="B291" t="s">
        <v>615</v>
      </c>
      <c r="C291" t="s">
        <v>472</v>
      </c>
      <c r="D291" t="s">
        <v>89</v>
      </c>
      <c r="E291" t="b">
        <f t="shared" si="4"/>
        <v>1</v>
      </c>
    </row>
    <row r="292" spans="1:5" hidden="1" x14ac:dyDescent="0.25">
      <c r="A292" t="s">
        <v>124</v>
      </c>
      <c r="B292" t="s">
        <v>353</v>
      </c>
      <c r="C292" t="s">
        <v>514</v>
      </c>
      <c r="D292" t="s">
        <v>89</v>
      </c>
      <c r="E292" t="b">
        <f t="shared" si="4"/>
        <v>0</v>
      </c>
    </row>
    <row r="293" spans="1:5" hidden="1" x14ac:dyDescent="0.25">
      <c r="A293" t="s">
        <v>247</v>
      </c>
      <c r="B293" t="s">
        <v>247</v>
      </c>
      <c r="C293" t="s">
        <v>461</v>
      </c>
      <c r="D293" t="s">
        <v>219</v>
      </c>
      <c r="E293" t="b">
        <f t="shared" si="4"/>
        <v>0</v>
      </c>
    </row>
    <row r="294" spans="1:5" hidden="1" x14ac:dyDescent="0.25">
      <c r="A294" t="s">
        <v>156</v>
      </c>
      <c r="B294" t="s">
        <v>156</v>
      </c>
      <c r="C294" t="s">
        <v>488</v>
      </c>
      <c r="D294" t="s">
        <v>459</v>
      </c>
      <c r="E294" t="b">
        <f t="shared" si="4"/>
        <v>0</v>
      </c>
    </row>
    <row r="295" spans="1:5" hidden="1" x14ac:dyDescent="0.25">
      <c r="B295" t="s">
        <v>616</v>
      </c>
      <c r="C295" t="s">
        <v>514</v>
      </c>
      <c r="D295" t="s">
        <v>89</v>
      </c>
      <c r="E295" t="b">
        <f t="shared" si="4"/>
        <v>1</v>
      </c>
    </row>
    <row r="296" spans="1:5" hidden="1" x14ac:dyDescent="0.25">
      <c r="A296" t="s">
        <v>227</v>
      </c>
      <c r="B296" t="s">
        <v>617</v>
      </c>
      <c r="C296" t="s">
        <v>447</v>
      </c>
      <c r="D296" t="s">
        <v>219</v>
      </c>
      <c r="E296" t="b">
        <f t="shared" si="4"/>
        <v>0</v>
      </c>
    </row>
    <row r="297" spans="1:5" hidden="1" x14ac:dyDescent="0.25">
      <c r="B297" t="s">
        <v>618</v>
      </c>
      <c r="C297" t="s">
        <v>496</v>
      </c>
      <c r="D297" t="s">
        <v>89</v>
      </c>
      <c r="E297" t="b">
        <f t="shared" si="4"/>
        <v>1</v>
      </c>
    </row>
    <row r="298" spans="1:5" hidden="1" x14ac:dyDescent="0.25">
      <c r="B298" t="s">
        <v>619</v>
      </c>
      <c r="C298" t="s">
        <v>455</v>
      </c>
      <c r="D298" t="s">
        <v>77</v>
      </c>
      <c r="E298" t="b">
        <f t="shared" si="4"/>
        <v>1</v>
      </c>
    </row>
    <row r="299" spans="1:5" hidden="1" x14ac:dyDescent="0.25">
      <c r="A299" t="s">
        <v>98</v>
      </c>
      <c r="B299" t="s">
        <v>98</v>
      </c>
      <c r="C299" t="s">
        <v>455</v>
      </c>
      <c r="D299" t="s">
        <v>219</v>
      </c>
      <c r="E299" t="b">
        <f t="shared" si="4"/>
        <v>0</v>
      </c>
    </row>
    <row r="300" spans="1:5" hidden="1" x14ac:dyDescent="0.25">
      <c r="A300" t="s">
        <v>232</v>
      </c>
      <c r="B300" t="s">
        <v>232</v>
      </c>
      <c r="C300" t="s">
        <v>469</v>
      </c>
      <c r="D300" t="s">
        <v>459</v>
      </c>
      <c r="E300" t="b">
        <f t="shared" si="4"/>
        <v>0</v>
      </c>
    </row>
    <row r="301" spans="1:5" hidden="1" x14ac:dyDescent="0.25">
      <c r="A301" t="s">
        <v>269</v>
      </c>
      <c r="B301" t="s">
        <v>269</v>
      </c>
      <c r="C301" t="s">
        <v>453</v>
      </c>
      <c r="D301" t="s">
        <v>219</v>
      </c>
      <c r="E301" t="b">
        <f t="shared" si="4"/>
        <v>0</v>
      </c>
    </row>
    <row r="302" spans="1:5" hidden="1" x14ac:dyDescent="0.25">
      <c r="A302" t="s">
        <v>245</v>
      </c>
      <c r="B302" t="s">
        <v>620</v>
      </c>
      <c r="C302" t="s">
        <v>449</v>
      </c>
      <c r="D302" t="s">
        <v>459</v>
      </c>
      <c r="E302" t="b">
        <f t="shared" si="4"/>
        <v>0</v>
      </c>
    </row>
    <row r="303" spans="1:5" hidden="1" x14ac:dyDescent="0.25">
      <c r="B303" t="s">
        <v>621</v>
      </c>
      <c r="C303" t="s">
        <v>498</v>
      </c>
      <c r="D303" t="s">
        <v>219</v>
      </c>
      <c r="E303" t="b">
        <f t="shared" si="4"/>
        <v>1</v>
      </c>
    </row>
    <row r="304" spans="1:5" hidden="1" x14ac:dyDescent="0.25">
      <c r="B304" t="s">
        <v>622</v>
      </c>
      <c r="C304" t="s">
        <v>449</v>
      </c>
      <c r="D304" t="s">
        <v>89</v>
      </c>
      <c r="E304" t="b">
        <f t="shared" si="4"/>
        <v>1</v>
      </c>
    </row>
    <row r="305" spans="1:5" hidden="1" x14ac:dyDescent="0.25">
      <c r="B305" t="s">
        <v>623</v>
      </c>
      <c r="C305" t="s">
        <v>485</v>
      </c>
      <c r="D305" t="s">
        <v>459</v>
      </c>
      <c r="E305" t="b">
        <f t="shared" si="4"/>
        <v>1</v>
      </c>
    </row>
    <row r="306" spans="1:5" hidden="1" x14ac:dyDescent="0.25">
      <c r="A306" t="s">
        <v>335</v>
      </c>
      <c r="B306" t="s">
        <v>335</v>
      </c>
      <c r="C306" t="s">
        <v>480</v>
      </c>
      <c r="D306" t="s">
        <v>219</v>
      </c>
      <c r="E306" t="b">
        <f t="shared" si="4"/>
        <v>0</v>
      </c>
    </row>
    <row r="307" spans="1:5" hidden="1" x14ac:dyDescent="0.25">
      <c r="B307" t="s">
        <v>624</v>
      </c>
      <c r="C307" t="s">
        <v>453</v>
      </c>
      <c r="D307" t="s">
        <v>219</v>
      </c>
      <c r="E307" t="b">
        <f t="shared" si="4"/>
        <v>1</v>
      </c>
    </row>
    <row r="308" spans="1:5" hidden="1" x14ac:dyDescent="0.25">
      <c r="A308" t="s">
        <v>32</v>
      </c>
      <c r="B308" t="s">
        <v>32</v>
      </c>
      <c r="C308" t="s">
        <v>488</v>
      </c>
      <c r="D308" t="s">
        <v>219</v>
      </c>
      <c r="E308" t="b">
        <f t="shared" si="4"/>
        <v>0</v>
      </c>
    </row>
    <row r="309" spans="1:5" hidden="1" x14ac:dyDescent="0.25">
      <c r="A309" t="s">
        <v>127</v>
      </c>
      <c r="B309" t="s">
        <v>127</v>
      </c>
      <c r="C309" t="s">
        <v>464</v>
      </c>
      <c r="D309" t="s">
        <v>219</v>
      </c>
      <c r="E309" t="b">
        <f t="shared" si="4"/>
        <v>0</v>
      </c>
    </row>
    <row r="310" spans="1:5" hidden="1" x14ac:dyDescent="0.25">
      <c r="B310" t="s">
        <v>625</v>
      </c>
      <c r="C310" t="s">
        <v>480</v>
      </c>
      <c r="D310" t="s">
        <v>219</v>
      </c>
      <c r="E310" t="b">
        <f t="shared" si="4"/>
        <v>1</v>
      </c>
    </row>
    <row r="311" spans="1:5" hidden="1" x14ac:dyDescent="0.25">
      <c r="A311" t="s">
        <v>626</v>
      </c>
      <c r="B311" t="s">
        <v>626</v>
      </c>
      <c r="C311" t="s">
        <v>455</v>
      </c>
      <c r="D311" t="s">
        <v>459</v>
      </c>
      <c r="E311" t="b">
        <f t="shared" si="4"/>
        <v>0</v>
      </c>
    </row>
    <row r="312" spans="1:5" hidden="1" x14ac:dyDescent="0.25">
      <c r="A312" t="s">
        <v>174</v>
      </c>
      <c r="B312" t="s">
        <v>174</v>
      </c>
      <c r="C312" t="s">
        <v>488</v>
      </c>
      <c r="D312" t="s">
        <v>219</v>
      </c>
      <c r="E312" t="b">
        <f t="shared" si="4"/>
        <v>0</v>
      </c>
    </row>
    <row r="313" spans="1:5" hidden="1" x14ac:dyDescent="0.25">
      <c r="A313" t="s">
        <v>78</v>
      </c>
      <c r="B313" t="s">
        <v>350</v>
      </c>
      <c r="C313" t="s">
        <v>453</v>
      </c>
      <c r="D313" t="s">
        <v>77</v>
      </c>
      <c r="E313" t="b">
        <f t="shared" si="4"/>
        <v>0</v>
      </c>
    </row>
    <row r="314" spans="1:5" hidden="1" x14ac:dyDescent="0.25">
      <c r="B314" t="s">
        <v>627</v>
      </c>
      <c r="C314" t="s">
        <v>456</v>
      </c>
      <c r="D314" t="s">
        <v>77</v>
      </c>
      <c r="E314" t="b">
        <f t="shared" si="4"/>
        <v>1</v>
      </c>
    </row>
    <row r="315" spans="1:5" hidden="1" x14ac:dyDescent="0.25">
      <c r="B315" t="s">
        <v>628</v>
      </c>
      <c r="C315" t="s">
        <v>447</v>
      </c>
      <c r="D315" t="s">
        <v>89</v>
      </c>
      <c r="E315" t="b">
        <f t="shared" si="4"/>
        <v>1</v>
      </c>
    </row>
    <row r="316" spans="1:5" hidden="1" x14ac:dyDescent="0.25">
      <c r="A316" t="s">
        <v>251</v>
      </c>
      <c r="B316" t="s">
        <v>251</v>
      </c>
      <c r="C316" t="s">
        <v>456</v>
      </c>
      <c r="D316" t="s">
        <v>89</v>
      </c>
      <c r="E316" t="b">
        <f t="shared" si="4"/>
        <v>0</v>
      </c>
    </row>
    <row r="317" spans="1:5" hidden="1" x14ac:dyDescent="0.25">
      <c r="B317" t="s">
        <v>629</v>
      </c>
      <c r="C317" t="s">
        <v>455</v>
      </c>
      <c r="D317" t="s">
        <v>77</v>
      </c>
      <c r="E317" t="b">
        <f t="shared" si="4"/>
        <v>1</v>
      </c>
    </row>
    <row r="318" spans="1:5" hidden="1" x14ac:dyDescent="0.25">
      <c r="B318" t="s">
        <v>630</v>
      </c>
      <c r="C318" t="s">
        <v>453</v>
      </c>
      <c r="D318" t="s">
        <v>89</v>
      </c>
      <c r="E318" t="b">
        <f t="shared" si="4"/>
        <v>1</v>
      </c>
    </row>
    <row r="319" spans="1:5" hidden="1" x14ac:dyDescent="0.25">
      <c r="A319" t="s">
        <v>299</v>
      </c>
      <c r="B319" t="s">
        <v>299</v>
      </c>
      <c r="C319" t="s">
        <v>451</v>
      </c>
      <c r="D319" t="s">
        <v>459</v>
      </c>
      <c r="E319" t="b">
        <f t="shared" si="4"/>
        <v>0</v>
      </c>
    </row>
    <row r="320" spans="1:5" hidden="1" x14ac:dyDescent="0.25">
      <c r="B320" t="s">
        <v>631</v>
      </c>
      <c r="C320" t="s">
        <v>496</v>
      </c>
      <c r="D320" t="s">
        <v>89</v>
      </c>
      <c r="E320" t="b">
        <f t="shared" si="4"/>
        <v>1</v>
      </c>
    </row>
    <row r="321" spans="1:5" hidden="1" x14ac:dyDescent="0.25">
      <c r="A321" t="s">
        <v>218</v>
      </c>
      <c r="B321" t="s">
        <v>416</v>
      </c>
      <c r="C321" t="s">
        <v>514</v>
      </c>
      <c r="D321" t="s">
        <v>459</v>
      </c>
      <c r="E321" t="b">
        <f t="shared" si="4"/>
        <v>0</v>
      </c>
    </row>
    <row r="322" spans="1:5" hidden="1" x14ac:dyDescent="0.25">
      <c r="B322" t="s">
        <v>632</v>
      </c>
      <c r="C322" t="s">
        <v>465</v>
      </c>
      <c r="D322" t="s">
        <v>459</v>
      </c>
      <c r="E322" t="b">
        <f t="shared" ref="E322:E385" si="5">OR(ISBLANK(B322),ISBLANK(A322))</f>
        <v>1</v>
      </c>
    </row>
    <row r="323" spans="1:5" hidden="1" x14ac:dyDescent="0.25">
      <c r="A323" t="s">
        <v>220</v>
      </c>
      <c r="B323" t="s">
        <v>220</v>
      </c>
      <c r="C323" t="s">
        <v>449</v>
      </c>
      <c r="D323" t="s">
        <v>219</v>
      </c>
      <c r="E323" t="b">
        <f t="shared" si="5"/>
        <v>0</v>
      </c>
    </row>
    <row r="324" spans="1:5" hidden="1" x14ac:dyDescent="0.25">
      <c r="A324" t="s">
        <v>326</v>
      </c>
      <c r="B324" t="s">
        <v>404</v>
      </c>
      <c r="C324" t="s">
        <v>456</v>
      </c>
      <c r="D324" t="s">
        <v>459</v>
      </c>
      <c r="E324" t="b">
        <f t="shared" si="5"/>
        <v>0</v>
      </c>
    </row>
    <row r="325" spans="1:5" hidden="1" x14ac:dyDescent="0.25">
      <c r="A325" t="s">
        <v>69</v>
      </c>
      <c r="B325" t="s">
        <v>69</v>
      </c>
      <c r="C325" t="s">
        <v>464</v>
      </c>
      <c r="D325" t="s">
        <v>219</v>
      </c>
      <c r="E325" t="b">
        <f t="shared" si="5"/>
        <v>0</v>
      </c>
    </row>
    <row r="326" spans="1:5" hidden="1" x14ac:dyDescent="0.25">
      <c r="A326" t="s">
        <v>332</v>
      </c>
      <c r="B326" t="s">
        <v>403</v>
      </c>
      <c r="C326" t="s">
        <v>474</v>
      </c>
      <c r="D326" t="s">
        <v>77</v>
      </c>
      <c r="E326" t="b">
        <f t="shared" si="5"/>
        <v>0</v>
      </c>
    </row>
    <row r="327" spans="1:5" hidden="1" x14ac:dyDescent="0.25">
      <c r="A327" t="s">
        <v>221</v>
      </c>
      <c r="B327" t="s">
        <v>221</v>
      </c>
      <c r="C327" t="s">
        <v>461</v>
      </c>
      <c r="D327" t="s">
        <v>89</v>
      </c>
      <c r="E327" t="b">
        <f t="shared" si="5"/>
        <v>0</v>
      </c>
    </row>
    <row r="328" spans="1:5" hidden="1" x14ac:dyDescent="0.25">
      <c r="A328" t="s">
        <v>162</v>
      </c>
      <c r="B328" t="s">
        <v>162</v>
      </c>
      <c r="C328" t="s">
        <v>448</v>
      </c>
      <c r="D328" t="s">
        <v>77</v>
      </c>
      <c r="E328" t="b">
        <f t="shared" si="5"/>
        <v>0</v>
      </c>
    </row>
    <row r="329" spans="1:5" hidden="1" x14ac:dyDescent="0.25">
      <c r="A329" t="s">
        <v>181</v>
      </c>
      <c r="B329" t="s">
        <v>406</v>
      </c>
      <c r="C329" t="s">
        <v>498</v>
      </c>
      <c r="D329" t="s">
        <v>219</v>
      </c>
      <c r="E329" t="b">
        <f t="shared" si="5"/>
        <v>0</v>
      </c>
    </row>
    <row r="330" spans="1:5" hidden="1" x14ac:dyDescent="0.25">
      <c r="A330" t="s">
        <v>765</v>
      </c>
      <c r="B330" t="s">
        <v>633</v>
      </c>
      <c r="C330" t="s">
        <v>488</v>
      </c>
      <c r="D330" t="s">
        <v>219</v>
      </c>
      <c r="E330" t="b">
        <f t="shared" si="5"/>
        <v>0</v>
      </c>
    </row>
    <row r="331" spans="1:5" hidden="1" x14ac:dyDescent="0.25">
      <c r="A331" t="s">
        <v>364</v>
      </c>
      <c r="B331" t="s">
        <v>364</v>
      </c>
      <c r="C331" t="s">
        <v>453</v>
      </c>
      <c r="D331" t="s">
        <v>219</v>
      </c>
      <c r="E331" t="b">
        <f t="shared" si="5"/>
        <v>0</v>
      </c>
    </row>
    <row r="332" spans="1:5" hidden="1" x14ac:dyDescent="0.25">
      <c r="B332" t="s">
        <v>634</v>
      </c>
      <c r="C332" t="s">
        <v>461</v>
      </c>
      <c r="D332" t="s">
        <v>459</v>
      </c>
      <c r="E332" t="b">
        <f t="shared" si="5"/>
        <v>1</v>
      </c>
    </row>
    <row r="333" spans="1:5" hidden="1" x14ac:dyDescent="0.25">
      <c r="B333" t="s">
        <v>635</v>
      </c>
      <c r="C333" t="s">
        <v>498</v>
      </c>
      <c r="D333" t="s">
        <v>219</v>
      </c>
      <c r="E333" t="b">
        <f t="shared" si="5"/>
        <v>1</v>
      </c>
    </row>
    <row r="334" spans="1:5" hidden="1" x14ac:dyDescent="0.25">
      <c r="A334" t="s">
        <v>316</v>
      </c>
      <c r="B334" t="s">
        <v>636</v>
      </c>
      <c r="C334" t="s">
        <v>451</v>
      </c>
      <c r="D334" t="s">
        <v>77</v>
      </c>
      <c r="E334" t="b">
        <f t="shared" si="5"/>
        <v>0</v>
      </c>
    </row>
    <row r="335" spans="1:5" hidden="1" x14ac:dyDescent="0.25">
      <c r="A335" t="s">
        <v>777</v>
      </c>
      <c r="B335" t="s">
        <v>637</v>
      </c>
      <c r="C335" t="s">
        <v>496</v>
      </c>
      <c r="D335" t="s">
        <v>219</v>
      </c>
      <c r="E335" t="b">
        <f>OR(ISBLANK(B335),ISBLANK(A335))</f>
        <v>0</v>
      </c>
    </row>
    <row r="336" spans="1:5" hidden="1" x14ac:dyDescent="0.25">
      <c r="B336" t="s">
        <v>638</v>
      </c>
      <c r="C336" t="s">
        <v>485</v>
      </c>
      <c r="D336" t="s">
        <v>219</v>
      </c>
      <c r="E336" t="b">
        <f t="shared" si="5"/>
        <v>1</v>
      </c>
    </row>
    <row r="337" spans="1:5" hidden="1" x14ac:dyDescent="0.25">
      <c r="A337" t="s">
        <v>166</v>
      </c>
      <c r="B337" t="s">
        <v>166</v>
      </c>
      <c r="C337" t="s">
        <v>451</v>
      </c>
      <c r="D337" t="s">
        <v>459</v>
      </c>
      <c r="E337" t="b">
        <f t="shared" si="5"/>
        <v>0</v>
      </c>
    </row>
    <row r="338" spans="1:5" hidden="1" x14ac:dyDescent="0.25">
      <c r="B338" t="s">
        <v>639</v>
      </c>
      <c r="C338" t="s">
        <v>498</v>
      </c>
      <c r="D338" t="s">
        <v>77</v>
      </c>
      <c r="E338" t="b">
        <f t="shared" si="5"/>
        <v>1</v>
      </c>
    </row>
    <row r="339" spans="1:5" hidden="1" x14ac:dyDescent="0.25">
      <c r="B339" t="s">
        <v>640</v>
      </c>
      <c r="C339" t="s">
        <v>456</v>
      </c>
      <c r="D339" t="s">
        <v>219</v>
      </c>
      <c r="E339" t="b">
        <f t="shared" si="5"/>
        <v>1</v>
      </c>
    </row>
    <row r="340" spans="1:5" hidden="1" x14ac:dyDescent="0.25">
      <c r="A340" t="s">
        <v>129</v>
      </c>
      <c r="B340" t="s">
        <v>644</v>
      </c>
      <c r="C340" t="s">
        <v>461</v>
      </c>
      <c r="D340" t="s">
        <v>219</v>
      </c>
      <c r="E340" t="b">
        <f t="shared" si="5"/>
        <v>0</v>
      </c>
    </row>
    <row r="341" spans="1:5" hidden="1" x14ac:dyDescent="0.25">
      <c r="B341" t="s">
        <v>642</v>
      </c>
      <c r="C341" t="s">
        <v>464</v>
      </c>
      <c r="D341" t="s">
        <v>219</v>
      </c>
      <c r="E341" t="b">
        <f t="shared" si="5"/>
        <v>1</v>
      </c>
    </row>
    <row r="342" spans="1:5" hidden="1" x14ac:dyDescent="0.25">
      <c r="B342" t="s">
        <v>641</v>
      </c>
      <c r="C342" t="s">
        <v>449</v>
      </c>
      <c r="D342" t="s">
        <v>219</v>
      </c>
      <c r="E342" t="b">
        <f t="shared" si="5"/>
        <v>1</v>
      </c>
    </row>
    <row r="343" spans="1:5" hidden="1" x14ac:dyDescent="0.25">
      <c r="B343" t="s">
        <v>643</v>
      </c>
      <c r="C343" t="s">
        <v>465</v>
      </c>
      <c r="D343" t="s">
        <v>219</v>
      </c>
      <c r="E343" t="b">
        <f t="shared" si="5"/>
        <v>1</v>
      </c>
    </row>
    <row r="344" spans="1:5" hidden="1" x14ac:dyDescent="0.25">
      <c r="A344" t="s">
        <v>246</v>
      </c>
      <c r="B344" t="s">
        <v>246</v>
      </c>
      <c r="C344" t="s">
        <v>485</v>
      </c>
      <c r="D344" t="s">
        <v>89</v>
      </c>
      <c r="E344" t="b">
        <f t="shared" si="5"/>
        <v>0</v>
      </c>
    </row>
    <row r="345" spans="1:5" hidden="1" x14ac:dyDescent="0.25">
      <c r="B345" t="s">
        <v>649</v>
      </c>
      <c r="C345" t="s">
        <v>469</v>
      </c>
      <c r="D345" t="s">
        <v>459</v>
      </c>
      <c r="E345" t="b">
        <f t="shared" si="5"/>
        <v>1</v>
      </c>
    </row>
    <row r="346" spans="1:5" hidden="1" x14ac:dyDescent="0.25">
      <c r="A346" t="s">
        <v>360</v>
      </c>
      <c r="B346" t="s">
        <v>645</v>
      </c>
      <c r="C346" t="s">
        <v>456</v>
      </c>
      <c r="D346" t="s">
        <v>459</v>
      </c>
      <c r="E346" t="b">
        <f t="shared" si="5"/>
        <v>0</v>
      </c>
    </row>
    <row r="347" spans="1:5" hidden="1" x14ac:dyDescent="0.25">
      <c r="B347" t="s">
        <v>646</v>
      </c>
      <c r="C347" t="s">
        <v>469</v>
      </c>
      <c r="D347" t="s">
        <v>77</v>
      </c>
      <c r="E347" t="b">
        <f t="shared" si="5"/>
        <v>1</v>
      </c>
    </row>
    <row r="348" spans="1:5" hidden="1" x14ac:dyDescent="0.25">
      <c r="A348" t="s">
        <v>320</v>
      </c>
      <c r="B348" t="s">
        <v>320</v>
      </c>
      <c r="C348" t="s">
        <v>458</v>
      </c>
      <c r="D348" t="s">
        <v>459</v>
      </c>
      <c r="E348" t="b">
        <f t="shared" si="5"/>
        <v>0</v>
      </c>
    </row>
    <row r="349" spans="1:5" hidden="1" x14ac:dyDescent="0.25">
      <c r="A349" t="s">
        <v>313</v>
      </c>
      <c r="B349" t="s">
        <v>647</v>
      </c>
      <c r="C349" t="s">
        <v>447</v>
      </c>
      <c r="D349" t="s">
        <v>219</v>
      </c>
      <c r="E349" t="b">
        <f t="shared" si="5"/>
        <v>0</v>
      </c>
    </row>
    <row r="350" spans="1:5" hidden="1" x14ac:dyDescent="0.25">
      <c r="B350" t="s">
        <v>648</v>
      </c>
      <c r="C350" t="s">
        <v>496</v>
      </c>
      <c r="D350" t="s">
        <v>219</v>
      </c>
      <c r="E350" t="b">
        <f t="shared" si="5"/>
        <v>1</v>
      </c>
    </row>
    <row r="351" spans="1:5" hidden="1" x14ac:dyDescent="0.25">
      <c r="B351" t="s">
        <v>650</v>
      </c>
      <c r="C351" t="s">
        <v>453</v>
      </c>
      <c r="D351" t="s">
        <v>459</v>
      </c>
      <c r="E351" t="b">
        <f t="shared" si="5"/>
        <v>1</v>
      </c>
    </row>
    <row r="352" spans="1:5" hidden="1" x14ac:dyDescent="0.25">
      <c r="A352" t="s">
        <v>278</v>
      </c>
      <c r="B352" t="s">
        <v>278</v>
      </c>
      <c r="C352" t="s">
        <v>448</v>
      </c>
      <c r="D352" t="s">
        <v>89</v>
      </c>
      <c r="E352" t="b">
        <f t="shared" si="5"/>
        <v>0</v>
      </c>
    </row>
    <row r="353" spans="1:5" hidden="1" x14ac:dyDescent="0.25">
      <c r="B353" t="s">
        <v>651</v>
      </c>
      <c r="C353" t="s">
        <v>496</v>
      </c>
      <c r="D353" t="s">
        <v>219</v>
      </c>
      <c r="E353" t="b">
        <f t="shared" si="5"/>
        <v>1</v>
      </c>
    </row>
    <row r="354" spans="1:5" hidden="1" x14ac:dyDescent="0.25">
      <c r="B354" t="s">
        <v>652</v>
      </c>
      <c r="C354" t="s">
        <v>472</v>
      </c>
      <c r="D354" t="s">
        <v>459</v>
      </c>
      <c r="E354" t="b">
        <f t="shared" si="5"/>
        <v>1</v>
      </c>
    </row>
    <row r="355" spans="1:5" hidden="1" x14ac:dyDescent="0.25">
      <c r="B355" t="s">
        <v>653</v>
      </c>
      <c r="C355" t="s">
        <v>451</v>
      </c>
      <c r="D355" t="s">
        <v>459</v>
      </c>
      <c r="E355" t="b">
        <f t="shared" si="5"/>
        <v>1</v>
      </c>
    </row>
    <row r="356" spans="1:5" hidden="1" x14ac:dyDescent="0.25">
      <c r="A356" t="s">
        <v>178</v>
      </c>
      <c r="B356" t="s">
        <v>178</v>
      </c>
      <c r="C356" t="s">
        <v>456</v>
      </c>
      <c r="D356" t="s">
        <v>89</v>
      </c>
      <c r="E356" t="b">
        <f t="shared" si="5"/>
        <v>0</v>
      </c>
    </row>
    <row r="357" spans="1:5" hidden="1" x14ac:dyDescent="0.25">
      <c r="A357" t="s">
        <v>328</v>
      </c>
      <c r="B357" t="s">
        <v>654</v>
      </c>
      <c r="C357" t="s">
        <v>448</v>
      </c>
      <c r="D357" t="s">
        <v>89</v>
      </c>
      <c r="E357" t="b">
        <f t="shared" si="5"/>
        <v>0</v>
      </c>
    </row>
    <row r="358" spans="1:5" hidden="1" x14ac:dyDescent="0.25">
      <c r="A358" t="s">
        <v>327</v>
      </c>
      <c r="B358" t="s">
        <v>327</v>
      </c>
      <c r="C358" t="s">
        <v>458</v>
      </c>
      <c r="D358" t="s">
        <v>459</v>
      </c>
      <c r="E358" t="b">
        <f t="shared" si="5"/>
        <v>0</v>
      </c>
    </row>
    <row r="359" spans="1:5" hidden="1" x14ac:dyDescent="0.25">
      <c r="A359" t="s">
        <v>44</v>
      </c>
      <c r="B359" t="s">
        <v>44</v>
      </c>
      <c r="C359" t="s">
        <v>464</v>
      </c>
      <c r="D359" t="s">
        <v>219</v>
      </c>
      <c r="E359" t="b">
        <f t="shared" si="5"/>
        <v>0</v>
      </c>
    </row>
    <row r="360" spans="1:5" hidden="1" x14ac:dyDescent="0.25">
      <c r="A360" t="s">
        <v>44</v>
      </c>
      <c r="B360" t="s">
        <v>44</v>
      </c>
      <c r="C360" t="s">
        <v>461</v>
      </c>
      <c r="D360" t="s">
        <v>459</v>
      </c>
      <c r="E360" t="b">
        <f t="shared" si="5"/>
        <v>0</v>
      </c>
    </row>
    <row r="361" spans="1:5" hidden="1" x14ac:dyDescent="0.25">
      <c r="A361" t="s">
        <v>49</v>
      </c>
      <c r="B361" t="s">
        <v>49</v>
      </c>
      <c r="C361" t="s">
        <v>455</v>
      </c>
      <c r="D361" t="s">
        <v>219</v>
      </c>
      <c r="E361" t="b">
        <f t="shared" si="5"/>
        <v>0</v>
      </c>
    </row>
    <row r="362" spans="1:5" hidden="1" x14ac:dyDescent="0.25">
      <c r="B362" t="s">
        <v>655</v>
      </c>
      <c r="C362" t="s">
        <v>514</v>
      </c>
      <c r="D362" t="s">
        <v>219</v>
      </c>
      <c r="E362" t="b">
        <f t="shared" si="5"/>
        <v>1</v>
      </c>
    </row>
    <row r="363" spans="1:5" hidden="1" x14ac:dyDescent="0.25">
      <c r="B363" t="s">
        <v>656</v>
      </c>
      <c r="C363" t="s">
        <v>461</v>
      </c>
      <c r="D363" t="s">
        <v>89</v>
      </c>
      <c r="E363" t="b">
        <f t="shared" si="5"/>
        <v>1</v>
      </c>
    </row>
    <row r="364" spans="1:5" hidden="1" x14ac:dyDescent="0.25">
      <c r="A364" t="s">
        <v>308</v>
      </c>
      <c r="B364" t="s">
        <v>308</v>
      </c>
      <c r="C364" t="s">
        <v>474</v>
      </c>
      <c r="D364" t="s">
        <v>89</v>
      </c>
      <c r="E364" t="b">
        <f t="shared" si="5"/>
        <v>0</v>
      </c>
    </row>
    <row r="365" spans="1:5" hidden="1" x14ac:dyDescent="0.25">
      <c r="B365" t="s">
        <v>657</v>
      </c>
      <c r="C365" t="s">
        <v>480</v>
      </c>
      <c r="D365" t="s">
        <v>77</v>
      </c>
      <c r="E365" t="b">
        <f t="shared" si="5"/>
        <v>1</v>
      </c>
    </row>
    <row r="366" spans="1:5" hidden="1" x14ac:dyDescent="0.25">
      <c r="A366" t="s">
        <v>164</v>
      </c>
      <c r="B366" t="s">
        <v>409</v>
      </c>
      <c r="C366" t="s">
        <v>448</v>
      </c>
      <c r="D366" t="s">
        <v>219</v>
      </c>
      <c r="E366" t="b">
        <f t="shared" si="5"/>
        <v>0</v>
      </c>
    </row>
    <row r="367" spans="1:5" hidden="1" x14ac:dyDescent="0.25">
      <c r="A367" t="s">
        <v>128</v>
      </c>
      <c r="B367" t="s">
        <v>128</v>
      </c>
      <c r="C367" t="s">
        <v>498</v>
      </c>
      <c r="D367" t="s">
        <v>219</v>
      </c>
      <c r="E367" t="b">
        <f t="shared" si="5"/>
        <v>0</v>
      </c>
    </row>
    <row r="368" spans="1:5" hidden="1" x14ac:dyDescent="0.25">
      <c r="A368" t="s">
        <v>102</v>
      </c>
      <c r="B368" t="s">
        <v>346</v>
      </c>
      <c r="C368" t="s">
        <v>472</v>
      </c>
      <c r="D368" t="s">
        <v>459</v>
      </c>
      <c r="E368" t="b">
        <f t="shared" si="5"/>
        <v>0</v>
      </c>
    </row>
    <row r="369" spans="1:5" hidden="1" x14ac:dyDescent="0.25">
      <c r="A369" t="s">
        <v>173</v>
      </c>
      <c r="B369" t="s">
        <v>173</v>
      </c>
      <c r="C369" t="s">
        <v>453</v>
      </c>
      <c r="D369" t="s">
        <v>219</v>
      </c>
      <c r="E369" t="b">
        <f t="shared" si="5"/>
        <v>0</v>
      </c>
    </row>
    <row r="370" spans="1:5" hidden="1" x14ac:dyDescent="0.25">
      <c r="A370" t="s">
        <v>250</v>
      </c>
      <c r="B370" t="s">
        <v>250</v>
      </c>
      <c r="C370" t="s">
        <v>449</v>
      </c>
      <c r="D370" t="s">
        <v>77</v>
      </c>
      <c r="E370" t="b">
        <f t="shared" si="5"/>
        <v>0</v>
      </c>
    </row>
    <row r="371" spans="1:5" hidden="1" x14ac:dyDescent="0.25">
      <c r="A371" t="s">
        <v>111</v>
      </c>
      <c r="B371" t="s">
        <v>111</v>
      </c>
      <c r="C371" t="s">
        <v>474</v>
      </c>
      <c r="D371" t="s">
        <v>459</v>
      </c>
      <c r="E371" t="b">
        <f t="shared" si="5"/>
        <v>0</v>
      </c>
    </row>
    <row r="372" spans="1:5" hidden="1" x14ac:dyDescent="0.25">
      <c r="B372" t="s">
        <v>658</v>
      </c>
      <c r="C372" t="s">
        <v>488</v>
      </c>
      <c r="D372" t="s">
        <v>219</v>
      </c>
      <c r="E372" t="b">
        <f t="shared" si="5"/>
        <v>1</v>
      </c>
    </row>
    <row r="373" spans="1:5" hidden="1" x14ac:dyDescent="0.25">
      <c r="A373" t="s">
        <v>88</v>
      </c>
      <c r="B373" t="s">
        <v>88</v>
      </c>
      <c r="C373" t="s">
        <v>472</v>
      </c>
      <c r="D373" t="s">
        <v>459</v>
      </c>
      <c r="E373" t="b">
        <f t="shared" si="5"/>
        <v>0</v>
      </c>
    </row>
    <row r="374" spans="1:5" hidden="1" x14ac:dyDescent="0.25">
      <c r="A374" t="s">
        <v>434</v>
      </c>
      <c r="B374" t="s">
        <v>434</v>
      </c>
      <c r="C374" t="s">
        <v>496</v>
      </c>
      <c r="D374" t="s">
        <v>89</v>
      </c>
      <c r="E374" t="b">
        <f t="shared" si="5"/>
        <v>0</v>
      </c>
    </row>
    <row r="375" spans="1:5" hidden="1" x14ac:dyDescent="0.25">
      <c r="A375" t="s">
        <v>781</v>
      </c>
      <c r="B375" t="s">
        <v>659</v>
      </c>
      <c r="C375" t="s">
        <v>496</v>
      </c>
      <c r="D375" t="s">
        <v>219</v>
      </c>
      <c r="E375" t="b">
        <f t="shared" si="5"/>
        <v>0</v>
      </c>
    </row>
    <row r="376" spans="1:5" hidden="1" x14ac:dyDescent="0.25">
      <c r="A376" t="s">
        <v>273</v>
      </c>
      <c r="B376" t="s">
        <v>273</v>
      </c>
      <c r="C376" t="s">
        <v>453</v>
      </c>
      <c r="D376" t="s">
        <v>219</v>
      </c>
      <c r="E376" t="b">
        <f t="shared" si="5"/>
        <v>0</v>
      </c>
    </row>
    <row r="377" spans="1:5" hidden="1" x14ac:dyDescent="0.25">
      <c r="A377" t="s">
        <v>300</v>
      </c>
      <c r="B377" t="s">
        <v>398</v>
      </c>
      <c r="C377" t="s">
        <v>498</v>
      </c>
      <c r="D377" t="s">
        <v>459</v>
      </c>
      <c r="E377" t="b">
        <f t="shared" si="5"/>
        <v>0</v>
      </c>
    </row>
    <row r="378" spans="1:5" hidden="1" x14ac:dyDescent="0.25">
      <c r="A378" t="s">
        <v>363</v>
      </c>
      <c r="B378" t="s">
        <v>363</v>
      </c>
      <c r="C378" t="s">
        <v>453</v>
      </c>
      <c r="D378" t="s">
        <v>459</v>
      </c>
      <c r="E378" t="b">
        <f t="shared" si="5"/>
        <v>0</v>
      </c>
    </row>
    <row r="379" spans="1:5" hidden="1" x14ac:dyDescent="0.25">
      <c r="A379" t="s">
        <v>70</v>
      </c>
      <c r="B379" t="s">
        <v>70</v>
      </c>
      <c r="C379" t="s">
        <v>474</v>
      </c>
      <c r="D379" t="s">
        <v>219</v>
      </c>
      <c r="E379" t="b">
        <f t="shared" si="5"/>
        <v>0</v>
      </c>
    </row>
    <row r="380" spans="1:5" hidden="1" x14ac:dyDescent="0.25">
      <c r="A380" t="s">
        <v>35</v>
      </c>
      <c r="B380" t="s">
        <v>339</v>
      </c>
      <c r="C380" t="s">
        <v>453</v>
      </c>
      <c r="D380" t="s">
        <v>89</v>
      </c>
      <c r="E380" t="b">
        <f t="shared" si="5"/>
        <v>0</v>
      </c>
    </row>
    <row r="381" spans="1:5" hidden="1" x14ac:dyDescent="0.25">
      <c r="A381" t="s">
        <v>222</v>
      </c>
      <c r="B381" t="s">
        <v>222</v>
      </c>
      <c r="C381" t="s">
        <v>488</v>
      </c>
      <c r="D381" t="s">
        <v>77</v>
      </c>
      <c r="E381" t="b">
        <f t="shared" si="5"/>
        <v>0</v>
      </c>
    </row>
    <row r="382" spans="1:5" hidden="1" x14ac:dyDescent="0.25">
      <c r="A382" t="s">
        <v>205</v>
      </c>
      <c r="B382" t="s">
        <v>410</v>
      </c>
      <c r="C382" t="s">
        <v>480</v>
      </c>
      <c r="D382" t="s">
        <v>89</v>
      </c>
      <c r="E382" t="b">
        <f t="shared" si="5"/>
        <v>0</v>
      </c>
    </row>
    <row r="383" spans="1:5" hidden="1" x14ac:dyDescent="0.25">
      <c r="B383" t="s">
        <v>660</v>
      </c>
      <c r="C383" t="s">
        <v>496</v>
      </c>
      <c r="D383" t="s">
        <v>219</v>
      </c>
      <c r="E383" t="b">
        <f t="shared" si="5"/>
        <v>1</v>
      </c>
    </row>
    <row r="384" spans="1:5" hidden="1" x14ac:dyDescent="0.25">
      <c r="A384" t="s">
        <v>249</v>
      </c>
      <c r="B384" t="s">
        <v>249</v>
      </c>
      <c r="C384" t="s">
        <v>449</v>
      </c>
      <c r="D384" t="s">
        <v>219</v>
      </c>
      <c r="E384" t="b">
        <f t="shared" si="5"/>
        <v>0</v>
      </c>
    </row>
    <row r="385" spans="1:5" hidden="1" x14ac:dyDescent="0.25">
      <c r="B385" t="s">
        <v>661</v>
      </c>
      <c r="C385" t="s">
        <v>449</v>
      </c>
      <c r="D385" t="s">
        <v>77</v>
      </c>
      <c r="E385" t="b">
        <f t="shared" si="5"/>
        <v>1</v>
      </c>
    </row>
    <row r="386" spans="1:5" hidden="1" x14ac:dyDescent="0.25">
      <c r="A386" t="s">
        <v>118</v>
      </c>
      <c r="B386" t="s">
        <v>118</v>
      </c>
      <c r="C386" t="s">
        <v>451</v>
      </c>
      <c r="D386" t="s">
        <v>219</v>
      </c>
      <c r="E386" t="b">
        <f t="shared" ref="E386:E449" si="6">OR(ISBLANK(B386),ISBLANK(A386))</f>
        <v>0</v>
      </c>
    </row>
    <row r="387" spans="1:5" hidden="1" x14ac:dyDescent="0.25">
      <c r="A387" t="s">
        <v>230</v>
      </c>
      <c r="B387" t="s">
        <v>230</v>
      </c>
      <c r="C387" t="s">
        <v>480</v>
      </c>
      <c r="D387" t="s">
        <v>459</v>
      </c>
      <c r="E387" t="b">
        <f t="shared" si="6"/>
        <v>0</v>
      </c>
    </row>
    <row r="388" spans="1:5" hidden="1" x14ac:dyDescent="0.25">
      <c r="A388" t="s">
        <v>305</v>
      </c>
      <c r="B388" t="s">
        <v>305</v>
      </c>
      <c r="C388" t="s">
        <v>456</v>
      </c>
      <c r="D388" t="s">
        <v>459</v>
      </c>
      <c r="E388" t="b">
        <f t="shared" si="6"/>
        <v>0</v>
      </c>
    </row>
    <row r="389" spans="1:5" hidden="1" x14ac:dyDescent="0.25">
      <c r="A389" t="s">
        <v>662</v>
      </c>
      <c r="B389" t="s">
        <v>662</v>
      </c>
      <c r="C389" t="s">
        <v>461</v>
      </c>
      <c r="D389" t="s">
        <v>219</v>
      </c>
      <c r="E389" t="b">
        <f t="shared" si="6"/>
        <v>0</v>
      </c>
    </row>
    <row r="390" spans="1:5" hidden="1" x14ac:dyDescent="0.25">
      <c r="B390" t="s">
        <v>663</v>
      </c>
      <c r="C390" t="s">
        <v>464</v>
      </c>
      <c r="D390" t="s">
        <v>89</v>
      </c>
      <c r="E390" t="b">
        <f t="shared" si="6"/>
        <v>1</v>
      </c>
    </row>
    <row r="391" spans="1:5" hidden="1" x14ac:dyDescent="0.25">
      <c r="A391" t="s">
        <v>149</v>
      </c>
      <c r="B391" t="s">
        <v>149</v>
      </c>
      <c r="C391" t="s">
        <v>461</v>
      </c>
      <c r="D391" t="s">
        <v>77</v>
      </c>
      <c r="E391" t="b">
        <f t="shared" si="6"/>
        <v>0</v>
      </c>
    </row>
    <row r="392" spans="1:5" hidden="1" x14ac:dyDescent="0.25">
      <c r="B392" t="s">
        <v>664</v>
      </c>
      <c r="C392" t="s">
        <v>456</v>
      </c>
      <c r="D392" t="s">
        <v>219</v>
      </c>
      <c r="E392" t="b">
        <f t="shared" si="6"/>
        <v>1</v>
      </c>
    </row>
    <row r="393" spans="1:5" hidden="1" x14ac:dyDescent="0.25">
      <c r="A393" t="s">
        <v>54</v>
      </c>
      <c r="B393" t="s">
        <v>54</v>
      </c>
      <c r="C393" t="s">
        <v>488</v>
      </c>
      <c r="D393" t="s">
        <v>77</v>
      </c>
      <c r="E393" t="b">
        <f t="shared" si="6"/>
        <v>0</v>
      </c>
    </row>
    <row r="394" spans="1:5" hidden="1" x14ac:dyDescent="0.25">
      <c r="A394" t="s">
        <v>665</v>
      </c>
      <c r="B394" t="s">
        <v>665</v>
      </c>
      <c r="C394" t="s">
        <v>469</v>
      </c>
      <c r="D394" t="s">
        <v>219</v>
      </c>
      <c r="E394" t="b">
        <f t="shared" si="6"/>
        <v>0</v>
      </c>
    </row>
    <row r="395" spans="1:5" hidden="1" x14ac:dyDescent="0.25">
      <c r="A395" t="s">
        <v>666</v>
      </c>
      <c r="B395" t="s">
        <v>666</v>
      </c>
      <c r="C395" t="s">
        <v>496</v>
      </c>
      <c r="D395" t="s">
        <v>459</v>
      </c>
      <c r="E395" t="b">
        <f t="shared" si="6"/>
        <v>0</v>
      </c>
    </row>
    <row r="396" spans="1:5" hidden="1" x14ac:dyDescent="0.25">
      <c r="A396" t="s">
        <v>203</v>
      </c>
      <c r="B396" t="s">
        <v>369</v>
      </c>
      <c r="C396" t="s">
        <v>447</v>
      </c>
      <c r="D396" t="s">
        <v>459</v>
      </c>
      <c r="E396" t="b">
        <f t="shared" si="6"/>
        <v>0</v>
      </c>
    </row>
    <row r="397" spans="1:5" hidden="1" x14ac:dyDescent="0.25">
      <c r="A397" t="s">
        <v>444</v>
      </c>
      <c r="B397" t="s">
        <v>444</v>
      </c>
      <c r="C397" t="s">
        <v>474</v>
      </c>
      <c r="D397" t="s">
        <v>89</v>
      </c>
      <c r="E397" t="b">
        <f t="shared" si="6"/>
        <v>0</v>
      </c>
    </row>
    <row r="398" spans="1:5" hidden="1" x14ac:dyDescent="0.25">
      <c r="B398" t="s">
        <v>667</v>
      </c>
      <c r="C398" t="s">
        <v>449</v>
      </c>
      <c r="D398" t="s">
        <v>219</v>
      </c>
      <c r="E398" t="b">
        <f t="shared" si="6"/>
        <v>1</v>
      </c>
    </row>
    <row r="399" spans="1:5" hidden="1" x14ac:dyDescent="0.25">
      <c r="A399" t="s">
        <v>237</v>
      </c>
      <c r="B399" t="s">
        <v>418</v>
      </c>
      <c r="C399" t="s">
        <v>496</v>
      </c>
      <c r="D399" t="s">
        <v>459</v>
      </c>
      <c r="E399" t="b">
        <f t="shared" si="6"/>
        <v>0</v>
      </c>
    </row>
    <row r="400" spans="1:5" hidden="1" x14ac:dyDescent="0.25">
      <c r="A400" t="s">
        <v>286</v>
      </c>
      <c r="B400" t="s">
        <v>365</v>
      </c>
      <c r="C400" t="s">
        <v>472</v>
      </c>
      <c r="D400" t="s">
        <v>459</v>
      </c>
      <c r="E400" t="b">
        <f t="shared" si="6"/>
        <v>0</v>
      </c>
    </row>
    <row r="401" spans="1:5" hidden="1" x14ac:dyDescent="0.25">
      <c r="B401" t="s">
        <v>668</v>
      </c>
      <c r="C401" t="s">
        <v>451</v>
      </c>
      <c r="D401" t="s">
        <v>219</v>
      </c>
      <c r="E401" t="b">
        <f t="shared" si="6"/>
        <v>1</v>
      </c>
    </row>
    <row r="402" spans="1:5" hidden="1" x14ac:dyDescent="0.25">
      <c r="B402" t="s">
        <v>669</v>
      </c>
      <c r="C402" t="s">
        <v>472</v>
      </c>
      <c r="D402" t="s">
        <v>459</v>
      </c>
      <c r="E402" t="b">
        <f t="shared" si="6"/>
        <v>1</v>
      </c>
    </row>
    <row r="403" spans="1:5" hidden="1" x14ac:dyDescent="0.25">
      <c r="A403" t="s">
        <v>170</v>
      </c>
      <c r="B403" t="s">
        <v>411</v>
      </c>
      <c r="C403" t="s">
        <v>469</v>
      </c>
      <c r="D403" t="s">
        <v>89</v>
      </c>
      <c r="E403" t="b">
        <f t="shared" si="6"/>
        <v>0</v>
      </c>
    </row>
    <row r="404" spans="1:5" hidden="1" x14ac:dyDescent="0.25">
      <c r="A404" t="s">
        <v>437</v>
      </c>
      <c r="B404" t="s">
        <v>437</v>
      </c>
      <c r="C404" t="s">
        <v>455</v>
      </c>
      <c r="D404" t="s">
        <v>459</v>
      </c>
      <c r="E404" t="b">
        <f t="shared" si="6"/>
        <v>0</v>
      </c>
    </row>
    <row r="405" spans="1:5" hidden="1" x14ac:dyDescent="0.25">
      <c r="A405" t="s">
        <v>136</v>
      </c>
      <c r="B405" t="s">
        <v>136</v>
      </c>
      <c r="C405" t="s">
        <v>469</v>
      </c>
      <c r="D405" t="s">
        <v>89</v>
      </c>
      <c r="E405" t="b">
        <f t="shared" si="6"/>
        <v>0</v>
      </c>
    </row>
    <row r="406" spans="1:5" hidden="1" x14ac:dyDescent="0.25">
      <c r="A406" t="s">
        <v>45</v>
      </c>
      <c r="B406" t="s">
        <v>396</v>
      </c>
      <c r="C406" t="s">
        <v>474</v>
      </c>
      <c r="D406" t="s">
        <v>459</v>
      </c>
      <c r="E406" t="b">
        <f t="shared" si="6"/>
        <v>0</v>
      </c>
    </row>
    <row r="407" spans="1:5" hidden="1" x14ac:dyDescent="0.25">
      <c r="A407" t="s">
        <v>265</v>
      </c>
      <c r="B407" t="s">
        <v>351</v>
      </c>
      <c r="C407" t="s">
        <v>451</v>
      </c>
      <c r="D407" t="s">
        <v>89</v>
      </c>
      <c r="E407" t="b">
        <f t="shared" si="6"/>
        <v>0</v>
      </c>
    </row>
    <row r="408" spans="1:5" hidden="1" x14ac:dyDescent="0.25">
      <c r="A408" t="s">
        <v>263</v>
      </c>
      <c r="B408" t="s">
        <v>412</v>
      </c>
      <c r="C408" t="s">
        <v>496</v>
      </c>
      <c r="D408" t="s">
        <v>459</v>
      </c>
      <c r="E408" t="b">
        <f t="shared" si="6"/>
        <v>0</v>
      </c>
    </row>
    <row r="409" spans="1:5" hidden="1" x14ac:dyDescent="0.25">
      <c r="A409" t="s">
        <v>74</v>
      </c>
      <c r="B409" t="s">
        <v>74</v>
      </c>
      <c r="C409" t="s">
        <v>453</v>
      </c>
      <c r="D409" t="s">
        <v>459</v>
      </c>
      <c r="E409" t="b">
        <f t="shared" si="6"/>
        <v>0</v>
      </c>
    </row>
    <row r="410" spans="1:5" hidden="1" x14ac:dyDescent="0.25">
      <c r="A410" t="s">
        <v>670</v>
      </c>
      <c r="B410" t="s">
        <v>670</v>
      </c>
      <c r="C410" t="s">
        <v>485</v>
      </c>
      <c r="D410" t="s">
        <v>219</v>
      </c>
      <c r="E410" t="b">
        <f t="shared" si="6"/>
        <v>0</v>
      </c>
    </row>
    <row r="411" spans="1:5" hidden="1" x14ac:dyDescent="0.25">
      <c r="B411" t="s">
        <v>671</v>
      </c>
      <c r="C411" t="s">
        <v>480</v>
      </c>
      <c r="D411" t="s">
        <v>77</v>
      </c>
      <c r="E411" t="b">
        <f t="shared" si="6"/>
        <v>1</v>
      </c>
    </row>
    <row r="412" spans="1:5" hidden="1" x14ac:dyDescent="0.25">
      <c r="B412" t="s">
        <v>672</v>
      </c>
      <c r="C412" t="s">
        <v>496</v>
      </c>
      <c r="D412" t="s">
        <v>459</v>
      </c>
      <c r="E412" t="b">
        <f t="shared" si="6"/>
        <v>1</v>
      </c>
    </row>
    <row r="413" spans="1:5" hidden="1" x14ac:dyDescent="0.25">
      <c r="B413" t="s">
        <v>673</v>
      </c>
      <c r="C413" t="s">
        <v>455</v>
      </c>
      <c r="D413" t="s">
        <v>459</v>
      </c>
      <c r="E413" t="b">
        <f t="shared" si="6"/>
        <v>1</v>
      </c>
    </row>
    <row r="414" spans="1:5" hidden="1" x14ac:dyDescent="0.25">
      <c r="A414" t="s">
        <v>674</v>
      </c>
      <c r="B414" t="s">
        <v>674</v>
      </c>
      <c r="C414" t="s">
        <v>485</v>
      </c>
      <c r="D414" t="s">
        <v>219</v>
      </c>
      <c r="E414" t="b">
        <f t="shared" si="6"/>
        <v>0</v>
      </c>
    </row>
    <row r="415" spans="1:5" hidden="1" x14ac:dyDescent="0.25">
      <c r="A415" t="s">
        <v>43</v>
      </c>
      <c r="B415" t="s">
        <v>43</v>
      </c>
      <c r="C415" t="s">
        <v>480</v>
      </c>
      <c r="D415" t="s">
        <v>219</v>
      </c>
      <c r="E415" t="b">
        <f t="shared" si="6"/>
        <v>0</v>
      </c>
    </row>
    <row r="416" spans="1:5" hidden="1" x14ac:dyDescent="0.25">
      <c r="A416" t="s">
        <v>40</v>
      </c>
      <c r="B416" t="s">
        <v>40</v>
      </c>
      <c r="C416" t="s">
        <v>474</v>
      </c>
      <c r="D416" t="s">
        <v>459</v>
      </c>
      <c r="E416" t="b">
        <f t="shared" si="6"/>
        <v>0</v>
      </c>
    </row>
    <row r="417" spans="1:5" hidden="1" x14ac:dyDescent="0.25">
      <c r="A417" t="s">
        <v>231</v>
      </c>
      <c r="B417" t="s">
        <v>414</v>
      </c>
      <c r="C417" t="s">
        <v>464</v>
      </c>
      <c r="D417" t="s">
        <v>459</v>
      </c>
      <c r="E417" t="b">
        <f t="shared" si="6"/>
        <v>0</v>
      </c>
    </row>
    <row r="418" spans="1:5" hidden="1" x14ac:dyDescent="0.25">
      <c r="A418" t="s">
        <v>266</v>
      </c>
      <c r="B418" t="s">
        <v>675</v>
      </c>
      <c r="C418" t="s">
        <v>451</v>
      </c>
      <c r="D418" t="s">
        <v>77</v>
      </c>
      <c r="E418" t="b">
        <f t="shared" si="6"/>
        <v>0</v>
      </c>
    </row>
    <row r="419" spans="1:5" hidden="1" x14ac:dyDescent="0.25">
      <c r="B419" t="s">
        <v>676</v>
      </c>
      <c r="C419" t="s">
        <v>474</v>
      </c>
      <c r="D419" t="s">
        <v>219</v>
      </c>
      <c r="E419" t="b">
        <f t="shared" si="6"/>
        <v>1</v>
      </c>
    </row>
    <row r="420" spans="1:5" hidden="1" x14ac:dyDescent="0.25">
      <c r="A420" t="s">
        <v>138</v>
      </c>
      <c r="B420" t="s">
        <v>138</v>
      </c>
      <c r="C420" t="s">
        <v>474</v>
      </c>
      <c r="D420" t="s">
        <v>219</v>
      </c>
      <c r="E420" t="b">
        <f t="shared" si="6"/>
        <v>0</v>
      </c>
    </row>
    <row r="421" spans="1:5" hidden="1" x14ac:dyDescent="0.25">
      <c r="A421" t="s">
        <v>677</v>
      </c>
      <c r="B421" t="s">
        <v>677</v>
      </c>
      <c r="C421" t="s">
        <v>447</v>
      </c>
      <c r="D421" t="s">
        <v>459</v>
      </c>
      <c r="E421" t="b">
        <f t="shared" si="6"/>
        <v>0</v>
      </c>
    </row>
    <row r="422" spans="1:5" hidden="1" x14ac:dyDescent="0.25">
      <c r="A422" t="s">
        <v>248</v>
      </c>
      <c r="B422" t="s">
        <v>432</v>
      </c>
      <c r="C422" t="s">
        <v>464</v>
      </c>
      <c r="D422" t="s">
        <v>459</v>
      </c>
      <c r="E422" t="b">
        <f t="shared" si="6"/>
        <v>0</v>
      </c>
    </row>
    <row r="423" spans="1:5" hidden="1" x14ac:dyDescent="0.25">
      <c r="B423" t="s">
        <v>678</v>
      </c>
      <c r="C423" t="s">
        <v>458</v>
      </c>
      <c r="D423" t="s">
        <v>219</v>
      </c>
      <c r="E423" t="b">
        <f t="shared" si="6"/>
        <v>1</v>
      </c>
    </row>
    <row r="424" spans="1:5" hidden="1" x14ac:dyDescent="0.25">
      <c r="A424" t="s">
        <v>441</v>
      </c>
      <c r="B424" t="s">
        <v>680</v>
      </c>
      <c r="C424" t="s">
        <v>458</v>
      </c>
      <c r="D424" t="s">
        <v>77</v>
      </c>
      <c r="E424" t="b">
        <f t="shared" si="6"/>
        <v>0</v>
      </c>
    </row>
    <row r="425" spans="1:5" hidden="1" x14ac:dyDescent="0.25">
      <c r="A425" t="s">
        <v>226</v>
      </c>
      <c r="B425" t="s">
        <v>380</v>
      </c>
      <c r="C425" t="s">
        <v>464</v>
      </c>
      <c r="D425" t="s">
        <v>219</v>
      </c>
      <c r="E425" t="b">
        <f t="shared" si="6"/>
        <v>0</v>
      </c>
    </row>
    <row r="426" spans="1:5" hidden="1" x14ac:dyDescent="0.25">
      <c r="A426" t="s">
        <v>105</v>
      </c>
      <c r="B426" t="s">
        <v>415</v>
      </c>
      <c r="C426" t="s">
        <v>474</v>
      </c>
      <c r="D426" t="s">
        <v>89</v>
      </c>
      <c r="E426" t="b">
        <f t="shared" si="6"/>
        <v>0</v>
      </c>
    </row>
    <row r="427" spans="1:5" hidden="1" x14ac:dyDescent="0.25">
      <c r="A427" t="s">
        <v>157</v>
      </c>
      <c r="B427" t="s">
        <v>157</v>
      </c>
      <c r="C427" t="s">
        <v>465</v>
      </c>
      <c r="D427" t="s">
        <v>459</v>
      </c>
      <c r="E427" t="b">
        <f t="shared" si="6"/>
        <v>0</v>
      </c>
    </row>
    <row r="428" spans="1:5" hidden="1" x14ac:dyDescent="0.25">
      <c r="B428" t="s">
        <v>679</v>
      </c>
      <c r="C428" t="s">
        <v>461</v>
      </c>
      <c r="D428" t="s">
        <v>89</v>
      </c>
      <c r="E428" t="b">
        <f t="shared" si="6"/>
        <v>1</v>
      </c>
    </row>
    <row r="429" spans="1:5" hidden="1" x14ac:dyDescent="0.25">
      <c r="A429" t="s">
        <v>426</v>
      </c>
      <c r="B429" t="s">
        <v>426</v>
      </c>
      <c r="C429" t="s">
        <v>514</v>
      </c>
      <c r="D429" t="s">
        <v>89</v>
      </c>
      <c r="E429" t="b">
        <f t="shared" si="6"/>
        <v>0</v>
      </c>
    </row>
    <row r="430" spans="1:5" hidden="1" x14ac:dyDescent="0.25">
      <c r="A430" t="s">
        <v>762</v>
      </c>
      <c r="B430" t="s">
        <v>686</v>
      </c>
      <c r="C430" t="s">
        <v>458</v>
      </c>
      <c r="D430" t="s">
        <v>219</v>
      </c>
      <c r="E430" t="b">
        <f t="shared" si="6"/>
        <v>0</v>
      </c>
    </row>
    <row r="431" spans="1:5" hidden="1" x14ac:dyDescent="0.25">
      <c r="B431" t="s">
        <v>681</v>
      </c>
      <c r="C431" t="s">
        <v>514</v>
      </c>
      <c r="D431" t="s">
        <v>459</v>
      </c>
      <c r="E431" t="b">
        <f t="shared" si="6"/>
        <v>1</v>
      </c>
    </row>
    <row r="432" spans="1:5" hidden="1" x14ac:dyDescent="0.25">
      <c r="B432" t="s">
        <v>682</v>
      </c>
      <c r="C432" t="s">
        <v>514</v>
      </c>
      <c r="D432" t="s">
        <v>77</v>
      </c>
      <c r="E432" t="b">
        <f t="shared" si="6"/>
        <v>1</v>
      </c>
    </row>
    <row r="433" spans="1:5" hidden="1" x14ac:dyDescent="0.25">
      <c r="A433" t="s">
        <v>199</v>
      </c>
      <c r="B433" t="s">
        <v>199</v>
      </c>
      <c r="C433" t="s">
        <v>455</v>
      </c>
      <c r="D433" t="s">
        <v>89</v>
      </c>
      <c r="E433" t="b">
        <f t="shared" si="6"/>
        <v>0</v>
      </c>
    </row>
    <row r="434" spans="1:5" hidden="1" x14ac:dyDescent="0.25">
      <c r="B434" t="s">
        <v>683</v>
      </c>
      <c r="C434" t="s">
        <v>480</v>
      </c>
      <c r="D434" t="s">
        <v>459</v>
      </c>
      <c r="E434" t="b">
        <f t="shared" si="6"/>
        <v>1</v>
      </c>
    </row>
    <row r="435" spans="1:5" hidden="1" x14ac:dyDescent="0.25">
      <c r="B435" t="s">
        <v>684</v>
      </c>
      <c r="C435" t="s">
        <v>496</v>
      </c>
      <c r="D435" t="s">
        <v>77</v>
      </c>
      <c r="E435" t="b">
        <f t="shared" si="6"/>
        <v>1</v>
      </c>
    </row>
    <row r="436" spans="1:5" hidden="1" x14ac:dyDescent="0.25">
      <c r="A436" t="s">
        <v>283</v>
      </c>
      <c r="B436" t="s">
        <v>283</v>
      </c>
      <c r="C436" t="s">
        <v>514</v>
      </c>
      <c r="D436" t="s">
        <v>459</v>
      </c>
      <c r="E436" t="b">
        <f t="shared" si="6"/>
        <v>0</v>
      </c>
    </row>
    <row r="437" spans="1:5" hidden="1" x14ac:dyDescent="0.25">
      <c r="A437" t="s">
        <v>445</v>
      </c>
      <c r="B437" t="s">
        <v>685</v>
      </c>
      <c r="C437" t="s">
        <v>488</v>
      </c>
      <c r="D437" t="s">
        <v>219</v>
      </c>
      <c r="E437" t="b">
        <f t="shared" si="6"/>
        <v>0</v>
      </c>
    </row>
    <row r="438" spans="1:5" hidden="1" x14ac:dyDescent="0.25">
      <c r="A438" t="s">
        <v>155</v>
      </c>
      <c r="B438" t="s">
        <v>385</v>
      </c>
      <c r="C438" t="s">
        <v>480</v>
      </c>
      <c r="D438" t="s">
        <v>459</v>
      </c>
      <c r="E438" t="b">
        <f t="shared" si="6"/>
        <v>0</v>
      </c>
    </row>
    <row r="439" spans="1:5" hidden="1" x14ac:dyDescent="0.25">
      <c r="A439" t="s">
        <v>112</v>
      </c>
      <c r="B439" t="s">
        <v>112</v>
      </c>
      <c r="C439" t="s">
        <v>465</v>
      </c>
      <c r="D439" t="s">
        <v>89</v>
      </c>
      <c r="E439" t="b">
        <f t="shared" si="6"/>
        <v>0</v>
      </c>
    </row>
    <row r="440" spans="1:5" hidden="1" x14ac:dyDescent="0.25">
      <c r="A440" t="s">
        <v>438</v>
      </c>
      <c r="B440" t="s">
        <v>438</v>
      </c>
      <c r="C440" t="s">
        <v>498</v>
      </c>
      <c r="D440" t="s">
        <v>77</v>
      </c>
      <c r="E440" t="b">
        <f t="shared" si="6"/>
        <v>0</v>
      </c>
    </row>
    <row r="441" spans="1:5" hidden="1" x14ac:dyDescent="0.25">
      <c r="A441" t="s">
        <v>234</v>
      </c>
      <c r="B441" t="s">
        <v>347</v>
      </c>
      <c r="C441" t="s">
        <v>474</v>
      </c>
      <c r="D441" t="s">
        <v>219</v>
      </c>
      <c r="E441" t="b">
        <f t="shared" si="6"/>
        <v>0</v>
      </c>
    </row>
    <row r="442" spans="1:5" hidden="1" x14ac:dyDescent="0.25">
      <c r="A442" t="s">
        <v>287</v>
      </c>
      <c r="B442" t="s">
        <v>287</v>
      </c>
      <c r="C442" t="s">
        <v>458</v>
      </c>
      <c r="D442" t="s">
        <v>89</v>
      </c>
      <c r="E442" t="b">
        <f t="shared" si="6"/>
        <v>0</v>
      </c>
    </row>
    <row r="443" spans="1:5" hidden="1" x14ac:dyDescent="0.25">
      <c r="B443" t="s">
        <v>687</v>
      </c>
      <c r="C443" t="s">
        <v>461</v>
      </c>
      <c r="D443" t="s">
        <v>77</v>
      </c>
      <c r="E443" t="b">
        <f t="shared" si="6"/>
        <v>1</v>
      </c>
    </row>
    <row r="444" spans="1:5" hidden="1" x14ac:dyDescent="0.25">
      <c r="A444" t="s">
        <v>141</v>
      </c>
      <c r="B444" t="s">
        <v>417</v>
      </c>
      <c r="C444" t="s">
        <v>453</v>
      </c>
      <c r="D444" t="s">
        <v>219</v>
      </c>
      <c r="E444" t="b">
        <f t="shared" si="6"/>
        <v>0</v>
      </c>
    </row>
    <row r="445" spans="1:5" hidden="1" x14ac:dyDescent="0.25">
      <c r="A445" t="s">
        <v>289</v>
      </c>
      <c r="B445" t="s">
        <v>289</v>
      </c>
      <c r="C445" t="s">
        <v>465</v>
      </c>
      <c r="D445" t="s">
        <v>89</v>
      </c>
      <c r="E445" t="b">
        <f t="shared" si="6"/>
        <v>0</v>
      </c>
    </row>
    <row r="446" spans="1:5" hidden="1" x14ac:dyDescent="0.25">
      <c r="B446" t="s">
        <v>688</v>
      </c>
      <c r="C446" t="s">
        <v>461</v>
      </c>
      <c r="D446" t="s">
        <v>219</v>
      </c>
      <c r="E446" t="b">
        <f t="shared" si="6"/>
        <v>1</v>
      </c>
    </row>
    <row r="447" spans="1:5" hidden="1" x14ac:dyDescent="0.25">
      <c r="A447" t="s">
        <v>212</v>
      </c>
      <c r="B447" t="s">
        <v>212</v>
      </c>
      <c r="C447" t="s">
        <v>447</v>
      </c>
      <c r="D447" t="s">
        <v>89</v>
      </c>
      <c r="E447" t="b">
        <f t="shared" si="6"/>
        <v>0</v>
      </c>
    </row>
    <row r="448" spans="1:5" hidden="1" x14ac:dyDescent="0.25">
      <c r="A448" t="s">
        <v>689</v>
      </c>
      <c r="B448" t="s">
        <v>689</v>
      </c>
      <c r="C448" t="s">
        <v>447</v>
      </c>
      <c r="D448" t="s">
        <v>89</v>
      </c>
      <c r="E448" t="b">
        <f t="shared" si="6"/>
        <v>0</v>
      </c>
    </row>
    <row r="449" spans="1:5" hidden="1" x14ac:dyDescent="0.25">
      <c r="B449" t="s">
        <v>690</v>
      </c>
      <c r="C449" t="s">
        <v>488</v>
      </c>
      <c r="D449" t="s">
        <v>89</v>
      </c>
      <c r="E449" t="b">
        <f t="shared" si="6"/>
        <v>1</v>
      </c>
    </row>
    <row r="450" spans="1:5" hidden="1" x14ac:dyDescent="0.25">
      <c r="A450" t="s">
        <v>310</v>
      </c>
      <c r="B450" t="s">
        <v>310</v>
      </c>
      <c r="C450" t="s">
        <v>464</v>
      </c>
      <c r="D450" t="s">
        <v>219</v>
      </c>
      <c r="E450" t="b">
        <f t="shared" ref="E450:E513" si="7">OR(ISBLANK(B450),ISBLANK(A450))</f>
        <v>0</v>
      </c>
    </row>
    <row r="451" spans="1:5" hidden="1" x14ac:dyDescent="0.25">
      <c r="B451" t="s">
        <v>691</v>
      </c>
      <c r="C451" t="s">
        <v>472</v>
      </c>
      <c r="D451" t="s">
        <v>219</v>
      </c>
      <c r="E451" t="b">
        <f t="shared" si="7"/>
        <v>1</v>
      </c>
    </row>
    <row r="452" spans="1:5" hidden="1" x14ac:dyDescent="0.25">
      <c r="B452" t="s">
        <v>692</v>
      </c>
      <c r="C452" t="s">
        <v>485</v>
      </c>
      <c r="D452" t="s">
        <v>77</v>
      </c>
      <c r="E452" t="b">
        <f t="shared" si="7"/>
        <v>1</v>
      </c>
    </row>
    <row r="453" spans="1:5" hidden="1" x14ac:dyDescent="0.25">
      <c r="A453" t="s">
        <v>71</v>
      </c>
      <c r="B453" t="s">
        <v>693</v>
      </c>
      <c r="C453" t="s">
        <v>472</v>
      </c>
      <c r="D453" t="s">
        <v>89</v>
      </c>
      <c r="E453" t="b">
        <f t="shared" si="7"/>
        <v>0</v>
      </c>
    </row>
    <row r="454" spans="1:5" hidden="1" x14ac:dyDescent="0.25">
      <c r="B454" t="s">
        <v>694</v>
      </c>
      <c r="C454" t="s">
        <v>485</v>
      </c>
      <c r="D454" t="s">
        <v>89</v>
      </c>
      <c r="E454" t="b">
        <f t="shared" si="7"/>
        <v>1</v>
      </c>
    </row>
    <row r="455" spans="1:5" hidden="1" x14ac:dyDescent="0.25">
      <c r="B455" t="s">
        <v>695</v>
      </c>
      <c r="C455" t="s">
        <v>458</v>
      </c>
      <c r="D455" t="s">
        <v>459</v>
      </c>
      <c r="E455" t="b">
        <f t="shared" si="7"/>
        <v>1</v>
      </c>
    </row>
    <row r="456" spans="1:5" hidden="1" x14ac:dyDescent="0.25">
      <c r="B456" t="s">
        <v>696</v>
      </c>
      <c r="C456" t="s">
        <v>449</v>
      </c>
      <c r="D456" t="s">
        <v>459</v>
      </c>
      <c r="E456" t="b">
        <f t="shared" si="7"/>
        <v>1</v>
      </c>
    </row>
    <row r="457" spans="1:5" hidden="1" x14ac:dyDescent="0.25">
      <c r="B457" t="s">
        <v>697</v>
      </c>
      <c r="C457" t="s">
        <v>469</v>
      </c>
      <c r="D457" t="s">
        <v>77</v>
      </c>
      <c r="E457" t="b">
        <f t="shared" si="7"/>
        <v>1</v>
      </c>
    </row>
    <row r="458" spans="1:5" hidden="1" x14ac:dyDescent="0.25">
      <c r="A458" t="s">
        <v>698</v>
      </c>
      <c r="B458" t="s">
        <v>698</v>
      </c>
      <c r="C458" t="s">
        <v>514</v>
      </c>
      <c r="D458" t="s">
        <v>219</v>
      </c>
      <c r="E458" t="b">
        <f t="shared" si="7"/>
        <v>0</v>
      </c>
    </row>
    <row r="459" spans="1:5" hidden="1" x14ac:dyDescent="0.25">
      <c r="A459" t="s">
        <v>214</v>
      </c>
      <c r="B459" t="s">
        <v>435</v>
      </c>
      <c r="C459" t="s">
        <v>455</v>
      </c>
      <c r="D459" t="s">
        <v>219</v>
      </c>
      <c r="E459" t="b">
        <f t="shared" si="7"/>
        <v>0</v>
      </c>
    </row>
    <row r="460" spans="1:5" hidden="1" x14ac:dyDescent="0.25">
      <c r="A460" t="s">
        <v>101</v>
      </c>
      <c r="B460" t="s">
        <v>101</v>
      </c>
      <c r="C460" t="s">
        <v>465</v>
      </c>
      <c r="D460" t="s">
        <v>459</v>
      </c>
      <c r="E460" t="b">
        <f t="shared" si="7"/>
        <v>0</v>
      </c>
    </row>
    <row r="461" spans="1:5" hidden="1" x14ac:dyDescent="0.25">
      <c r="A461" t="s">
        <v>109</v>
      </c>
      <c r="B461" t="s">
        <v>109</v>
      </c>
      <c r="C461" t="s">
        <v>451</v>
      </c>
      <c r="D461" t="s">
        <v>459</v>
      </c>
      <c r="E461" t="b">
        <f t="shared" si="7"/>
        <v>0</v>
      </c>
    </row>
    <row r="462" spans="1:5" hidden="1" x14ac:dyDescent="0.25">
      <c r="A462" t="s">
        <v>153</v>
      </c>
      <c r="B462" t="s">
        <v>153</v>
      </c>
      <c r="C462" t="s">
        <v>498</v>
      </c>
      <c r="D462" t="s">
        <v>219</v>
      </c>
      <c r="E462" t="b">
        <f t="shared" si="7"/>
        <v>0</v>
      </c>
    </row>
    <row r="463" spans="1:5" hidden="1" x14ac:dyDescent="0.25">
      <c r="B463" t="s">
        <v>699</v>
      </c>
      <c r="C463" t="s">
        <v>465</v>
      </c>
      <c r="D463" t="s">
        <v>77</v>
      </c>
      <c r="E463" t="b">
        <f t="shared" si="7"/>
        <v>1</v>
      </c>
    </row>
    <row r="464" spans="1:5" hidden="1" x14ac:dyDescent="0.25">
      <c r="A464" t="s">
        <v>306</v>
      </c>
      <c r="B464" t="s">
        <v>306</v>
      </c>
      <c r="C464" t="s">
        <v>514</v>
      </c>
      <c r="D464" t="s">
        <v>89</v>
      </c>
      <c r="E464" t="b">
        <f t="shared" si="7"/>
        <v>0</v>
      </c>
    </row>
    <row r="465" spans="1:5" hidden="1" x14ac:dyDescent="0.25">
      <c r="A465" t="s">
        <v>446</v>
      </c>
      <c r="B465" t="s">
        <v>446</v>
      </c>
      <c r="C465" t="s">
        <v>514</v>
      </c>
      <c r="D465" t="s">
        <v>459</v>
      </c>
      <c r="E465" t="b">
        <f t="shared" si="7"/>
        <v>0</v>
      </c>
    </row>
    <row r="466" spans="1:5" hidden="1" x14ac:dyDescent="0.25">
      <c r="A466" t="s">
        <v>784</v>
      </c>
      <c r="B466" t="s">
        <v>446</v>
      </c>
      <c r="C466" t="s">
        <v>455</v>
      </c>
      <c r="D466" t="s">
        <v>89</v>
      </c>
      <c r="E466" t="b">
        <f t="shared" si="7"/>
        <v>0</v>
      </c>
    </row>
    <row r="467" spans="1:5" hidden="1" x14ac:dyDescent="0.25">
      <c r="A467" t="s">
        <v>770</v>
      </c>
      <c r="B467" t="s">
        <v>700</v>
      </c>
      <c r="C467" t="s">
        <v>451</v>
      </c>
      <c r="D467" t="s">
        <v>219</v>
      </c>
      <c r="E467" t="b">
        <f t="shared" si="7"/>
        <v>0</v>
      </c>
    </row>
    <row r="468" spans="1:5" hidden="1" x14ac:dyDescent="0.25">
      <c r="A468" t="s">
        <v>50</v>
      </c>
      <c r="B468" t="s">
        <v>50</v>
      </c>
      <c r="C468" t="s">
        <v>448</v>
      </c>
      <c r="D468" t="s">
        <v>89</v>
      </c>
      <c r="E468" t="b">
        <f t="shared" si="7"/>
        <v>0</v>
      </c>
    </row>
    <row r="469" spans="1:5" hidden="1" x14ac:dyDescent="0.25">
      <c r="A469" t="s">
        <v>775</v>
      </c>
      <c r="B469" t="s">
        <v>701</v>
      </c>
      <c r="C469" t="s">
        <v>498</v>
      </c>
      <c r="D469" t="s">
        <v>459</v>
      </c>
      <c r="E469" t="b">
        <f t="shared" si="7"/>
        <v>0</v>
      </c>
    </row>
    <row r="470" spans="1:5" hidden="1" x14ac:dyDescent="0.25">
      <c r="A470" t="s">
        <v>321</v>
      </c>
      <c r="B470" t="s">
        <v>399</v>
      </c>
      <c r="C470" t="s">
        <v>514</v>
      </c>
      <c r="D470" t="s">
        <v>219</v>
      </c>
      <c r="E470" t="b">
        <f t="shared" si="7"/>
        <v>0</v>
      </c>
    </row>
    <row r="471" spans="1:5" hidden="1" x14ac:dyDescent="0.25">
      <c r="A471" t="s">
        <v>187</v>
      </c>
      <c r="B471" t="s">
        <v>399</v>
      </c>
      <c r="C471" t="s">
        <v>461</v>
      </c>
      <c r="D471" t="s">
        <v>89</v>
      </c>
      <c r="E471" t="b">
        <f t="shared" si="7"/>
        <v>0</v>
      </c>
    </row>
    <row r="472" spans="1:5" hidden="1" x14ac:dyDescent="0.25">
      <c r="A472" t="s">
        <v>790</v>
      </c>
      <c r="B472" t="s">
        <v>702</v>
      </c>
      <c r="C472" t="s">
        <v>449</v>
      </c>
      <c r="D472" t="s">
        <v>89</v>
      </c>
      <c r="E472" t="b">
        <f t="shared" si="7"/>
        <v>0</v>
      </c>
    </row>
    <row r="473" spans="1:5" hidden="1" x14ac:dyDescent="0.25">
      <c r="A473" t="s">
        <v>240</v>
      </c>
      <c r="B473" t="s">
        <v>240</v>
      </c>
      <c r="C473" t="s">
        <v>472</v>
      </c>
      <c r="D473" t="s">
        <v>219</v>
      </c>
      <c r="E473" t="b">
        <f t="shared" si="7"/>
        <v>0</v>
      </c>
    </row>
    <row r="474" spans="1:5" hidden="1" x14ac:dyDescent="0.25">
      <c r="A474" t="s">
        <v>37</v>
      </c>
      <c r="B474" t="s">
        <v>703</v>
      </c>
      <c r="C474" t="s">
        <v>472</v>
      </c>
      <c r="D474" t="s">
        <v>459</v>
      </c>
      <c r="E474" t="b">
        <f t="shared" si="7"/>
        <v>0</v>
      </c>
    </row>
    <row r="475" spans="1:5" hidden="1" x14ac:dyDescent="0.25">
      <c r="A475" t="s">
        <v>284</v>
      </c>
      <c r="B475" t="s">
        <v>704</v>
      </c>
      <c r="C475" t="s">
        <v>474</v>
      </c>
      <c r="D475" t="s">
        <v>77</v>
      </c>
      <c r="E475" t="b">
        <f t="shared" si="7"/>
        <v>0</v>
      </c>
    </row>
    <row r="476" spans="1:5" hidden="1" x14ac:dyDescent="0.25">
      <c r="B476" t="s">
        <v>705</v>
      </c>
      <c r="C476" t="s">
        <v>465</v>
      </c>
      <c r="D476" t="s">
        <v>219</v>
      </c>
      <c r="E476" t="b">
        <f t="shared" si="7"/>
        <v>1</v>
      </c>
    </row>
    <row r="477" spans="1:5" hidden="1" x14ac:dyDescent="0.25">
      <c r="A477" t="s">
        <v>304</v>
      </c>
      <c r="B477" t="s">
        <v>709</v>
      </c>
      <c r="C477" t="s">
        <v>485</v>
      </c>
      <c r="D477" t="s">
        <v>77</v>
      </c>
      <c r="E477" t="b">
        <f t="shared" si="7"/>
        <v>0</v>
      </c>
    </row>
    <row r="478" spans="1:5" hidden="1" x14ac:dyDescent="0.25">
      <c r="B478" t="s">
        <v>706</v>
      </c>
      <c r="C478" t="s">
        <v>514</v>
      </c>
      <c r="D478" t="s">
        <v>459</v>
      </c>
      <c r="E478" t="b">
        <f t="shared" si="7"/>
        <v>1</v>
      </c>
    </row>
    <row r="479" spans="1:5" hidden="1" x14ac:dyDescent="0.25">
      <c r="A479" t="s">
        <v>39</v>
      </c>
      <c r="B479" t="s">
        <v>420</v>
      </c>
      <c r="C479" t="s">
        <v>448</v>
      </c>
      <c r="D479" t="s">
        <v>219</v>
      </c>
      <c r="E479" t="b">
        <f t="shared" si="7"/>
        <v>0</v>
      </c>
    </row>
    <row r="480" spans="1:5" hidden="1" x14ac:dyDescent="0.25">
      <c r="A480" t="s">
        <v>440</v>
      </c>
      <c r="B480" t="s">
        <v>707</v>
      </c>
      <c r="C480" t="s">
        <v>498</v>
      </c>
      <c r="D480" t="s">
        <v>219</v>
      </c>
      <c r="E480" t="b">
        <f t="shared" si="7"/>
        <v>0</v>
      </c>
    </row>
    <row r="481" spans="1:5" hidden="1" x14ac:dyDescent="0.25">
      <c r="A481" t="s">
        <v>100</v>
      </c>
      <c r="B481" t="s">
        <v>100</v>
      </c>
      <c r="C481" t="s">
        <v>488</v>
      </c>
      <c r="D481" t="s">
        <v>219</v>
      </c>
      <c r="E481" t="b">
        <f t="shared" si="7"/>
        <v>0</v>
      </c>
    </row>
    <row r="482" spans="1:5" hidden="1" x14ac:dyDescent="0.25">
      <c r="B482" t="s">
        <v>708</v>
      </c>
      <c r="C482" t="s">
        <v>451</v>
      </c>
      <c r="D482" t="s">
        <v>89</v>
      </c>
      <c r="E482" t="b">
        <f t="shared" si="7"/>
        <v>1</v>
      </c>
    </row>
    <row r="483" spans="1:5" hidden="1" x14ac:dyDescent="0.25">
      <c r="A483" t="s">
        <v>322</v>
      </c>
      <c r="B483" t="s">
        <v>322</v>
      </c>
      <c r="C483" t="s">
        <v>496</v>
      </c>
      <c r="D483" t="s">
        <v>77</v>
      </c>
      <c r="E483" t="b">
        <f t="shared" si="7"/>
        <v>0</v>
      </c>
    </row>
    <row r="484" spans="1:5" hidden="1" x14ac:dyDescent="0.25">
      <c r="B484" t="s">
        <v>710</v>
      </c>
      <c r="C484" t="s">
        <v>451</v>
      </c>
      <c r="D484" t="s">
        <v>459</v>
      </c>
      <c r="E484" t="b">
        <f t="shared" si="7"/>
        <v>1</v>
      </c>
    </row>
    <row r="485" spans="1:5" hidden="1" x14ac:dyDescent="0.25">
      <c r="A485" t="s">
        <v>182</v>
      </c>
      <c r="B485" t="s">
        <v>711</v>
      </c>
      <c r="C485" t="s">
        <v>474</v>
      </c>
      <c r="D485" t="s">
        <v>219</v>
      </c>
      <c r="E485" t="b">
        <f t="shared" si="7"/>
        <v>0</v>
      </c>
    </row>
    <row r="486" spans="1:5" hidden="1" x14ac:dyDescent="0.25">
      <c r="B486" t="s">
        <v>712</v>
      </c>
      <c r="C486" t="s">
        <v>469</v>
      </c>
      <c r="D486" t="s">
        <v>89</v>
      </c>
      <c r="E486" t="b">
        <f t="shared" si="7"/>
        <v>1</v>
      </c>
    </row>
    <row r="487" spans="1:5" hidden="1" x14ac:dyDescent="0.25">
      <c r="B487" t="s">
        <v>713</v>
      </c>
      <c r="C487" t="s">
        <v>514</v>
      </c>
      <c r="D487" t="s">
        <v>219</v>
      </c>
      <c r="E487" t="b">
        <f t="shared" si="7"/>
        <v>1</v>
      </c>
    </row>
    <row r="488" spans="1:5" hidden="1" x14ac:dyDescent="0.25">
      <c r="A488" t="s">
        <v>776</v>
      </c>
      <c r="B488" t="s">
        <v>714</v>
      </c>
      <c r="C488" t="s">
        <v>488</v>
      </c>
      <c r="D488" t="s">
        <v>77</v>
      </c>
      <c r="E488" t="b">
        <f t="shared" si="7"/>
        <v>0</v>
      </c>
    </row>
    <row r="489" spans="1:5" hidden="1" x14ac:dyDescent="0.25">
      <c r="A489" t="s">
        <v>761</v>
      </c>
      <c r="B489" t="s">
        <v>716</v>
      </c>
      <c r="C489" t="s">
        <v>453</v>
      </c>
      <c r="D489" t="s">
        <v>459</v>
      </c>
      <c r="E489" t="b">
        <f t="shared" si="7"/>
        <v>0</v>
      </c>
    </row>
    <row r="490" spans="1:5" hidden="1" x14ac:dyDescent="0.25">
      <c r="B490" t="s">
        <v>715</v>
      </c>
      <c r="C490" t="s">
        <v>464</v>
      </c>
      <c r="D490" t="s">
        <v>459</v>
      </c>
      <c r="E490" t="b">
        <f t="shared" si="7"/>
        <v>1</v>
      </c>
    </row>
    <row r="491" spans="1:5" hidden="1" x14ac:dyDescent="0.25">
      <c r="B491" t="s">
        <v>717</v>
      </c>
      <c r="C491" t="s">
        <v>480</v>
      </c>
      <c r="D491" t="s">
        <v>459</v>
      </c>
      <c r="E491" t="b">
        <f t="shared" si="7"/>
        <v>1</v>
      </c>
    </row>
    <row r="492" spans="1:5" hidden="1" x14ac:dyDescent="0.25">
      <c r="B492" t="s">
        <v>718</v>
      </c>
      <c r="C492" t="s">
        <v>456</v>
      </c>
      <c r="D492" t="s">
        <v>89</v>
      </c>
      <c r="E492" t="b">
        <f t="shared" si="7"/>
        <v>1</v>
      </c>
    </row>
    <row r="493" spans="1:5" hidden="1" x14ac:dyDescent="0.25">
      <c r="A493" t="s">
        <v>194</v>
      </c>
      <c r="B493" t="s">
        <v>407</v>
      </c>
      <c r="C493" t="s">
        <v>480</v>
      </c>
      <c r="D493" t="s">
        <v>89</v>
      </c>
      <c r="E493" t="b">
        <f t="shared" si="7"/>
        <v>0</v>
      </c>
    </row>
    <row r="494" spans="1:5" hidden="1" x14ac:dyDescent="0.25">
      <c r="B494" t="s">
        <v>719</v>
      </c>
      <c r="C494" t="s">
        <v>465</v>
      </c>
      <c r="D494" t="s">
        <v>459</v>
      </c>
      <c r="E494" t="b">
        <f t="shared" si="7"/>
        <v>1</v>
      </c>
    </row>
    <row r="495" spans="1:5" hidden="1" x14ac:dyDescent="0.25">
      <c r="A495" t="s">
        <v>160</v>
      </c>
      <c r="B495" t="s">
        <v>345</v>
      </c>
      <c r="C495" t="s">
        <v>469</v>
      </c>
      <c r="D495" t="s">
        <v>219</v>
      </c>
      <c r="E495" t="b">
        <f t="shared" si="7"/>
        <v>0</v>
      </c>
    </row>
    <row r="496" spans="1:5" hidden="1" x14ac:dyDescent="0.25">
      <c r="A496" t="s">
        <v>258</v>
      </c>
      <c r="B496" t="s">
        <v>408</v>
      </c>
      <c r="C496" t="s">
        <v>448</v>
      </c>
      <c r="D496" t="s">
        <v>77</v>
      </c>
      <c r="E496" t="b">
        <f t="shared" si="7"/>
        <v>0</v>
      </c>
    </row>
    <row r="497" spans="1:5" hidden="1" x14ac:dyDescent="0.25">
      <c r="B497" t="s">
        <v>720</v>
      </c>
      <c r="C497" t="s">
        <v>480</v>
      </c>
      <c r="D497" t="s">
        <v>89</v>
      </c>
      <c r="E497" t="b">
        <f t="shared" si="7"/>
        <v>1</v>
      </c>
    </row>
    <row r="498" spans="1:5" hidden="1" x14ac:dyDescent="0.25">
      <c r="A498" t="s">
        <v>206</v>
      </c>
      <c r="B498" t="s">
        <v>206</v>
      </c>
      <c r="C498" t="s">
        <v>449</v>
      </c>
      <c r="D498" t="s">
        <v>459</v>
      </c>
      <c r="E498" t="b">
        <f t="shared" si="7"/>
        <v>0</v>
      </c>
    </row>
    <row r="499" spans="1:5" hidden="1" x14ac:dyDescent="0.25">
      <c r="A499" t="s">
        <v>137</v>
      </c>
      <c r="B499" t="s">
        <v>137</v>
      </c>
      <c r="C499" t="s">
        <v>485</v>
      </c>
      <c r="D499" t="s">
        <v>77</v>
      </c>
      <c r="E499" t="b">
        <f t="shared" si="7"/>
        <v>0</v>
      </c>
    </row>
    <row r="500" spans="1:5" hidden="1" x14ac:dyDescent="0.25">
      <c r="A500" t="s">
        <v>259</v>
      </c>
      <c r="B500" t="s">
        <v>722</v>
      </c>
      <c r="C500" t="s">
        <v>455</v>
      </c>
      <c r="D500" t="s">
        <v>459</v>
      </c>
      <c r="E500" t="b">
        <f t="shared" si="7"/>
        <v>0</v>
      </c>
    </row>
    <row r="501" spans="1:5" hidden="1" x14ac:dyDescent="0.25">
      <c r="B501" t="s">
        <v>721</v>
      </c>
      <c r="C501" t="s">
        <v>474</v>
      </c>
      <c r="D501" t="s">
        <v>89</v>
      </c>
      <c r="E501" t="b">
        <f t="shared" si="7"/>
        <v>1</v>
      </c>
    </row>
    <row r="502" spans="1:5" hidden="1" x14ac:dyDescent="0.25">
      <c r="A502" t="s">
        <v>255</v>
      </c>
      <c r="B502" t="s">
        <v>370</v>
      </c>
      <c r="C502" t="s">
        <v>456</v>
      </c>
      <c r="D502" t="s">
        <v>77</v>
      </c>
      <c r="E502" t="b">
        <f t="shared" si="7"/>
        <v>0</v>
      </c>
    </row>
    <row r="503" spans="1:5" hidden="1" x14ac:dyDescent="0.25">
      <c r="B503" t="s">
        <v>725</v>
      </c>
      <c r="C503" t="s">
        <v>488</v>
      </c>
      <c r="D503" t="s">
        <v>89</v>
      </c>
      <c r="E503" t="b">
        <f t="shared" si="7"/>
        <v>1</v>
      </c>
    </row>
    <row r="504" spans="1:5" hidden="1" x14ac:dyDescent="0.25">
      <c r="A504" t="s">
        <v>771</v>
      </c>
      <c r="B504" t="s">
        <v>723</v>
      </c>
      <c r="C504" t="s">
        <v>498</v>
      </c>
      <c r="D504" t="s">
        <v>459</v>
      </c>
      <c r="E504" t="b">
        <f t="shared" si="7"/>
        <v>0</v>
      </c>
    </row>
    <row r="505" spans="1:5" hidden="1" x14ac:dyDescent="0.25">
      <c r="A505" t="s">
        <v>132</v>
      </c>
      <c r="B505" t="s">
        <v>132</v>
      </c>
      <c r="C505" t="s">
        <v>461</v>
      </c>
      <c r="D505" t="s">
        <v>459</v>
      </c>
      <c r="E505" t="b">
        <f t="shared" si="7"/>
        <v>0</v>
      </c>
    </row>
    <row r="506" spans="1:5" hidden="1" x14ac:dyDescent="0.25">
      <c r="A506" t="s">
        <v>53</v>
      </c>
      <c r="B506" t="s">
        <v>53</v>
      </c>
      <c r="C506" t="s">
        <v>498</v>
      </c>
      <c r="D506" t="s">
        <v>219</v>
      </c>
      <c r="E506" t="b">
        <f t="shared" si="7"/>
        <v>0</v>
      </c>
    </row>
    <row r="507" spans="1:5" hidden="1" x14ac:dyDescent="0.25">
      <c r="A507" t="s">
        <v>30</v>
      </c>
      <c r="B507" t="s">
        <v>30</v>
      </c>
      <c r="C507" t="s">
        <v>455</v>
      </c>
      <c r="D507" t="s">
        <v>89</v>
      </c>
      <c r="E507" t="b">
        <f t="shared" si="7"/>
        <v>0</v>
      </c>
    </row>
    <row r="508" spans="1:5" hidden="1" x14ac:dyDescent="0.25">
      <c r="A508" t="s">
        <v>296</v>
      </c>
      <c r="B508" t="s">
        <v>296</v>
      </c>
      <c r="C508" t="s">
        <v>461</v>
      </c>
      <c r="D508" t="s">
        <v>219</v>
      </c>
      <c r="E508" t="b">
        <f t="shared" si="7"/>
        <v>0</v>
      </c>
    </row>
    <row r="509" spans="1:5" hidden="1" x14ac:dyDescent="0.25">
      <c r="A509" t="s">
        <v>185</v>
      </c>
      <c r="B509" t="s">
        <v>185</v>
      </c>
      <c r="C509" t="s">
        <v>469</v>
      </c>
      <c r="D509" t="s">
        <v>459</v>
      </c>
      <c r="E509" t="b">
        <f t="shared" si="7"/>
        <v>0</v>
      </c>
    </row>
    <row r="510" spans="1:5" hidden="1" x14ac:dyDescent="0.25">
      <c r="A510" t="s">
        <v>193</v>
      </c>
      <c r="B510" t="s">
        <v>424</v>
      </c>
      <c r="C510" t="s">
        <v>498</v>
      </c>
      <c r="D510" t="s">
        <v>459</v>
      </c>
      <c r="E510" t="b">
        <f t="shared" si="7"/>
        <v>0</v>
      </c>
    </row>
    <row r="511" spans="1:5" hidden="1" x14ac:dyDescent="0.25">
      <c r="A511" t="s">
        <v>724</v>
      </c>
      <c r="B511" t="s">
        <v>724</v>
      </c>
      <c r="C511" t="s">
        <v>447</v>
      </c>
      <c r="D511" t="s">
        <v>77</v>
      </c>
      <c r="E511" t="b">
        <f t="shared" si="7"/>
        <v>0</v>
      </c>
    </row>
    <row r="512" spans="1:5" hidden="1" x14ac:dyDescent="0.25">
      <c r="A512" t="s">
        <v>202</v>
      </c>
      <c r="B512" t="s">
        <v>734</v>
      </c>
      <c r="C512" t="s">
        <v>465</v>
      </c>
      <c r="D512" t="s">
        <v>219</v>
      </c>
      <c r="E512" t="b">
        <f t="shared" si="7"/>
        <v>0</v>
      </c>
    </row>
    <row r="513" spans="1:5" hidden="1" x14ac:dyDescent="0.25">
      <c r="B513" t="s">
        <v>726</v>
      </c>
      <c r="C513" t="s">
        <v>488</v>
      </c>
      <c r="D513" t="s">
        <v>459</v>
      </c>
      <c r="E513" t="b">
        <f t="shared" si="7"/>
        <v>1</v>
      </c>
    </row>
    <row r="514" spans="1:5" hidden="1" x14ac:dyDescent="0.25">
      <c r="A514" t="s">
        <v>196</v>
      </c>
      <c r="B514" t="s">
        <v>342</v>
      </c>
      <c r="C514" t="s">
        <v>448</v>
      </c>
      <c r="D514" t="s">
        <v>459</v>
      </c>
      <c r="E514" t="b">
        <f t="shared" ref="E514:E564" si="8">OR(ISBLANK(B514),ISBLANK(A514))</f>
        <v>0</v>
      </c>
    </row>
    <row r="515" spans="1:5" hidden="1" x14ac:dyDescent="0.25">
      <c r="A515" t="s">
        <v>288</v>
      </c>
      <c r="B515" t="s">
        <v>288</v>
      </c>
      <c r="C515" t="s">
        <v>485</v>
      </c>
      <c r="D515" t="s">
        <v>219</v>
      </c>
      <c r="E515" t="b">
        <f t="shared" si="8"/>
        <v>0</v>
      </c>
    </row>
    <row r="516" spans="1:5" hidden="1" x14ac:dyDescent="0.25">
      <c r="B516" t="s">
        <v>727</v>
      </c>
      <c r="C516" t="s">
        <v>474</v>
      </c>
      <c r="D516" t="s">
        <v>77</v>
      </c>
      <c r="E516" t="b">
        <f t="shared" si="8"/>
        <v>1</v>
      </c>
    </row>
    <row r="517" spans="1:5" hidden="1" x14ac:dyDescent="0.25">
      <c r="A517" t="s">
        <v>84</v>
      </c>
      <c r="B517" t="s">
        <v>84</v>
      </c>
      <c r="C517" t="s">
        <v>514</v>
      </c>
      <c r="D517" t="s">
        <v>459</v>
      </c>
      <c r="E517" t="b">
        <f t="shared" si="8"/>
        <v>0</v>
      </c>
    </row>
    <row r="518" spans="1:5" hidden="1" x14ac:dyDescent="0.25">
      <c r="B518" t="s">
        <v>728</v>
      </c>
      <c r="C518" t="s">
        <v>469</v>
      </c>
      <c r="D518" t="s">
        <v>77</v>
      </c>
      <c r="E518" t="b">
        <f t="shared" si="8"/>
        <v>1</v>
      </c>
    </row>
    <row r="519" spans="1:5" hidden="1" x14ac:dyDescent="0.25">
      <c r="B519" t="s">
        <v>729</v>
      </c>
      <c r="C519" t="s">
        <v>448</v>
      </c>
      <c r="D519" t="s">
        <v>459</v>
      </c>
      <c r="E519" t="b">
        <f t="shared" si="8"/>
        <v>1</v>
      </c>
    </row>
    <row r="520" spans="1:5" hidden="1" x14ac:dyDescent="0.25">
      <c r="A520" t="s">
        <v>46</v>
      </c>
      <c r="B520" t="s">
        <v>383</v>
      </c>
      <c r="C520" t="s">
        <v>465</v>
      </c>
      <c r="D520" t="s">
        <v>219</v>
      </c>
      <c r="E520" t="b">
        <f t="shared" si="8"/>
        <v>0</v>
      </c>
    </row>
    <row r="521" spans="1:5" hidden="1" x14ac:dyDescent="0.25">
      <c r="A521" t="s">
        <v>223</v>
      </c>
      <c r="B521" t="s">
        <v>422</v>
      </c>
      <c r="C521" t="s">
        <v>474</v>
      </c>
      <c r="D521" t="s">
        <v>459</v>
      </c>
      <c r="E521" t="b">
        <f t="shared" si="8"/>
        <v>0</v>
      </c>
    </row>
    <row r="522" spans="1:5" hidden="1" x14ac:dyDescent="0.25">
      <c r="A522" t="s">
        <v>315</v>
      </c>
      <c r="B522" t="s">
        <v>730</v>
      </c>
      <c r="C522" t="s">
        <v>496</v>
      </c>
      <c r="D522" t="s">
        <v>219</v>
      </c>
      <c r="E522" t="b">
        <f t="shared" si="8"/>
        <v>0</v>
      </c>
    </row>
    <row r="523" spans="1:5" hidden="1" x14ac:dyDescent="0.25">
      <c r="B523" t="s">
        <v>731</v>
      </c>
      <c r="C523" t="s">
        <v>447</v>
      </c>
      <c r="D523" t="s">
        <v>89</v>
      </c>
      <c r="E523" t="b">
        <f t="shared" si="8"/>
        <v>1</v>
      </c>
    </row>
    <row r="524" spans="1:5" hidden="1" x14ac:dyDescent="0.25">
      <c r="A524" t="s">
        <v>264</v>
      </c>
      <c r="B524" t="s">
        <v>421</v>
      </c>
      <c r="C524" t="s">
        <v>485</v>
      </c>
      <c r="D524" t="s">
        <v>89</v>
      </c>
      <c r="E524" t="b">
        <f t="shared" si="8"/>
        <v>0</v>
      </c>
    </row>
    <row r="525" spans="1:5" hidden="1" x14ac:dyDescent="0.25">
      <c r="A525" t="s">
        <v>86</v>
      </c>
      <c r="B525" t="s">
        <v>732</v>
      </c>
      <c r="C525" t="s">
        <v>472</v>
      </c>
      <c r="D525" t="s">
        <v>459</v>
      </c>
      <c r="E525" t="b">
        <f t="shared" si="8"/>
        <v>0</v>
      </c>
    </row>
    <row r="526" spans="1:5" hidden="1" x14ac:dyDescent="0.25">
      <c r="A526" t="s">
        <v>79</v>
      </c>
      <c r="B526" t="s">
        <v>79</v>
      </c>
      <c r="C526" t="s">
        <v>469</v>
      </c>
      <c r="D526" t="s">
        <v>219</v>
      </c>
      <c r="E526" t="b">
        <f t="shared" si="8"/>
        <v>0</v>
      </c>
    </row>
    <row r="527" spans="1:5" hidden="1" x14ac:dyDescent="0.25">
      <c r="A527" t="s">
        <v>133</v>
      </c>
      <c r="B527" t="s">
        <v>133</v>
      </c>
      <c r="C527" t="s">
        <v>464</v>
      </c>
      <c r="D527" t="s">
        <v>459</v>
      </c>
      <c r="E527" t="b">
        <f t="shared" si="8"/>
        <v>0</v>
      </c>
    </row>
    <row r="528" spans="1:5" hidden="1" x14ac:dyDescent="0.25">
      <c r="A528" t="s">
        <v>63</v>
      </c>
      <c r="B528" t="s">
        <v>63</v>
      </c>
      <c r="C528" t="s">
        <v>455</v>
      </c>
      <c r="D528" t="s">
        <v>89</v>
      </c>
      <c r="E528" t="b">
        <f t="shared" si="8"/>
        <v>0</v>
      </c>
    </row>
    <row r="529" spans="1:5" hidden="1" x14ac:dyDescent="0.25">
      <c r="B529" t="s">
        <v>733</v>
      </c>
      <c r="C529" t="s">
        <v>469</v>
      </c>
      <c r="D529" t="s">
        <v>459</v>
      </c>
      <c r="E529" t="b">
        <f t="shared" si="8"/>
        <v>1</v>
      </c>
    </row>
    <row r="530" spans="1:5" hidden="1" x14ac:dyDescent="0.25">
      <c r="A530" t="s">
        <v>333</v>
      </c>
      <c r="B530" t="s">
        <v>333</v>
      </c>
      <c r="C530" t="s">
        <v>456</v>
      </c>
      <c r="D530" t="s">
        <v>459</v>
      </c>
      <c r="E530" t="b">
        <f t="shared" si="8"/>
        <v>0</v>
      </c>
    </row>
    <row r="531" spans="1:5" hidden="1" x14ac:dyDescent="0.25">
      <c r="B531" t="s">
        <v>735</v>
      </c>
      <c r="C531" t="s">
        <v>465</v>
      </c>
      <c r="D531" t="s">
        <v>459</v>
      </c>
      <c r="E531" t="b">
        <f t="shared" si="8"/>
        <v>1</v>
      </c>
    </row>
    <row r="532" spans="1:5" hidden="1" x14ac:dyDescent="0.25">
      <c r="B532" t="s">
        <v>736</v>
      </c>
      <c r="C532" t="s">
        <v>480</v>
      </c>
      <c r="D532" t="s">
        <v>459</v>
      </c>
      <c r="E532" t="b">
        <f t="shared" si="8"/>
        <v>1</v>
      </c>
    </row>
    <row r="533" spans="1:5" hidden="1" x14ac:dyDescent="0.25">
      <c r="A533" t="s">
        <v>769</v>
      </c>
      <c r="B533" t="s">
        <v>737</v>
      </c>
      <c r="C533" t="s">
        <v>464</v>
      </c>
      <c r="D533" t="s">
        <v>459</v>
      </c>
      <c r="E533" t="b">
        <f t="shared" si="8"/>
        <v>0</v>
      </c>
    </row>
    <row r="534" spans="1:5" hidden="1" x14ac:dyDescent="0.25">
      <c r="A534" t="s">
        <v>229</v>
      </c>
      <c r="B534" t="s">
        <v>738</v>
      </c>
      <c r="C534" t="s">
        <v>480</v>
      </c>
      <c r="D534" t="s">
        <v>77</v>
      </c>
      <c r="E534" t="b">
        <f t="shared" si="8"/>
        <v>0</v>
      </c>
    </row>
    <row r="535" spans="1:5" hidden="1" x14ac:dyDescent="0.25">
      <c r="A535" t="s">
        <v>361</v>
      </c>
      <c r="B535" t="s">
        <v>361</v>
      </c>
      <c r="C535" t="s">
        <v>514</v>
      </c>
      <c r="D535" t="s">
        <v>459</v>
      </c>
      <c r="E535" t="b">
        <f t="shared" si="8"/>
        <v>0</v>
      </c>
    </row>
    <row r="536" spans="1:5" hidden="1" x14ac:dyDescent="0.25">
      <c r="A536" t="s">
        <v>786</v>
      </c>
      <c r="B536" t="s">
        <v>739</v>
      </c>
      <c r="C536" t="s">
        <v>464</v>
      </c>
      <c r="D536" t="s">
        <v>459</v>
      </c>
      <c r="E536" t="b">
        <f t="shared" si="8"/>
        <v>0</v>
      </c>
    </row>
    <row r="537" spans="1:5" hidden="1" x14ac:dyDescent="0.25">
      <c r="A537" t="s">
        <v>773</v>
      </c>
      <c r="B537" t="s">
        <v>740</v>
      </c>
      <c r="C537" t="s">
        <v>451</v>
      </c>
      <c r="D537" t="s">
        <v>219</v>
      </c>
      <c r="E537" t="b">
        <f t="shared" si="8"/>
        <v>0</v>
      </c>
    </row>
    <row r="538" spans="1:5" hidden="1" x14ac:dyDescent="0.25">
      <c r="A538" t="s">
        <v>325</v>
      </c>
      <c r="B538" t="s">
        <v>741</v>
      </c>
      <c r="C538" t="s">
        <v>458</v>
      </c>
      <c r="D538" t="s">
        <v>459</v>
      </c>
      <c r="E538" t="b">
        <f t="shared" si="8"/>
        <v>0</v>
      </c>
    </row>
    <row r="539" spans="1:5" hidden="1" x14ac:dyDescent="0.25">
      <c r="A539" t="s">
        <v>197</v>
      </c>
      <c r="B539" t="s">
        <v>197</v>
      </c>
      <c r="C539" t="s">
        <v>453</v>
      </c>
      <c r="D539" t="s">
        <v>219</v>
      </c>
      <c r="E539" t="b">
        <f t="shared" si="8"/>
        <v>0</v>
      </c>
    </row>
    <row r="540" spans="1:5" hidden="1" x14ac:dyDescent="0.25">
      <c r="A540" t="s">
        <v>228</v>
      </c>
      <c r="B540" t="s">
        <v>228</v>
      </c>
      <c r="C540" t="s">
        <v>451</v>
      </c>
      <c r="D540" t="s">
        <v>77</v>
      </c>
      <c r="E540" t="b">
        <f t="shared" si="8"/>
        <v>0</v>
      </c>
    </row>
    <row r="541" spans="1:5" hidden="1" x14ac:dyDescent="0.25">
      <c r="A541" t="s">
        <v>742</v>
      </c>
      <c r="B541" t="s">
        <v>742</v>
      </c>
      <c r="C541" t="s">
        <v>448</v>
      </c>
      <c r="D541" t="s">
        <v>459</v>
      </c>
      <c r="E541" t="b">
        <f t="shared" si="8"/>
        <v>0</v>
      </c>
    </row>
    <row r="542" spans="1:5" hidden="1" x14ac:dyDescent="0.25">
      <c r="A542" t="s">
        <v>85</v>
      </c>
      <c r="B542" t="s">
        <v>85</v>
      </c>
      <c r="C542" t="s">
        <v>455</v>
      </c>
      <c r="D542" t="s">
        <v>459</v>
      </c>
      <c r="E542" t="b">
        <f t="shared" si="8"/>
        <v>0</v>
      </c>
    </row>
    <row r="543" spans="1:5" hidden="1" x14ac:dyDescent="0.25">
      <c r="B543" t="s">
        <v>743</v>
      </c>
      <c r="C543" t="s">
        <v>455</v>
      </c>
      <c r="D543" t="s">
        <v>89</v>
      </c>
      <c r="E543" t="b">
        <f t="shared" si="8"/>
        <v>1</v>
      </c>
    </row>
    <row r="544" spans="1:5" hidden="1" x14ac:dyDescent="0.25">
      <c r="A544" t="s">
        <v>301</v>
      </c>
      <c r="B544" t="s">
        <v>301</v>
      </c>
      <c r="C544" t="s">
        <v>461</v>
      </c>
      <c r="D544" t="s">
        <v>89</v>
      </c>
      <c r="E544" t="b">
        <f t="shared" si="8"/>
        <v>0</v>
      </c>
    </row>
    <row r="545" spans="1:5" hidden="1" x14ac:dyDescent="0.25">
      <c r="A545" t="s">
        <v>430</v>
      </c>
      <c r="B545" t="s">
        <v>430</v>
      </c>
      <c r="C545" t="s">
        <v>474</v>
      </c>
      <c r="D545" t="s">
        <v>219</v>
      </c>
      <c r="E545" t="b">
        <f t="shared" si="8"/>
        <v>0</v>
      </c>
    </row>
    <row r="546" spans="1:5" hidden="1" x14ac:dyDescent="0.25">
      <c r="A546" t="s">
        <v>744</v>
      </c>
      <c r="B546" t="s">
        <v>744</v>
      </c>
      <c r="C546" t="s">
        <v>496</v>
      </c>
      <c r="D546" t="s">
        <v>459</v>
      </c>
      <c r="E546" t="b">
        <f t="shared" si="8"/>
        <v>0</v>
      </c>
    </row>
    <row r="547" spans="1:5" hidden="1" x14ac:dyDescent="0.25">
      <c r="A547" t="s">
        <v>431</v>
      </c>
      <c r="B547" t="s">
        <v>431</v>
      </c>
      <c r="C547" t="s">
        <v>464</v>
      </c>
      <c r="D547" t="s">
        <v>219</v>
      </c>
      <c r="E547" t="b">
        <f t="shared" si="8"/>
        <v>0</v>
      </c>
    </row>
    <row r="548" spans="1:5" hidden="1" x14ac:dyDescent="0.25">
      <c r="B548" t="s">
        <v>745</v>
      </c>
      <c r="C548" t="s">
        <v>480</v>
      </c>
      <c r="D548" t="s">
        <v>459</v>
      </c>
      <c r="E548" t="b">
        <f t="shared" si="8"/>
        <v>1</v>
      </c>
    </row>
    <row r="549" spans="1:5" hidden="1" x14ac:dyDescent="0.25">
      <c r="B549" t="s">
        <v>746</v>
      </c>
      <c r="C549" t="s">
        <v>465</v>
      </c>
      <c r="D549" t="s">
        <v>77</v>
      </c>
      <c r="E549" t="b">
        <f t="shared" si="8"/>
        <v>1</v>
      </c>
    </row>
    <row r="550" spans="1:5" hidden="1" x14ac:dyDescent="0.25">
      <c r="B550" t="s">
        <v>749</v>
      </c>
      <c r="C550" t="s">
        <v>496</v>
      </c>
      <c r="D550" t="s">
        <v>219</v>
      </c>
      <c r="E550" t="b">
        <f t="shared" si="8"/>
        <v>1</v>
      </c>
    </row>
    <row r="551" spans="1:5" hidden="1" x14ac:dyDescent="0.25">
      <c r="A551" t="s">
        <v>270</v>
      </c>
      <c r="B551" t="s">
        <v>423</v>
      </c>
      <c r="C551" t="s">
        <v>472</v>
      </c>
      <c r="D551" t="s">
        <v>89</v>
      </c>
      <c r="E551" t="b">
        <f t="shared" si="8"/>
        <v>0</v>
      </c>
    </row>
    <row r="552" spans="1:5" hidden="1" x14ac:dyDescent="0.25">
      <c r="A552" t="s">
        <v>764</v>
      </c>
      <c r="B552" t="s">
        <v>747</v>
      </c>
      <c r="C552" t="s">
        <v>448</v>
      </c>
      <c r="D552" t="s">
        <v>89</v>
      </c>
      <c r="E552" t="b">
        <f t="shared" si="8"/>
        <v>0</v>
      </c>
    </row>
    <row r="553" spans="1:5" hidden="1" x14ac:dyDescent="0.25">
      <c r="A553" t="s">
        <v>261</v>
      </c>
      <c r="B553" t="s">
        <v>261</v>
      </c>
      <c r="C553" t="s">
        <v>449</v>
      </c>
      <c r="D553" t="s">
        <v>89</v>
      </c>
      <c r="E553" t="b">
        <f t="shared" si="8"/>
        <v>0</v>
      </c>
    </row>
    <row r="554" spans="1:5" hidden="1" x14ac:dyDescent="0.25">
      <c r="A554" t="s">
        <v>293</v>
      </c>
      <c r="B554" t="s">
        <v>400</v>
      </c>
      <c r="C554" t="s">
        <v>453</v>
      </c>
      <c r="D554" t="s">
        <v>89</v>
      </c>
      <c r="E554" t="b">
        <f t="shared" si="8"/>
        <v>0</v>
      </c>
    </row>
    <row r="555" spans="1:5" hidden="1" x14ac:dyDescent="0.25">
      <c r="A555" t="s">
        <v>317</v>
      </c>
      <c r="B555" t="s">
        <v>317</v>
      </c>
      <c r="C555" t="s">
        <v>455</v>
      </c>
      <c r="D555" t="s">
        <v>219</v>
      </c>
      <c r="E555" t="b">
        <f t="shared" si="8"/>
        <v>0</v>
      </c>
    </row>
    <row r="556" spans="1:5" hidden="1" x14ac:dyDescent="0.25">
      <c r="A556" t="s">
        <v>213</v>
      </c>
      <c r="B556" t="s">
        <v>213</v>
      </c>
      <c r="C556" t="s">
        <v>480</v>
      </c>
      <c r="D556" t="s">
        <v>219</v>
      </c>
      <c r="E556" t="b">
        <f t="shared" si="8"/>
        <v>0</v>
      </c>
    </row>
    <row r="557" spans="1:5" hidden="1" x14ac:dyDescent="0.25">
      <c r="A557" t="s">
        <v>748</v>
      </c>
      <c r="B557" t="s">
        <v>748</v>
      </c>
      <c r="C557" t="s">
        <v>461</v>
      </c>
      <c r="D557" t="s">
        <v>77</v>
      </c>
      <c r="E557" t="b">
        <f t="shared" si="8"/>
        <v>0</v>
      </c>
    </row>
    <row r="558" spans="1:5" hidden="1" x14ac:dyDescent="0.25">
      <c r="A558" t="s">
        <v>750</v>
      </c>
      <c r="B558" t="s">
        <v>750</v>
      </c>
      <c r="C558" t="s">
        <v>455</v>
      </c>
      <c r="D558" t="s">
        <v>459</v>
      </c>
      <c r="E558" t="b">
        <f t="shared" si="8"/>
        <v>0</v>
      </c>
    </row>
    <row r="559" spans="1:5" hidden="1" x14ac:dyDescent="0.25">
      <c r="A559" t="s">
        <v>267</v>
      </c>
      <c r="B559" t="s">
        <v>751</v>
      </c>
      <c r="C559" t="s">
        <v>447</v>
      </c>
      <c r="D559" t="s">
        <v>89</v>
      </c>
      <c r="E559" t="b">
        <f t="shared" si="8"/>
        <v>0</v>
      </c>
    </row>
    <row r="560" spans="1:5" hidden="1" x14ac:dyDescent="0.25">
      <c r="B560" t="s">
        <v>752</v>
      </c>
      <c r="C560" t="s">
        <v>485</v>
      </c>
      <c r="D560" t="s">
        <v>219</v>
      </c>
      <c r="E560" t="b">
        <f t="shared" si="8"/>
        <v>1</v>
      </c>
    </row>
    <row r="561" spans="1:5" hidden="1" x14ac:dyDescent="0.25">
      <c r="A561" t="s">
        <v>126</v>
      </c>
      <c r="B561" t="s">
        <v>126</v>
      </c>
      <c r="C561" t="s">
        <v>480</v>
      </c>
      <c r="D561" t="s">
        <v>219</v>
      </c>
      <c r="E561" t="b">
        <f t="shared" si="8"/>
        <v>0</v>
      </c>
    </row>
    <row r="562" spans="1:5" hidden="1" x14ac:dyDescent="0.25">
      <c r="A562" t="s">
        <v>167</v>
      </c>
      <c r="B562" t="s">
        <v>167</v>
      </c>
      <c r="C562" t="s">
        <v>469</v>
      </c>
      <c r="D562" t="s">
        <v>459</v>
      </c>
      <c r="E562" t="b">
        <f t="shared" si="8"/>
        <v>0</v>
      </c>
    </row>
    <row r="563" spans="1:5" hidden="1" x14ac:dyDescent="0.25">
      <c r="A563" t="s">
        <v>114</v>
      </c>
      <c r="B563" t="s">
        <v>114</v>
      </c>
      <c r="C563" t="s">
        <v>469</v>
      </c>
      <c r="D563" t="s">
        <v>219</v>
      </c>
      <c r="E563" t="b">
        <f t="shared" si="8"/>
        <v>0</v>
      </c>
    </row>
    <row r="564" spans="1:5" hidden="1" x14ac:dyDescent="0.25">
      <c r="A564" t="s">
        <v>122</v>
      </c>
      <c r="B564" t="s">
        <v>122</v>
      </c>
      <c r="C564" t="s">
        <v>474</v>
      </c>
      <c r="D564" t="s">
        <v>89</v>
      </c>
      <c r="E564" t="b">
        <f t="shared" si="8"/>
        <v>0</v>
      </c>
    </row>
    <row r="565" spans="1:5" hidden="1" x14ac:dyDescent="0.25"/>
    <row r="566" spans="1:5" hidden="1" x14ac:dyDescent="0.25">
      <c r="C566" s="5"/>
    </row>
    <row r="567" spans="1:5" hidden="1" x14ac:dyDescent="0.25">
      <c r="C567" s="6"/>
    </row>
    <row r="568" spans="1:5" hidden="1" x14ac:dyDescent="0.25">
      <c r="C568" s="5"/>
    </row>
    <row r="569" spans="1:5" hidden="1" x14ac:dyDescent="0.25">
      <c r="C569" s="6"/>
    </row>
    <row r="570" spans="1:5" hidden="1" x14ac:dyDescent="0.25">
      <c r="C570" s="5"/>
    </row>
    <row r="571" spans="1:5" hidden="1" x14ac:dyDescent="0.25">
      <c r="C571" s="6"/>
    </row>
    <row r="572" spans="1:5" hidden="1" x14ac:dyDescent="0.25">
      <c r="C572" s="5"/>
    </row>
    <row r="573" spans="1:5" hidden="1" x14ac:dyDescent="0.25">
      <c r="C573" s="6"/>
    </row>
    <row r="574" spans="1:5" hidden="1" x14ac:dyDescent="0.25"/>
    <row r="575" spans="1:5" hidden="1" x14ac:dyDescent="0.25"/>
    <row r="576" spans="1:5" hidden="1" x14ac:dyDescent="0.25"/>
    <row r="577" hidden="1" x14ac:dyDescent="0.25"/>
    <row r="578" hidden="1" x14ac:dyDescent="0.25"/>
    <row r="579" hidden="1" x14ac:dyDescent="0.25"/>
    <row r="580" hidden="1" x14ac:dyDescent="0.25"/>
    <row r="581" hidden="1" x14ac:dyDescent="0.25"/>
    <row r="582" hidden="1" x14ac:dyDescent="0.25"/>
    <row r="583" hidden="1" x14ac:dyDescent="0.25"/>
    <row r="584" hidden="1" x14ac:dyDescent="0.25"/>
    <row r="585" hidden="1" x14ac:dyDescent="0.25"/>
    <row r="586" hidden="1" x14ac:dyDescent="0.25"/>
    <row r="587" hidden="1" x14ac:dyDescent="0.25"/>
    <row r="588" hidden="1" x14ac:dyDescent="0.25"/>
    <row r="589" hidden="1" x14ac:dyDescent="0.25"/>
    <row r="590" hidden="1" x14ac:dyDescent="0.25"/>
    <row r="591" hidden="1" x14ac:dyDescent="0.25"/>
    <row r="592" hidden="1" x14ac:dyDescent="0.25"/>
    <row r="593" hidden="1" x14ac:dyDescent="0.25"/>
    <row r="594" hidden="1" x14ac:dyDescent="0.25"/>
    <row r="595" hidden="1" x14ac:dyDescent="0.25"/>
    <row r="596" hidden="1" x14ac:dyDescent="0.25"/>
    <row r="597" hidden="1" x14ac:dyDescent="0.25"/>
    <row r="598" hidden="1" x14ac:dyDescent="0.25"/>
    <row r="599" hidden="1" x14ac:dyDescent="0.25"/>
    <row r="600" hidden="1" x14ac:dyDescent="0.25"/>
    <row r="601" hidden="1" x14ac:dyDescent="0.25"/>
    <row r="602" hidden="1" x14ac:dyDescent="0.25"/>
    <row r="603" hidden="1" x14ac:dyDescent="0.25"/>
    <row r="604" hidden="1" x14ac:dyDescent="0.25"/>
    <row r="605" hidden="1" x14ac:dyDescent="0.25"/>
    <row r="606" hidden="1" x14ac:dyDescent="0.25"/>
    <row r="607" hidden="1" x14ac:dyDescent="0.25"/>
    <row r="608" hidden="1" x14ac:dyDescent="0.25"/>
    <row r="609" hidden="1" x14ac:dyDescent="0.25"/>
    <row r="610" hidden="1" x14ac:dyDescent="0.25"/>
    <row r="611" hidden="1" x14ac:dyDescent="0.25"/>
    <row r="612" hidden="1" x14ac:dyDescent="0.25"/>
    <row r="613" hidden="1" x14ac:dyDescent="0.25"/>
    <row r="614" hidden="1" x14ac:dyDescent="0.25"/>
    <row r="615" hidden="1" x14ac:dyDescent="0.25"/>
    <row r="616" hidden="1" x14ac:dyDescent="0.25"/>
    <row r="617" hidden="1" x14ac:dyDescent="0.25"/>
    <row r="618" hidden="1" x14ac:dyDescent="0.25"/>
    <row r="619" hidden="1" x14ac:dyDescent="0.25"/>
    <row r="620" hidden="1" x14ac:dyDescent="0.25"/>
    <row r="621" hidden="1" x14ac:dyDescent="0.25"/>
    <row r="622" hidden="1" x14ac:dyDescent="0.25"/>
    <row r="623" hidden="1" x14ac:dyDescent="0.25"/>
    <row r="624" hidden="1" x14ac:dyDescent="0.25"/>
    <row r="625" hidden="1" x14ac:dyDescent="0.25"/>
    <row r="626" hidden="1" x14ac:dyDescent="0.25"/>
    <row r="627" hidden="1" x14ac:dyDescent="0.25"/>
    <row r="628" hidden="1" x14ac:dyDescent="0.25"/>
    <row r="629" hidden="1" x14ac:dyDescent="0.25"/>
    <row r="630" hidden="1" x14ac:dyDescent="0.25"/>
    <row r="631" hidden="1" x14ac:dyDescent="0.25"/>
    <row r="632" hidden="1" x14ac:dyDescent="0.25"/>
    <row r="633" hidden="1" x14ac:dyDescent="0.25"/>
    <row r="634" hidden="1" x14ac:dyDescent="0.25"/>
    <row r="635" hidden="1" x14ac:dyDescent="0.25"/>
    <row r="636" hidden="1" x14ac:dyDescent="0.25"/>
    <row r="637" hidden="1" x14ac:dyDescent="0.25"/>
    <row r="638" hidden="1" x14ac:dyDescent="0.25"/>
    <row r="639" hidden="1" x14ac:dyDescent="0.25"/>
    <row r="640" hidden="1" x14ac:dyDescent="0.25"/>
    <row r="641" hidden="1" x14ac:dyDescent="0.25"/>
    <row r="642" hidden="1" x14ac:dyDescent="0.25"/>
    <row r="643" hidden="1" x14ac:dyDescent="0.25"/>
    <row r="644" hidden="1" x14ac:dyDescent="0.25"/>
    <row r="645" hidden="1" x14ac:dyDescent="0.25"/>
    <row r="646" hidden="1" x14ac:dyDescent="0.25"/>
    <row r="647" hidden="1" x14ac:dyDescent="0.25"/>
    <row r="648" hidden="1" x14ac:dyDescent="0.25"/>
    <row r="649" hidden="1" x14ac:dyDescent="0.25"/>
    <row r="650" hidden="1" x14ac:dyDescent="0.25"/>
    <row r="651" hidden="1" x14ac:dyDescent="0.25"/>
    <row r="652" hidden="1" x14ac:dyDescent="0.25"/>
    <row r="653" hidden="1" x14ac:dyDescent="0.25"/>
    <row r="654" hidden="1" x14ac:dyDescent="0.25"/>
    <row r="655" hidden="1" x14ac:dyDescent="0.25"/>
    <row r="656" hidden="1" x14ac:dyDescent="0.25"/>
    <row r="657" hidden="1" x14ac:dyDescent="0.25"/>
    <row r="658" hidden="1" x14ac:dyDescent="0.25"/>
    <row r="659" hidden="1" x14ac:dyDescent="0.25"/>
    <row r="660" hidden="1" x14ac:dyDescent="0.25"/>
    <row r="661" hidden="1" x14ac:dyDescent="0.25"/>
    <row r="662" hidden="1" x14ac:dyDescent="0.25"/>
    <row r="663" hidden="1" x14ac:dyDescent="0.25"/>
    <row r="664" hidden="1" x14ac:dyDescent="0.25"/>
    <row r="665" hidden="1" x14ac:dyDescent="0.25"/>
    <row r="666" hidden="1" x14ac:dyDescent="0.25"/>
    <row r="667" hidden="1" x14ac:dyDescent="0.25"/>
    <row r="668" hidden="1" x14ac:dyDescent="0.25"/>
    <row r="669" hidden="1" x14ac:dyDescent="0.25"/>
    <row r="670" hidden="1" x14ac:dyDescent="0.25"/>
    <row r="671" hidden="1" x14ac:dyDescent="0.25"/>
    <row r="672" hidden="1" x14ac:dyDescent="0.25"/>
    <row r="673" hidden="1" x14ac:dyDescent="0.25"/>
    <row r="674" hidden="1" x14ac:dyDescent="0.25"/>
    <row r="675" hidden="1" x14ac:dyDescent="0.25"/>
    <row r="676" hidden="1" x14ac:dyDescent="0.25"/>
    <row r="677" hidden="1" x14ac:dyDescent="0.25"/>
    <row r="678" hidden="1" x14ac:dyDescent="0.25"/>
    <row r="679" hidden="1" x14ac:dyDescent="0.25"/>
    <row r="680" hidden="1" x14ac:dyDescent="0.25"/>
    <row r="681" hidden="1" x14ac:dyDescent="0.25"/>
    <row r="682" hidden="1" x14ac:dyDescent="0.25"/>
    <row r="683" hidden="1" x14ac:dyDescent="0.25"/>
    <row r="684" hidden="1" x14ac:dyDescent="0.25"/>
    <row r="685" hidden="1" x14ac:dyDescent="0.25"/>
    <row r="686" hidden="1" x14ac:dyDescent="0.25"/>
    <row r="687" hidden="1" x14ac:dyDescent="0.25"/>
    <row r="688" hidden="1" x14ac:dyDescent="0.25"/>
    <row r="689" hidden="1" x14ac:dyDescent="0.25"/>
    <row r="690" hidden="1" x14ac:dyDescent="0.25"/>
    <row r="691" hidden="1" x14ac:dyDescent="0.25"/>
    <row r="692" hidden="1" x14ac:dyDescent="0.25"/>
    <row r="693" hidden="1" x14ac:dyDescent="0.25"/>
    <row r="694" hidden="1" x14ac:dyDescent="0.25"/>
    <row r="695" hidden="1" x14ac:dyDescent="0.25"/>
    <row r="696" hidden="1" x14ac:dyDescent="0.25"/>
    <row r="697" hidden="1" x14ac:dyDescent="0.25"/>
    <row r="698" hidden="1" x14ac:dyDescent="0.25"/>
    <row r="699" hidden="1" x14ac:dyDescent="0.25"/>
    <row r="700" hidden="1" x14ac:dyDescent="0.25"/>
    <row r="701" hidden="1" x14ac:dyDescent="0.25"/>
    <row r="702" hidden="1" x14ac:dyDescent="0.25"/>
    <row r="703" hidden="1" x14ac:dyDescent="0.25"/>
    <row r="704" hidden="1" x14ac:dyDescent="0.25"/>
    <row r="705" hidden="1" x14ac:dyDescent="0.25"/>
    <row r="706" hidden="1" x14ac:dyDescent="0.25"/>
    <row r="707" hidden="1" x14ac:dyDescent="0.25"/>
    <row r="708" hidden="1" x14ac:dyDescent="0.25"/>
    <row r="709" hidden="1" x14ac:dyDescent="0.25"/>
    <row r="710" hidden="1" x14ac:dyDescent="0.25"/>
    <row r="711" hidden="1" x14ac:dyDescent="0.25"/>
    <row r="712" hidden="1" x14ac:dyDescent="0.25"/>
    <row r="713" hidden="1" x14ac:dyDescent="0.25"/>
    <row r="714" hidden="1" x14ac:dyDescent="0.25"/>
    <row r="715" hidden="1" x14ac:dyDescent="0.25"/>
    <row r="716" hidden="1" x14ac:dyDescent="0.25"/>
    <row r="717" hidden="1" x14ac:dyDescent="0.25"/>
    <row r="718" hidden="1" x14ac:dyDescent="0.25"/>
    <row r="719" hidden="1" x14ac:dyDescent="0.25"/>
    <row r="720" hidden="1" x14ac:dyDescent="0.25"/>
    <row r="721" hidden="1" x14ac:dyDescent="0.25"/>
    <row r="722" hidden="1" x14ac:dyDescent="0.25"/>
    <row r="723" hidden="1" x14ac:dyDescent="0.25"/>
    <row r="724" hidden="1" x14ac:dyDescent="0.25"/>
    <row r="725" hidden="1" x14ac:dyDescent="0.25"/>
    <row r="726" hidden="1" x14ac:dyDescent="0.25"/>
    <row r="727" hidden="1" x14ac:dyDescent="0.25"/>
    <row r="728" hidden="1" x14ac:dyDescent="0.25"/>
    <row r="729" hidden="1" x14ac:dyDescent="0.25"/>
    <row r="730" hidden="1" x14ac:dyDescent="0.25"/>
    <row r="731" hidden="1" x14ac:dyDescent="0.25"/>
    <row r="732" hidden="1" x14ac:dyDescent="0.25"/>
    <row r="733" hidden="1" x14ac:dyDescent="0.25"/>
    <row r="734" hidden="1" x14ac:dyDescent="0.25"/>
    <row r="735" hidden="1" x14ac:dyDescent="0.25"/>
    <row r="736" hidden="1" x14ac:dyDescent="0.25"/>
    <row r="737" hidden="1" x14ac:dyDescent="0.25"/>
    <row r="738" hidden="1" x14ac:dyDescent="0.25"/>
    <row r="739" hidden="1" x14ac:dyDescent="0.25"/>
    <row r="740" hidden="1" x14ac:dyDescent="0.25"/>
    <row r="741" hidden="1" x14ac:dyDescent="0.25"/>
    <row r="742" hidden="1" x14ac:dyDescent="0.25"/>
    <row r="743" hidden="1" x14ac:dyDescent="0.25"/>
    <row r="744" hidden="1" x14ac:dyDescent="0.25"/>
    <row r="745" hidden="1" x14ac:dyDescent="0.25"/>
    <row r="746" hidden="1" x14ac:dyDescent="0.25"/>
    <row r="747" hidden="1" x14ac:dyDescent="0.25"/>
    <row r="748" hidden="1" x14ac:dyDescent="0.25"/>
    <row r="749" hidden="1" x14ac:dyDescent="0.25"/>
    <row r="750" hidden="1" x14ac:dyDescent="0.25"/>
    <row r="751" hidden="1" x14ac:dyDescent="0.25"/>
    <row r="752" hidden="1" x14ac:dyDescent="0.25"/>
    <row r="753" hidden="1" x14ac:dyDescent="0.25"/>
    <row r="754" hidden="1" x14ac:dyDescent="0.25"/>
    <row r="755" hidden="1" x14ac:dyDescent="0.25"/>
    <row r="756" hidden="1" x14ac:dyDescent="0.25"/>
    <row r="757" hidden="1" x14ac:dyDescent="0.25"/>
    <row r="758" hidden="1" x14ac:dyDescent="0.25"/>
    <row r="759" hidden="1" x14ac:dyDescent="0.25"/>
    <row r="760" hidden="1" x14ac:dyDescent="0.25"/>
    <row r="761" hidden="1" x14ac:dyDescent="0.25"/>
    <row r="762" hidden="1" x14ac:dyDescent="0.25"/>
    <row r="763" hidden="1" x14ac:dyDescent="0.25"/>
    <row r="764" hidden="1" x14ac:dyDescent="0.25"/>
    <row r="765" hidden="1" x14ac:dyDescent="0.25"/>
    <row r="766" hidden="1" x14ac:dyDescent="0.25"/>
    <row r="767" hidden="1" x14ac:dyDescent="0.25"/>
    <row r="768" hidden="1" x14ac:dyDescent="0.25"/>
    <row r="769" hidden="1" x14ac:dyDescent="0.25"/>
    <row r="770" hidden="1" x14ac:dyDescent="0.25"/>
    <row r="771" hidden="1" x14ac:dyDescent="0.25"/>
    <row r="772" hidden="1" x14ac:dyDescent="0.25"/>
    <row r="773" hidden="1" x14ac:dyDescent="0.25"/>
    <row r="774" hidden="1" x14ac:dyDescent="0.25"/>
    <row r="775" hidden="1" x14ac:dyDescent="0.25"/>
    <row r="776" hidden="1" x14ac:dyDescent="0.25"/>
    <row r="777" hidden="1" x14ac:dyDescent="0.25"/>
    <row r="778" hidden="1" x14ac:dyDescent="0.25"/>
    <row r="779" hidden="1" x14ac:dyDescent="0.25"/>
    <row r="780" hidden="1" x14ac:dyDescent="0.25"/>
    <row r="781" hidden="1" x14ac:dyDescent="0.25"/>
    <row r="782" hidden="1" x14ac:dyDescent="0.25"/>
    <row r="783" hidden="1" x14ac:dyDescent="0.25"/>
    <row r="784" hidden="1" x14ac:dyDescent="0.25"/>
    <row r="785" hidden="1" x14ac:dyDescent="0.25"/>
    <row r="786" hidden="1" x14ac:dyDescent="0.25"/>
    <row r="787" hidden="1" x14ac:dyDescent="0.25"/>
    <row r="788" hidden="1" x14ac:dyDescent="0.25"/>
    <row r="789" hidden="1" x14ac:dyDescent="0.25"/>
    <row r="790" hidden="1" x14ac:dyDescent="0.25"/>
    <row r="791" hidden="1" x14ac:dyDescent="0.25"/>
    <row r="792" hidden="1" x14ac:dyDescent="0.25"/>
    <row r="793" hidden="1" x14ac:dyDescent="0.25"/>
    <row r="794" hidden="1" x14ac:dyDescent="0.25"/>
    <row r="795" hidden="1" x14ac:dyDescent="0.25"/>
    <row r="796" hidden="1" x14ac:dyDescent="0.25"/>
    <row r="797" hidden="1" x14ac:dyDescent="0.25"/>
    <row r="798" hidden="1" x14ac:dyDescent="0.25"/>
    <row r="799" hidden="1" x14ac:dyDescent="0.25"/>
    <row r="800" hidden="1" x14ac:dyDescent="0.25"/>
    <row r="801" hidden="1" x14ac:dyDescent="0.25"/>
  </sheetData>
  <autoFilter ref="A1:E801" xr:uid="{513235A9-D41F-4073-9890-FEBAC6DAED8A}">
    <filterColumn colId="1">
      <filters>
        <filter val="Carmo"/>
        <filter val="Carmona"/>
      </filters>
    </filterColumn>
    <sortState xmlns:xlrd2="http://schemas.microsoft.com/office/spreadsheetml/2017/richdata2" ref="A2:E801">
      <sortCondition ref="B1:B801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C3317-A316-4BC5-AE97-9EEA2FEFD7D4}">
  <dimension ref="A1:I1060"/>
  <sheetViews>
    <sheetView tabSelected="1" zoomScaleNormal="100" workbookViewId="0">
      <pane ySplit="1" topLeftCell="A1038" activePane="bottomLeft" state="frozen"/>
      <selection pane="bottomLeft" activeCell="F1054" sqref="F1054:F1060"/>
    </sheetView>
  </sheetViews>
  <sheetFormatPr baseColWidth="10" defaultRowHeight="15" x14ac:dyDescent="0.25"/>
  <cols>
    <col min="1" max="1" width="5.28515625" bestFit="1" customWidth="1"/>
    <col min="2" max="2" width="17.42578125" bestFit="1" customWidth="1"/>
    <col min="3" max="3" width="11" bestFit="1" customWidth="1"/>
    <col min="4" max="4" width="14" bestFit="1" customWidth="1"/>
    <col min="5" max="5" width="16.42578125" bestFit="1" customWidth="1"/>
    <col min="6" max="6" width="10.42578125" style="1" bestFit="1" customWidth="1"/>
    <col min="7" max="8" width="21.7109375" bestFit="1" customWidth="1"/>
    <col min="9" max="9" width="12.5703125" style="2" bestFit="1" customWidth="1"/>
  </cols>
  <sheetData>
    <row r="1" spans="1:9" x14ac:dyDescent="0.25">
      <c r="A1" t="s">
        <v>758</v>
      </c>
      <c r="B1" t="s">
        <v>757</v>
      </c>
      <c r="C1" t="s">
        <v>75</v>
      </c>
      <c r="D1" t="s">
        <v>759</v>
      </c>
      <c r="E1" t="s">
        <v>25</v>
      </c>
      <c r="F1" s="1" t="s">
        <v>29</v>
      </c>
      <c r="G1" t="s">
        <v>26</v>
      </c>
      <c r="H1" t="s">
        <v>27</v>
      </c>
      <c r="I1" s="2" t="s">
        <v>28</v>
      </c>
    </row>
    <row r="2" spans="1:9" x14ac:dyDescent="0.25">
      <c r="A2">
        <v>1</v>
      </c>
      <c r="B2" t="str">
        <f>IF(ISERROR(VLOOKUP(E2,Nombres!A:D,2,FALSE)),"PROBLEMAAAAAA",VLOOKUP(E2,Nombres!A:D,2,FALSE))</f>
        <v>Oroz</v>
      </c>
      <c r="C2" t="str">
        <f>IF(ISERROR(VLOOKUP(E2,Nombres!A:D,4,FALSE)),"PROBLEMAAAAAA",VLOOKUP(E2,Nombres!A:D,4,FALSE))</f>
        <v>MED</v>
      </c>
      <c r="D2" t="str">
        <f>IF(ISERROR(VLOOKUP(E2,Nombres!A:D,3,FALSE)),"PROBLEMAAAAAA",VLOOKUP(E2,Nombres!A:D,3,FALSE))</f>
        <v>Osasuna</v>
      </c>
      <c r="E2" t="s">
        <v>286</v>
      </c>
      <c r="F2" s="1">
        <v>45872</v>
      </c>
      <c r="G2" t="s">
        <v>10</v>
      </c>
      <c r="H2" t="s">
        <v>31</v>
      </c>
      <c r="I2" s="2">
        <v>0</v>
      </c>
    </row>
    <row r="3" spans="1:9" x14ac:dyDescent="0.25">
      <c r="A3">
        <v>2</v>
      </c>
      <c r="B3" t="str">
        <f>IF(ISERROR(VLOOKUP(E3,Nombres!A:D,2,FALSE)),"PROBLEMAAAAAA",VLOOKUP(E3,Nombres!A:D,2,FALSE))</f>
        <v>Alderete</v>
      </c>
      <c r="C3" t="str">
        <f>IF(ISERROR(VLOOKUP(E3,Nombres!A:D,4,FALSE)),"PROBLEMAAAAAA",VLOOKUP(E3,Nombres!A:D,4,FALSE))</f>
        <v>DEF</v>
      </c>
      <c r="D3" t="str">
        <f>IF(ISERROR(VLOOKUP(E3,Nombres!A:D,3,FALSE)),"PROBLEMAAAAAA",VLOOKUP(E3,Nombres!A:D,3,FALSE))</f>
        <v>Getafe</v>
      </c>
      <c r="E3" t="s">
        <v>82</v>
      </c>
      <c r="F3" s="1">
        <v>45872</v>
      </c>
      <c r="G3" t="s">
        <v>6</v>
      </c>
      <c r="H3" t="s">
        <v>31</v>
      </c>
      <c r="I3" s="2">
        <v>0</v>
      </c>
    </row>
    <row r="4" spans="1:9" x14ac:dyDescent="0.25">
      <c r="A4">
        <v>3</v>
      </c>
      <c r="B4" t="str">
        <f>IF(ISERROR(VLOOKUP(E4,Nombres!A:D,2,FALSE)),"PROBLEMAAAAAA",VLOOKUP(E4,Nombres!A:D,2,FALSE))</f>
        <v>Almeida</v>
      </c>
      <c r="C4" t="str">
        <f>IF(ISERROR(VLOOKUP(E4,Nombres!A:D,4,FALSE)),"PROBLEMAAAAAA",VLOOKUP(E4,Nombres!A:D,4,FALSE))</f>
        <v>MED</v>
      </c>
      <c r="D4" t="str">
        <f>IF(ISERROR(VLOOKUP(E4,Nombres!A:D,3,FALSE)),"PROBLEMAAAAAA",VLOOKUP(E4,Nombres!A:D,3,FALSE))</f>
        <v>Valencia</v>
      </c>
      <c r="E4" t="s">
        <v>41</v>
      </c>
      <c r="F4" s="1">
        <v>45872</v>
      </c>
      <c r="G4" t="s">
        <v>768</v>
      </c>
      <c r="H4" t="s">
        <v>31</v>
      </c>
      <c r="I4" s="2">
        <v>0</v>
      </c>
    </row>
    <row r="5" spans="1:9" x14ac:dyDescent="0.25">
      <c r="A5">
        <v>4</v>
      </c>
      <c r="B5" t="str">
        <f>IF(ISERROR(VLOOKUP(E5,Nombres!A:D,2,FALSE)),"PROBLEMAAAAAA",VLOOKUP(E5,Nombres!A:D,2,FALSE))</f>
        <v>Álvaro García</v>
      </c>
      <c r="C5" t="str">
        <f>IF(ISERROR(VLOOKUP(E5,Nombres!A:D,4,FALSE)),"PROBLEMAAAAAA",VLOOKUP(E5,Nombres!A:D,4,FALSE))</f>
        <v>MED</v>
      </c>
      <c r="D5" t="str">
        <f>IF(ISERROR(VLOOKUP(E5,Nombres!A:D,3,FALSE)),"PROBLEMAAAAAA",VLOOKUP(E5,Nombres!A:D,3,FALSE))</f>
        <v>Rayo</v>
      </c>
      <c r="E5" t="s">
        <v>60</v>
      </c>
      <c r="F5" s="1">
        <v>45872</v>
      </c>
      <c r="G5" t="s">
        <v>14</v>
      </c>
      <c r="H5" t="s">
        <v>31</v>
      </c>
      <c r="I5" s="2">
        <v>0</v>
      </c>
    </row>
    <row r="6" spans="1:9" x14ac:dyDescent="0.25">
      <c r="A6">
        <v>5</v>
      </c>
      <c r="B6" t="str">
        <f>IF(ISERROR(VLOOKUP(E6,Nombres!A:D,2,FALSE)),"PROBLEMAAAAAA",VLOOKUP(E6,Nombres!A:D,2,FALSE))</f>
        <v>Á. Núñez</v>
      </c>
      <c r="C6" t="str">
        <f>IF(ISERROR(VLOOKUP(E6,Nombres!A:D,4,FALSE)),"PROBLEMAAAAAA",VLOOKUP(E6,Nombres!A:D,4,FALSE))</f>
        <v>DEF</v>
      </c>
      <c r="D6" t="str">
        <f>IF(ISERROR(VLOOKUP(E6,Nombres!A:D,3,FALSE)),"PROBLEMAAAAAA",VLOOKUP(E6,Nombres!A:D,3,FALSE))</f>
        <v>Elche</v>
      </c>
      <c r="E6" t="s">
        <v>139</v>
      </c>
      <c r="F6" s="1">
        <v>45872</v>
      </c>
      <c r="G6" t="s">
        <v>10</v>
      </c>
      <c r="H6" t="s">
        <v>31</v>
      </c>
      <c r="I6" s="2">
        <v>0</v>
      </c>
    </row>
    <row r="7" spans="1:9" x14ac:dyDescent="0.25">
      <c r="A7">
        <v>6</v>
      </c>
      <c r="B7" t="str">
        <f>IF(ISERROR(VLOOKUP(E7,Nombres!A:D,2,FALSE)),"PROBLEMAAAAAA",VLOOKUP(E7,Nombres!A:D,2,FALSE))</f>
        <v>Andrei</v>
      </c>
      <c r="C7" t="str">
        <f>IF(ISERROR(VLOOKUP(E7,Nombres!A:D,4,FALSE)),"PROBLEMAAAAAA",VLOOKUP(E7,Nombres!A:D,4,FALSE))</f>
        <v>DEF</v>
      </c>
      <c r="D7" t="str">
        <f>IF(ISERROR(VLOOKUP(E7,Nombres!A:D,3,FALSE)),"PROBLEMAAAAAA",VLOOKUP(E7,Nombres!A:D,3,FALSE))</f>
        <v>Rayo</v>
      </c>
      <c r="E7" t="s">
        <v>61</v>
      </c>
      <c r="F7" s="1">
        <v>45872</v>
      </c>
      <c r="G7" t="s">
        <v>7</v>
      </c>
      <c r="H7" t="s">
        <v>31</v>
      </c>
      <c r="I7" s="2">
        <v>0</v>
      </c>
    </row>
    <row r="8" spans="1:9" x14ac:dyDescent="0.25">
      <c r="A8">
        <v>7</v>
      </c>
      <c r="B8" t="str">
        <f>IF(ISERROR(VLOOKUP(E8,Nombres!A:D,2,FALSE)),"PROBLEMAAAAAA",VLOOKUP(E8,Nombres!A:D,2,FALSE))</f>
        <v>Arambarri</v>
      </c>
      <c r="C8" t="str">
        <f>IF(ISERROR(VLOOKUP(E8,Nombres!A:D,4,FALSE)),"PROBLEMAAAAAA",VLOOKUP(E8,Nombres!A:D,4,FALSE))</f>
        <v>MED</v>
      </c>
      <c r="D8" t="str">
        <f>IF(ISERROR(VLOOKUP(E8,Nombres!A:D,3,FALSE)),"PROBLEMAAAAAA",VLOOKUP(E8,Nombres!A:D,3,FALSE))</f>
        <v>Getafe</v>
      </c>
      <c r="E8" t="s">
        <v>73</v>
      </c>
      <c r="F8" s="1">
        <v>45872</v>
      </c>
      <c r="G8" t="s">
        <v>9</v>
      </c>
      <c r="H8" t="s">
        <v>31</v>
      </c>
      <c r="I8" s="2">
        <v>0</v>
      </c>
    </row>
    <row r="9" spans="1:9" x14ac:dyDescent="0.25">
      <c r="A9">
        <v>8</v>
      </c>
      <c r="B9" t="str">
        <f>IF(ISERROR(VLOOKUP(E9,Nombres!A:D,2,FALSE)),"PROBLEMAAAAAA",VLOOKUP(E9,Nombres!A:D,2,FALSE))</f>
        <v>Araújo</v>
      </c>
      <c r="C9" t="str">
        <f>IF(ISERROR(VLOOKUP(E9,Nombres!A:D,4,FALSE)),"PROBLEMAAAAAA",VLOOKUP(E9,Nombres!A:D,4,FALSE))</f>
        <v>DEF</v>
      </c>
      <c r="D9" t="str">
        <f>IF(ISERROR(VLOOKUP(E9,Nombres!A:D,3,FALSE)),"PROBLEMAAAAAA",VLOOKUP(E9,Nombres!A:D,3,FALSE))</f>
        <v>Barcelona</v>
      </c>
      <c r="E9" t="s">
        <v>72</v>
      </c>
      <c r="F9" s="1">
        <v>45872</v>
      </c>
      <c r="G9" t="s">
        <v>12</v>
      </c>
      <c r="H9" t="s">
        <v>31</v>
      </c>
      <c r="I9" s="2">
        <v>0</v>
      </c>
    </row>
    <row r="10" spans="1:9" x14ac:dyDescent="0.25">
      <c r="A10">
        <v>9</v>
      </c>
      <c r="B10" t="str">
        <f>IF(ISERROR(VLOOKUP(E10,Nombres!A:D,2,FALSE)),"PROBLEMAAAAAA",VLOOKUP(E10,Nombres!A:D,2,FALSE))</f>
        <v>Asano</v>
      </c>
      <c r="C10" t="str">
        <f>IF(ISERROR(VLOOKUP(E10,Nombres!A:D,4,FALSE)),"PROBLEMAAAAAA",VLOOKUP(E10,Nombres!A:D,4,FALSE))</f>
        <v>DEL</v>
      </c>
      <c r="D10" t="str">
        <f>IF(ISERROR(VLOOKUP(E10,Nombres!A:D,3,FALSE)),"PROBLEMAAAAAA",VLOOKUP(E10,Nombres!A:D,3,FALSE))</f>
        <v>Mallorca</v>
      </c>
      <c r="E10" t="s">
        <v>90</v>
      </c>
      <c r="F10" s="1">
        <v>45872</v>
      </c>
      <c r="G10" t="s">
        <v>6</v>
      </c>
      <c r="H10" t="s">
        <v>31</v>
      </c>
      <c r="I10" s="2">
        <v>0</v>
      </c>
    </row>
    <row r="11" spans="1:9" x14ac:dyDescent="0.25">
      <c r="A11">
        <v>10</v>
      </c>
      <c r="B11" t="str">
        <f>IF(ISERROR(VLOOKUP(E11,Nombres!A:D,2,FALSE)),"PROBLEMAAAAAA",VLOOKUP(E11,Nombres!A:D,2,FALSE))</f>
        <v>Asencio</v>
      </c>
      <c r="C11" t="str">
        <f>IF(ISERROR(VLOOKUP(E11,Nombres!A:D,4,FALSE)),"PROBLEMAAAAAA",VLOOKUP(E11,Nombres!A:D,4,FALSE))</f>
        <v>DEF</v>
      </c>
      <c r="D11" t="str">
        <f>IF(ISERROR(VLOOKUP(E11,Nombres!A:D,3,FALSE)),"PROBLEMAAAAAA",VLOOKUP(E11,Nombres!A:D,3,FALSE))</f>
        <v>Real Madrid</v>
      </c>
      <c r="E11" t="s">
        <v>57</v>
      </c>
      <c r="F11" s="1">
        <v>45872</v>
      </c>
      <c r="G11" t="s">
        <v>14</v>
      </c>
      <c r="H11" t="s">
        <v>31</v>
      </c>
      <c r="I11" s="2">
        <v>0</v>
      </c>
    </row>
    <row r="12" spans="1:9" x14ac:dyDescent="0.25">
      <c r="A12">
        <v>11</v>
      </c>
      <c r="B12" t="str">
        <f>IF(ISERROR(VLOOKUP(E12,Nombres!A:D,2,FALSE)),"PROBLEMAAAAAA",VLOOKUP(E12,Nombres!A:D,2,FALSE))</f>
        <v>Asprilla</v>
      </c>
      <c r="C12" t="str">
        <f>IF(ISERROR(VLOOKUP(E12,Nombres!A:D,4,FALSE)),"PROBLEMAAAAAA",VLOOKUP(E12,Nombres!A:D,4,FALSE))</f>
        <v>DEL</v>
      </c>
      <c r="D12" t="str">
        <f>IF(ISERROR(VLOOKUP(E12,Nombres!A:D,3,FALSE)),"PROBLEMAAAAAA",VLOOKUP(E12,Nombres!A:D,3,FALSE))</f>
        <v>Girona</v>
      </c>
      <c r="E12" t="s">
        <v>168</v>
      </c>
      <c r="F12" s="1">
        <v>45872</v>
      </c>
      <c r="G12" t="s">
        <v>12</v>
      </c>
      <c r="H12" t="s">
        <v>31</v>
      </c>
      <c r="I12" s="2">
        <v>0</v>
      </c>
    </row>
    <row r="13" spans="1:9" x14ac:dyDescent="0.25">
      <c r="A13">
        <v>12</v>
      </c>
      <c r="B13" t="str">
        <f>IF(ISERROR(VLOOKUP(E13,Nombres!A:D,2,FALSE)),"PROBLEMAAAAAA",VLOOKUP(E13,Nombres!A:D,2,FALSE))</f>
        <v>Bade</v>
      </c>
      <c r="C13" t="str">
        <f>IF(ISERROR(VLOOKUP(E13,Nombres!A:D,4,FALSE)),"PROBLEMAAAAAA",VLOOKUP(E13,Nombres!A:D,4,FALSE))</f>
        <v>DEF</v>
      </c>
      <c r="D13" t="str">
        <f>IF(ISERROR(VLOOKUP(E13,Nombres!A:D,3,FALSE)),"PROBLEMAAAAAA",VLOOKUP(E13,Nombres!A:D,3,FALSE))</f>
        <v>Sevilla</v>
      </c>
      <c r="E13" t="s">
        <v>117</v>
      </c>
      <c r="F13" s="1">
        <v>45872</v>
      </c>
      <c r="G13" t="s">
        <v>768</v>
      </c>
      <c r="H13" t="s">
        <v>31</v>
      </c>
      <c r="I13" s="2">
        <v>0</v>
      </c>
    </row>
    <row r="14" spans="1:9" x14ac:dyDescent="0.25">
      <c r="A14">
        <v>13</v>
      </c>
      <c r="B14" t="str">
        <f>IF(ISERROR(VLOOKUP(E14,Nombres!A:D,2,FALSE)),"PROBLEMAAAAAA",VLOOKUP(E14,Nombres!A:D,2,FALSE))</f>
        <v>Bakambu</v>
      </c>
      <c r="C14" t="str">
        <f>IF(ISERROR(VLOOKUP(E14,Nombres!A:D,4,FALSE)),"PROBLEMAAAAAA",VLOOKUP(E14,Nombres!A:D,4,FALSE))</f>
        <v>DEL</v>
      </c>
      <c r="D14" t="str">
        <f>IF(ISERROR(VLOOKUP(E14,Nombres!A:D,3,FALSE)),"PROBLEMAAAAAA",VLOOKUP(E14,Nombres!A:D,3,FALSE))</f>
        <v>Betis</v>
      </c>
      <c r="E14" t="s">
        <v>91</v>
      </c>
      <c r="F14" s="1">
        <v>45872</v>
      </c>
      <c r="G14" t="s">
        <v>6</v>
      </c>
      <c r="H14" t="s">
        <v>31</v>
      </c>
      <c r="I14" s="2">
        <v>0</v>
      </c>
    </row>
    <row r="15" spans="1:9" x14ac:dyDescent="0.25">
      <c r="A15">
        <v>14</v>
      </c>
      <c r="B15" t="str">
        <f>IF(ISERROR(VLOOKUP(E15,Nombres!A:D,2,FALSE)),"PROBLEMAAAAAA",VLOOKUP(E15,Nombres!A:D,2,FALSE))</f>
        <v>Barrenetxea</v>
      </c>
      <c r="C15" t="str">
        <f>IF(ISERROR(VLOOKUP(E15,Nombres!A:D,4,FALSE)),"PROBLEMAAAAAA",VLOOKUP(E15,Nombres!A:D,4,FALSE))</f>
        <v>MED</v>
      </c>
      <c r="D15" t="str">
        <f>IF(ISERROR(VLOOKUP(E15,Nombres!A:D,3,FALSE)),"PROBLEMAAAAAA",VLOOKUP(E15,Nombres!A:D,3,FALSE))</f>
        <v>Real Sociedad</v>
      </c>
      <c r="E15" t="s">
        <v>47</v>
      </c>
      <c r="F15" s="1">
        <v>45872</v>
      </c>
      <c r="G15" t="s">
        <v>13</v>
      </c>
      <c r="H15" t="s">
        <v>31</v>
      </c>
      <c r="I15" s="2">
        <v>0</v>
      </c>
    </row>
    <row r="16" spans="1:9" x14ac:dyDescent="0.25">
      <c r="A16">
        <v>15</v>
      </c>
      <c r="B16" t="str">
        <f>IF(ISERROR(VLOOKUP(E16,Nombres!A:D,2,FALSE)),"PROBLEMAAAAAA",VLOOKUP(E16,Nombres!A:D,2,FALSE))</f>
        <v>Bartra</v>
      </c>
      <c r="C16" t="str">
        <f>IF(ISERROR(VLOOKUP(E16,Nombres!A:D,4,FALSE)),"PROBLEMAAAAAA",VLOOKUP(E16,Nombres!A:D,4,FALSE))</f>
        <v>DEF</v>
      </c>
      <c r="D16" t="str">
        <f>IF(ISERROR(VLOOKUP(E16,Nombres!A:D,3,FALSE)),"PROBLEMAAAAAA",VLOOKUP(E16,Nombres!A:D,3,FALSE))</f>
        <v>Betis</v>
      </c>
      <c r="E16" t="s">
        <v>150</v>
      </c>
      <c r="F16" s="1">
        <v>45872</v>
      </c>
      <c r="G16" t="s">
        <v>11</v>
      </c>
      <c r="H16" t="s">
        <v>31</v>
      </c>
      <c r="I16" s="2">
        <v>0</v>
      </c>
    </row>
    <row r="17" spans="1:9" x14ac:dyDescent="0.25">
      <c r="A17">
        <v>16</v>
      </c>
      <c r="B17" t="str">
        <f>IF(ISERROR(VLOOKUP(E17,Nombres!A:D,2,FALSE)),"PROBLEMAAAAAA",VLOOKUP(E17,Nombres!A:D,2,FALSE))</f>
        <v>Batalla</v>
      </c>
      <c r="C17" t="str">
        <f>IF(ISERROR(VLOOKUP(E17,Nombres!A:D,4,FALSE)),"PROBLEMAAAAAA",VLOOKUP(E17,Nombres!A:D,4,FALSE))</f>
        <v>POR</v>
      </c>
      <c r="D17" t="str">
        <f>IF(ISERROR(VLOOKUP(E17,Nombres!A:D,3,FALSE)),"PROBLEMAAAAAA",VLOOKUP(E17,Nombres!A:D,3,FALSE))</f>
        <v>Rayo</v>
      </c>
      <c r="E17" t="s">
        <v>171</v>
      </c>
      <c r="F17" s="1">
        <v>45872</v>
      </c>
      <c r="G17" t="s">
        <v>13</v>
      </c>
      <c r="H17" t="s">
        <v>31</v>
      </c>
      <c r="I17" s="2">
        <v>0</v>
      </c>
    </row>
    <row r="18" spans="1:9" x14ac:dyDescent="0.25">
      <c r="A18">
        <v>17</v>
      </c>
      <c r="B18" t="str">
        <f>IF(ISERROR(VLOOKUP(E18,Nombres!A:D,2,FALSE)),"PROBLEMAAAAAA",VLOOKUP(E18,Nombres!A:D,2,FALSE))</f>
        <v>Becker</v>
      </c>
      <c r="C18" t="str">
        <f>IF(ISERROR(VLOOKUP(E18,Nombres!A:D,4,FALSE)),"PROBLEMAAAAAA",VLOOKUP(E18,Nombres!A:D,4,FALSE))</f>
        <v>MED</v>
      </c>
      <c r="D18" t="str">
        <f>IF(ISERROR(VLOOKUP(E18,Nombres!A:D,3,FALSE)),"PROBLEMAAAAAA",VLOOKUP(E18,Nombres!A:D,3,FALSE))</f>
        <v>Osasuna</v>
      </c>
      <c r="E18" t="s">
        <v>59</v>
      </c>
      <c r="F18" s="1">
        <v>45872</v>
      </c>
      <c r="G18" t="s">
        <v>14</v>
      </c>
      <c r="H18" t="s">
        <v>31</v>
      </c>
      <c r="I18" s="2">
        <v>0</v>
      </c>
    </row>
    <row r="19" spans="1:9" x14ac:dyDescent="0.25">
      <c r="A19">
        <v>18</v>
      </c>
      <c r="B19" t="str">
        <f>IF(ISERROR(VLOOKUP(E19,Nombres!A:D,2,FALSE)),"PROBLEMAAAAAA",VLOOKUP(E19,Nombres!A:D,2,FALSE))</f>
        <v>Berenguer</v>
      </c>
      <c r="C19" t="str">
        <f>IF(ISERROR(VLOOKUP(E19,Nombres!A:D,4,FALSE)),"PROBLEMAAAAAA",VLOOKUP(E19,Nombres!A:D,4,FALSE))</f>
        <v>DEL</v>
      </c>
      <c r="D19" t="str">
        <f>IF(ISERROR(VLOOKUP(E19,Nombres!A:D,3,FALSE)),"PROBLEMAAAAAA",VLOOKUP(E19,Nombres!A:D,3,FALSE))</f>
        <v>Athletic</v>
      </c>
      <c r="E19" t="s">
        <v>186</v>
      </c>
      <c r="F19" s="1">
        <v>45872</v>
      </c>
      <c r="G19" t="s">
        <v>14</v>
      </c>
      <c r="H19" t="s">
        <v>31</v>
      </c>
      <c r="I19" s="2">
        <v>0</v>
      </c>
    </row>
    <row r="20" spans="1:9" x14ac:dyDescent="0.25">
      <c r="A20">
        <v>19</v>
      </c>
      <c r="B20" t="str">
        <f>IF(ISERROR(VLOOKUP(E20,Nombres!A:D,2,FALSE)),"PROBLEMAAAAAA",VLOOKUP(E20,Nombres!A:D,2,FALSE))</f>
        <v>Blanco</v>
      </c>
      <c r="C20" t="str">
        <f>IF(ISERROR(VLOOKUP(E20,Nombres!A:D,4,FALSE)),"PROBLEMAAAAAA",VLOOKUP(E20,Nombres!A:D,4,FALSE))</f>
        <v>MED</v>
      </c>
      <c r="D20" t="str">
        <f>IF(ISERROR(VLOOKUP(E20,Nombres!A:D,3,FALSE)),"PROBLEMAAAAAA",VLOOKUP(E20,Nombres!A:D,3,FALSE))</f>
        <v>Alavés</v>
      </c>
      <c r="E20" t="s">
        <v>103</v>
      </c>
      <c r="F20" s="1">
        <v>45872</v>
      </c>
      <c r="G20" t="s">
        <v>7</v>
      </c>
      <c r="H20" t="s">
        <v>31</v>
      </c>
      <c r="I20" s="2">
        <v>0</v>
      </c>
    </row>
    <row r="21" spans="1:9" x14ac:dyDescent="0.25">
      <c r="A21">
        <v>20</v>
      </c>
      <c r="B21" t="str">
        <f>IF(ISERROR(VLOOKUP(E21,Nombres!A:D,2,FALSE)),"PROBLEMAAAAAA",VLOOKUP(E21,Nombres!A:D,2,FALSE))</f>
        <v>Boyomo</v>
      </c>
      <c r="C21" t="str">
        <f>IF(ISERROR(VLOOKUP(E21,Nombres!A:D,4,FALSE)),"PROBLEMAAAAAA",VLOOKUP(E21,Nombres!A:D,4,FALSE))</f>
        <v>DEF</v>
      </c>
      <c r="D21" t="str">
        <f>IF(ISERROR(VLOOKUP(E21,Nombres!A:D,3,FALSE)),"PROBLEMAAAAAA",VLOOKUP(E21,Nombres!A:D,3,FALSE))</f>
        <v>Osasuna</v>
      </c>
      <c r="E21" t="s">
        <v>115</v>
      </c>
      <c r="F21" s="1">
        <v>45872</v>
      </c>
      <c r="G21" t="s">
        <v>768</v>
      </c>
      <c r="H21" t="s">
        <v>31</v>
      </c>
      <c r="I21" s="2">
        <v>0</v>
      </c>
    </row>
    <row r="22" spans="1:9" x14ac:dyDescent="0.25">
      <c r="A22">
        <v>21</v>
      </c>
      <c r="B22" t="str">
        <f>IF(ISERROR(VLOOKUP(E22,Nombres!A:D,2,FALSE)),"PROBLEMAAAAAA",VLOOKUP(E22,Nombres!A:D,2,FALSE))</f>
        <v>Brahim</v>
      </c>
      <c r="C22" t="str">
        <f>IF(ISERROR(VLOOKUP(E22,Nombres!A:D,4,FALSE)),"PROBLEMAAAAAA",VLOOKUP(E22,Nombres!A:D,4,FALSE))</f>
        <v>MED</v>
      </c>
      <c r="D22" t="str">
        <f>IF(ISERROR(VLOOKUP(E22,Nombres!A:D,3,FALSE)),"PROBLEMAAAAAA",VLOOKUP(E22,Nombres!A:D,3,FALSE))</f>
        <v>Real Madrid</v>
      </c>
      <c r="E22" t="s">
        <v>62</v>
      </c>
      <c r="F22" s="1">
        <v>45872</v>
      </c>
      <c r="G22" t="s">
        <v>13</v>
      </c>
      <c r="H22" t="s">
        <v>31</v>
      </c>
      <c r="I22" s="2">
        <v>0</v>
      </c>
    </row>
    <row r="23" spans="1:9" x14ac:dyDescent="0.25">
      <c r="A23">
        <v>22</v>
      </c>
      <c r="B23" t="str">
        <f>IF(ISERROR(VLOOKUP(E23,Nombres!A:D,2,FALSE)),"PROBLEMAAAAAA",VLOOKUP(E23,Nombres!A:D,2,FALSE))</f>
        <v>Brais</v>
      </c>
      <c r="C23" t="str">
        <f>IF(ISERROR(VLOOKUP(E23,Nombres!A:D,4,FALSE)),"PROBLEMAAAAAA",VLOOKUP(E23,Nombres!A:D,4,FALSE))</f>
        <v>MED</v>
      </c>
      <c r="D23" t="str">
        <f>IF(ISERROR(VLOOKUP(E23,Nombres!A:D,3,FALSE)),"PROBLEMAAAAAA",VLOOKUP(E23,Nombres!A:D,3,FALSE))</f>
        <v>Real Sociedad</v>
      </c>
      <c r="E23" t="s">
        <v>158</v>
      </c>
      <c r="F23" s="1">
        <v>45872</v>
      </c>
      <c r="G23" t="s">
        <v>11</v>
      </c>
      <c r="H23" t="s">
        <v>31</v>
      </c>
      <c r="I23" s="2">
        <v>0</v>
      </c>
    </row>
    <row r="24" spans="1:9" x14ac:dyDescent="0.25">
      <c r="A24">
        <v>23</v>
      </c>
      <c r="B24" t="str">
        <f>IF(ISERROR(VLOOKUP(E24,Nombres!A:D,2,FALSE)),"PROBLEMAAAAAA",VLOOKUP(E24,Nombres!A:D,2,FALSE))</f>
        <v>Camavinga</v>
      </c>
      <c r="C24" t="str">
        <f>IF(ISERROR(VLOOKUP(E24,Nombres!A:D,4,FALSE)),"PROBLEMAAAAAA",VLOOKUP(E24,Nombres!A:D,4,FALSE))</f>
        <v>MED</v>
      </c>
      <c r="D24" t="str">
        <f>IF(ISERROR(VLOOKUP(E24,Nombres!A:D,3,FALSE)),"PROBLEMAAAAAA",VLOOKUP(E24,Nombres!A:D,3,FALSE))</f>
        <v>Real Madrid</v>
      </c>
      <c r="E24" t="s">
        <v>131</v>
      </c>
      <c r="F24" s="1">
        <v>45872</v>
      </c>
      <c r="G24" t="s">
        <v>9</v>
      </c>
      <c r="H24" t="s">
        <v>31</v>
      </c>
      <c r="I24" s="2">
        <v>0</v>
      </c>
    </row>
    <row r="25" spans="1:9" x14ac:dyDescent="0.25">
      <c r="A25">
        <v>24</v>
      </c>
      <c r="B25" t="str">
        <f>IF(ISERROR(VLOOKUP(E25,Nombres!A:D,2,FALSE)),"PROBLEMAAAAAA",VLOOKUP(E25,Nombres!A:D,2,FALSE))</f>
        <v>Camello</v>
      </c>
      <c r="C25" t="str">
        <f>IF(ISERROR(VLOOKUP(E25,Nombres!A:D,4,FALSE)),"PROBLEMAAAAAA",VLOOKUP(E25,Nombres!A:D,4,FALSE))</f>
        <v>DEL</v>
      </c>
      <c r="D25" t="str">
        <f>IF(ISERROR(VLOOKUP(E25,Nombres!A:D,3,FALSE)),"PROBLEMAAAAAA",VLOOKUP(E25,Nombres!A:D,3,FALSE))</f>
        <v>Rayo</v>
      </c>
      <c r="E25" t="s">
        <v>135</v>
      </c>
      <c r="F25" s="1">
        <v>45872</v>
      </c>
      <c r="G25" t="s">
        <v>9</v>
      </c>
      <c r="H25" t="s">
        <v>31</v>
      </c>
      <c r="I25" s="2">
        <v>0</v>
      </c>
    </row>
    <row r="26" spans="1:9" x14ac:dyDescent="0.25">
      <c r="A26">
        <v>25</v>
      </c>
      <c r="B26" t="str">
        <f>IF(ISERROR(VLOOKUP(E26,Nombres!A:D,2,FALSE)),"PROBLEMAAAAAA",VLOOKUP(E26,Nombres!A:D,2,FALSE))</f>
        <v>S. Cardona</v>
      </c>
      <c r="C26" t="str">
        <f>IF(ISERROR(VLOOKUP(E26,Nombres!A:D,4,FALSE)),"PROBLEMAAAAAA",VLOOKUP(E26,Nombres!A:D,4,FALSE))</f>
        <v>DEF</v>
      </c>
      <c r="D26" t="str">
        <f>IF(ISERROR(VLOOKUP(E26,Nombres!A:D,3,FALSE)),"PROBLEMAAAAAA",VLOOKUP(E26,Nombres!A:D,3,FALSE))</f>
        <v>Villarreal</v>
      </c>
      <c r="E26" t="s">
        <v>182</v>
      </c>
      <c r="F26" s="1">
        <v>45872</v>
      </c>
      <c r="G26" t="s">
        <v>14</v>
      </c>
      <c r="H26" t="s">
        <v>31</v>
      </c>
      <c r="I26" s="2">
        <v>0</v>
      </c>
    </row>
    <row r="27" spans="1:9" x14ac:dyDescent="0.25">
      <c r="A27">
        <v>26</v>
      </c>
      <c r="B27" t="str">
        <f>IF(ISERROR(VLOOKUP(E27,Nombres!A:D,2,FALSE)),"PROBLEMAAAAAA",VLOOKUP(E27,Nombres!A:D,2,FALSE))</f>
        <v>Carlos Vicente</v>
      </c>
      <c r="C27" t="str">
        <f>IF(ISERROR(VLOOKUP(E27,Nombres!A:D,4,FALSE)),"PROBLEMAAAAAA",VLOOKUP(E27,Nombres!A:D,4,FALSE))</f>
        <v>DEL</v>
      </c>
      <c r="D27" t="str">
        <f>IF(ISERROR(VLOOKUP(E27,Nombres!A:D,3,FALSE)),"PROBLEMAAAAAA",VLOOKUP(E27,Nombres!A:D,3,FALSE))</f>
        <v>Alavés</v>
      </c>
      <c r="E27" t="s">
        <v>311</v>
      </c>
      <c r="F27" s="1">
        <v>45872</v>
      </c>
      <c r="G27" t="s">
        <v>14</v>
      </c>
      <c r="H27" t="s">
        <v>31</v>
      </c>
      <c r="I27" s="2">
        <v>0</v>
      </c>
    </row>
    <row r="28" spans="1:9" x14ac:dyDescent="0.25">
      <c r="A28">
        <v>27</v>
      </c>
      <c r="B28" t="str">
        <f>IF(ISERROR(VLOOKUP(E28,Nombres!A:D,2,FALSE)),"PROBLEMAAAAAA",VLOOKUP(E28,Nombres!A:D,2,FALSE))</f>
        <v>Carvajal</v>
      </c>
      <c r="C28" t="str">
        <f>IF(ISERROR(VLOOKUP(E28,Nombres!A:D,4,FALSE)),"PROBLEMAAAAAA",VLOOKUP(E28,Nombres!A:D,4,FALSE))</f>
        <v>DEF</v>
      </c>
      <c r="D28" t="str">
        <f>IF(ISERROR(VLOOKUP(E28,Nombres!A:D,3,FALSE)),"PROBLEMAAAAAA",VLOOKUP(E28,Nombres!A:D,3,FALSE))</f>
        <v>Real Madrid</v>
      </c>
      <c r="E28" t="s">
        <v>81</v>
      </c>
      <c r="F28" s="1">
        <v>45872</v>
      </c>
      <c r="G28" t="s">
        <v>6</v>
      </c>
      <c r="H28" t="s">
        <v>31</v>
      </c>
      <c r="I28" s="2">
        <v>0</v>
      </c>
    </row>
    <row r="29" spans="1:9" x14ac:dyDescent="0.25">
      <c r="A29">
        <v>28</v>
      </c>
      <c r="B29" t="str">
        <f>IF(ISERROR(VLOOKUP(E29,Nombres!A:D,2,FALSE)),"PROBLEMAAAAAA",VLOOKUP(E29,Nombres!A:D,2,FALSE))</f>
        <v>Casadó</v>
      </c>
      <c r="C29" t="str">
        <f>IF(ISERROR(VLOOKUP(E29,Nombres!A:D,4,FALSE)),"PROBLEMAAAAAA",VLOOKUP(E29,Nombres!A:D,4,FALSE))</f>
        <v>MED</v>
      </c>
      <c r="D29" t="str">
        <f>IF(ISERROR(VLOOKUP(E29,Nombres!A:D,3,FALSE)),"PROBLEMAAAAAA",VLOOKUP(E29,Nombres!A:D,3,FALSE))</f>
        <v>Barcelona</v>
      </c>
      <c r="E29" t="s">
        <v>48</v>
      </c>
      <c r="F29" s="1">
        <v>45872</v>
      </c>
      <c r="G29" t="s">
        <v>12</v>
      </c>
      <c r="H29" t="s">
        <v>31</v>
      </c>
      <c r="I29" s="2">
        <v>0</v>
      </c>
    </row>
    <row r="30" spans="1:9" x14ac:dyDescent="0.25">
      <c r="A30">
        <v>29</v>
      </c>
      <c r="B30" t="str">
        <f>IF(ISERROR(VLOOKUP(E30,Nombres!A:D,2,FALSE)),"PROBLEMAAAAAA",VLOOKUP(E30,Nombres!A:D,2,FALSE))</f>
        <v>Catena</v>
      </c>
      <c r="C30" t="str">
        <f>IF(ISERROR(VLOOKUP(E30,Nombres!A:D,4,FALSE)),"PROBLEMAAAAAA",VLOOKUP(E30,Nombres!A:D,4,FALSE))</f>
        <v>DEF</v>
      </c>
      <c r="D30" t="str">
        <f>IF(ISERROR(VLOOKUP(E30,Nombres!A:D,3,FALSE)),"PROBLEMAAAAAA",VLOOKUP(E30,Nombres!A:D,3,FALSE))</f>
        <v>Osasuna</v>
      </c>
      <c r="E30" t="s">
        <v>175</v>
      </c>
      <c r="F30" s="1">
        <v>45872</v>
      </c>
      <c r="G30" t="s">
        <v>13</v>
      </c>
      <c r="H30" t="s">
        <v>31</v>
      </c>
      <c r="I30" s="2">
        <v>0</v>
      </c>
    </row>
    <row r="31" spans="1:9" x14ac:dyDescent="0.25">
      <c r="A31">
        <v>30</v>
      </c>
      <c r="B31" t="str">
        <f>IF(ISERROR(VLOOKUP(E31,Nombres!A:D,2,FALSE)),"PROBLEMAAAAAA",VLOOKUP(E31,Nombres!A:D,2,FALSE))</f>
        <v>Chimy</v>
      </c>
      <c r="C31" t="str">
        <f>IF(ISERROR(VLOOKUP(E31,Nombres!A:D,4,FALSE)),"PROBLEMAAAAAA",VLOOKUP(E31,Nombres!A:D,4,FALSE))</f>
        <v>DEL</v>
      </c>
      <c r="D31" t="str">
        <f>IF(ISERROR(VLOOKUP(E31,Nombres!A:D,3,FALSE)),"PROBLEMAAAAAA",VLOOKUP(E31,Nombres!A:D,3,FALSE))</f>
        <v>Betis</v>
      </c>
      <c r="E31" t="s">
        <v>169</v>
      </c>
      <c r="F31" s="1">
        <v>45872</v>
      </c>
      <c r="G31" t="s">
        <v>12</v>
      </c>
      <c r="H31" t="s">
        <v>31</v>
      </c>
      <c r="I31" s="2">
        <v>0</v>
      </c>
    </row>
    <row r="32" spans="1:9" x14ac:dyDescent="0.25">
      <c r="A32">
        <v>31</v>
      </c>
      <c r="B32" t="str">
        <f>IF(ISERROR(VLOOKUP(E32,Nombres!A:D,2,FALSE)),"PROBLEMAAAAAA",VLOOKUP(E32,Nombres!A:D,2,FALSE))</f>
        <v>A. Christensen</v>
      </c>
      <c r="C32" t="str">
        <f>IF(ISERROR(VLOOKUP(E32,Nombres!A:D,4,FALSE)),"PROBLEMAAAAAA",VLOOKUP(E32,Nombres!A:D,4,FALSE))</f>
        <v>DEF</v>
      </c>
      <c r="D32" t="str">
        <f>IF(ISERROR(VLOOKUP(E32,Nombres!A:D,3,FALSE)),"PROBLEMAAAAAA",VLOOKUP(E32,Nombres!A:D,3,FALSE))</f>
        <v>Barcelona</v>
      </c>
      <c r="E32" t="s">
        <v>151</v>
      </c>
      <c r="F32" s="1">
        <v>45872</v>
      </c>
      <c r="G32" t="s">
        <v>11</v>
      </c>
      <c r="H32" t="s">
        <v>31</v>
      </c>
      <c r="I32" s="2">
        <v>0</v>
      </c>
    </row>
    <row r="33" spans="1:9" x14ac:dyDescent="0.25">
      <c r="A33">
        <v>32</v>
      </c>
      <c r="B33" t="str">
        <f>IF(ISERROR(VLOOKUP(E33,Nombres!A:D,2,FALSE)),"PROBLEMAAAAAA",VLOOKUP(E33,Nombres!A:D,2,FALSE))</f>
        <v>Comesaña</v>
      </c>
      <c r="C33" t="str">
        <f>IF(ISERROR(VLOOKUP(E33,Nombres!A:D,4,FALSE)),"PROBLEMAAAAAA",VLOOKUP(E33,Nombres!A:D,4,FALSE))</f>
        <v>MED</v>
      </c>
      <c r="D33" t="str">
        <f>IF(ISERROR(VLOOKUP(E33,Nombres!A:D,3,FALSE)),"PROBLEMAAAAAA",VLOOKUP(E33,Nombres!A:D,3,FALSE))</f>
        <v>Villarreal</v>
      </c>
      <c r="E33" t="s">
        <v>145</v>
      </c>
      <c r="F33" s="1">
        <v>45872</v>
      </c>
      <c r="G33" t="s">
        <v>10</v>
      </c>
      <c r="H33" t="s">
        <v>31</v>
      </c>
      <c r="I33" s="2">
        <v>0</v>
      </c>
    </row>
    <row r="34" spans="1:9" x14ac:dyDescent="0.25">
      <c r="A34">
        <v>33</v>
      </c>
      <c r="B34" t="str">
        <f>IF(ISERROR(VLOOKUP(E34,Nombres!A:D,2,FALSE)),"PROBLEMAAAAAA",VLOOKUP(E34,Nombres!A:D,2,FALSE))</f>
        <v>Thierry</v>
      </c>
      <c r="C34" t="str">
        <f>IF(ISERROR(VLOOKUP(E34,Nombres!A:D,4,FALSE)),"PROBLEMAAAAAA",VLOOKUP(E34,Nombres!A:D,4,FALSE))</f>
        <v>DEF</v>
      </c>
      <c r="D34" t="str">
        <f>IF(ISERROR(VLOOKUP(E34,Nombres!A:D,3,FALSE)),"PROBLEMAAAAAA",VLOOKUP(E34,Nombres!A:D,3,FALSE))</f>
        <v>Valencia</v>
      </c>
      <c r="E34" t="s">
        <v>46</v>
      </c>
      <c r="F34" s="1">
        <v>45872</v>
      </c>
      <c r="G34" t="s">
        <v>10</v>
      </c>
      <c r="H34" t="s">
        <v>31</v>
      </c>
      <c r="I34" s="2">
        <v>0</v>
      </c>
    </row>
    <row r="35" spans="1:9" x14ac:dyDescent="0.25">
      <c r="A35">
        <v>34</v>
      </c>
      <c r="B35" t="str">
        <f>IF(ISERROR(VLOOKUP(E35,Nombres!A:D,2,FALSE)),"PROBLEMAAAAAA",VLOOKUP(E35,Nombres!A:D,2,FALSE))</f>
        <v>Blind</v>
      </c>
      <c r="C35" t="str">
        <f>IF(ISERROR(VLOOKUP(E35,Nombres!A:D,4,FALSE)),"PROBLEMAAAAAA",VLOOKUP(E35,Nombres!A:D,4,FALSE))</f>
        <v>DEF</v>
      </c>
      <c r="D35" t="str">
        <f>IF(ISERROR(VLOOKUP(E35,Nombres!A:D,3,FALSE)),"PROBLEMAAAAAA",VLOOKUP(E35,Nombres!A:D,3,FALSE))</f>
        <v>Girona</v>
      </c>
      <c r="E35" t="s">
        <v>140</v>
      </c>
      <c r="F35" s="1">
        <v>45872</v>
      </c>
      <c r="G35" t="s">
        <v>10</v>
      </c>
      <c r="H35" t="s">
        <v>31</v>
      </c>
      <c r="I35" s="2">
        <v>0</v>
      </c>
    </row>
    <row r="36" spans="1:9" x14ac:dyDescent="0.25">
      <c r="A36">
        <v>35</v>
      </c>
      <c r="B36" t="str">
        <f>IF(ISERROR(VLOOKUP(E36,Nombres!A:D,2,FALSE)),"PROBLEMAAAAAA",VLOOKUP(E36,Nombres!A:D,2,FALSE))</f>
        <v>Dani Rodríguez</v>
      </c>
      <c r="C36" t="str">
        <f>IF(ISERROR(VLOOKUP(E36,Nombres!A:D,4,FALSE)),"PROBLEMAAAAAA",VLOOKUP(E36,Nombres!A:D,4,FALSE))</f>
        <v>MED</v>
      </c>
      <c r="D36" t="str">
        <f>IF(ISERROR(VLOOKUP(E36,Nombres!A:D,3,FALSE)),"PROBLEMAAAAAA",VLOOKUP(E36,Nombres!A:D,3,FALSE))</f>
        <v>Mallorca</v>
      </c>
      <c r="E36" t="s">
        <v>143</v>
      </c>
      <c r="F36" s="1">
        <v>45872</v>
      </c>
      <c r="G36" t="s">
        <v>10</v>
      </c>
      <c r="H36" t="s">
        <v>31</v>
      </c>
      <c r="I36" s="2">
        <v>0</v>
      </c>
    </row>
    <row r="37" spans="1:9" x14ac:dyDescent="0.25">
      <c r="A37">
        <v>36</v>
      </c>
      <c r="B37" t="str">
        <f>IF(ISERROR(VLOOKUP(E37,Nombres!A:D,2,FALSE)),"PROBLEMAAAAAA",VLOOKUP(E37,Nombres!A:D,2,FALSE))</f>
        <v>Darder</v>
      </c>
      <c r="C37" t="str">
        <f>IF(ISERROR(VLOOKUP(E37,Nombres!A:D,4,FALSE)),"PROBLEMAAAAAA",VLOOKUP(E37,Nombres!A:D,4,FALSE))</f>
        <v>MED</v>
      </c>
      <c r="D37" t="str">
        <f>IF(ISERROR(VLOOKUP(E37,Nombres!A:D,3,FALSE)),"PROBLEMAAAAAA",VLOOKUP(E37,Nombres!A:D,3,FALSE))</f>
        <v>Mallorca</v>
      </c>
      <c r="E37" t="s">
        <v>144</v>
      </c>
      <c r="F37" s="1">
        <v>45872</v>
      </c>
      <c r="G37" t="s">
        <v>10</v>
      </c>
      <c r="H37" t="s">
        <v>31</v>
      </c>
      <c r="I37" s="2">
        <v>0</v>
      </c>
    </row>
    <row r="38" spans="1:9" x14ac:dyDescent="0.25">
      <c r="A38">
        <v>37</v>
      </c>
      <c r="B38" t="str">
        <f>IF(ISERROR(VLOOKUP(E38,Nombres!A:D,2,FALSE)),"PROBLEMAAAAAA",VLOOKUP(E38,Nombres!A:D,2,FALSE))</f>
        <v>David López</v>
      </c>
      <c r="C38" t="str">
        <f>IF(ISERROR(VLOOKUP(E38,Nombres!A:D,4,FALSE)),"PROBLEMAAAAAA",VLOOKUP(E38,Nombres!A:D,4,FALSE))</f>
        <v>DEF</v>
      </c>
      <c r="D38" t="str">
        <f>IF(ISERROR(VLOOKUP(E38,Nombres!A:D,3,FALSE)),"PROBLEMAAAAAA",VLOOKUP(E38,Nombres!A:D,3,FALSE))</f>
        <v>Girona</v>
      </c>
      <c r="E38" t="s">
        <v>80</v>
      </c>
      <c r="F38" s="1">
        <v>45872</v>
      </c>
      <c r="G38" t="s">
        <v>6</v>
      </c>
      <c r="H38" t="s">
        <v>31</v>
      </c>
      <c r="I38" s="2">
        <v>0</v>
      </c>
    </row>
    <row r="39" spans="1:9" x14ac:dyDescent="0.25">
      <c r="A39">
        <v>38</v>
      </c>
      <c r="B39" t="str">
        <f>IF(ISERROR(VLOOKUP(E39,Nombres!A:D,2,FALSE)),"PROBLEMAAAAAA",VLOOKUP(E39,Nombres!A:D,2,FALSE))</f>
        <v>De Frutos</v>
      </c>
      <c r="C39" t="str">
        <f>IF(ISERROR(VLOOKUP(E39,Nombres!A:D,4,FALSE)),"PROBLEMAAAAAA",VLOOKUP(E39,Nombres!A:D,4,FALSE))</f>
        <v>DEL</v>
      </c>
      <c r="D39" t="str">
        <f>IF(ISERROR(VLOOKUP(E39,Nombres!A:D,3,FALSE)),"PROBLEMAAAAAA",VLOOKUP(E39,Nombres!A:D,3,FALSE))</f>
        <v>Rayo</v>
      </c>
      <c r="E39" t="s">
        <v>119</v>
      </c>
      <c r="F39" s="1">
        <v>45872</v>
      </c>
      <c r="G39" t="s">
        <v>768</v>
      </c>
      <c r="H39" t="s">
        <v>31</v>
      </c>
      <c r="I39" s="2">
        <v>0</v>
      </c>
    </row>
    <row r="40" spans="1:9" x14ac:dyDescent="0.25">
      <c r="A40">
        <v>39</v>
      </c>
      <c r="B40" t="str">
        <f>IF(ISERROR(VLOOKUP(E40,Nombres!A:D,2,FALSE)),"PROBLEMAAAAAA",VLOOKUP(E40,Nombres!A:D,2,FALSE))</f>
        <v>R. de Galarreta</v>
      </c>
      <c r="C40" t="str">
        <f>IF(ISERROR(VLOOKUP(E40,Nombres!A:D,4,FALSE)),"PROBLEMAAAAAA",VLOOKUP(E40,Nombres!A:D,4,FALSE))</f>
        <v>MED</v>
      </c>
      <c r="D40" t="str">
        <f>IF(ISERROR(VLOOKUP(E40,Nombres!A:D,3,FALSE)),"PROBLEMAAAAAA",VLOOKUP(E40,Nombres!A:D,3,FALSE))</f>
        <v>Athletic</v>
      </c>
      <c r="E40" t="s">
        <v>155</v>
      </c>
      <c r="F40" s="1">
        <v>45872</v>
      </c>
      <c r="G40" t="s">
        <v>11</v>
      </c>
      <c r="H40" t="s">
        <v>31</v>
      </c>
      <c r="I40" s="2">
        <v>0</v>
      </c>
    </row>
    <row r="41" spans="1:9" x14ac:dyDescent="0.25">
      <c r="A41">
        <v>40</v>
      </c>
      <c r="B41" t="str">
        <f>IF(ISERROR(VLOOKUP(E41,Nombres!A:D,2,FALSE)),"PROBLEMAAAAAA",VLOOKUP(E41,Nombres!A:D,2,FALSE))</f>
        <v>De la Fuente</v>
      </c>
      <c r="C41" t="str">
        <f>IF(ISERROR(VLOOKUP(E41,Nombres!A:D,4,FALSE)),"PROBLEMAAAAAA",VLOOKUP(E41,Nombres!A:D,4,FALSE))</f>
        <v>DEF</v>
      </c>
      <c r="D41" t="str">
        <f>IF(ISERROR(VLOOKUP(E41,Nombres!A:D,3,FALSE)),"PROBLEMAAAAAA",VLOOKUP(E41,Nombres!A:D,3,FALSE))</f>
        <v>Levante</v>
      </c>
      <c r="E41" t="s">
        <v>116</v>
      </c>
      <c r="F41" s="1">
        <v>45872</v>
      </c>
      <c r="G41" t="s">
        <v>768</v>
      </c>
      <c r="H41" t="s">
        <v>31</v>
      </c>
      <c r="I41" s="2">
        <v>0</v>
      </c>
    </row>
    <row r="42" spans="1:9" x14ac:dyDescent="0.25">
      <c r="A42">
        <v>41</v>
      </c>
      <c r="B42" t="str">
        <f>IF(ISERROR(VLOOKUP(E42,Nombres!A:D,2,FALSE)),"PROBLEMAAAAAA",VLOOKUP(E42,Nombres!A:D,2,FALSE))</f>
        <v>Conde</v>
      </c>
      <c r="C42" t="str">
        <f>IF(ISERROR(VLOOKUP(E42,Nombres!A:D,4,FALSE)),"PROBLEMAAAAAA",VLOOKUP(E42,Nombres!A:D,4,FALSE))</f>
        <v>POR</v>
      </c>
      <c r="D42" t="str">
        <f>IF(ISERROR(VLOOKUP(E42,Nombres!A:D,3,FALSE)),"PROBLEMAAAAAA",VLOOKUP(E42,Nombres!A:D,3,FALSE))</f>
        <v>Villarreal</v>
      </c>
      <c r="E42" t="s">
        <v>179</v>
      </c>
      <c r="F42" s="1">
        <v>45872</v>
      </c>
      <c r="G42" t="s">
        <v>14</v>
      </c>
      <c r="H42" t="s">
        <v>31</v>
      </c>
      <c r="I42" s="2">
        <v>0</v>
      </c>
    </row>
    <row r="43" spans="1:9" x14ac:dyDescent="0.25">
      <c r="A43">
        <v>42</v>
      </c>
      <c r="B43" t="str">
        <f>IF(ISERROR(VLOOKUP(E43,Nombres!A:D,2,FALSE)),"PROBLEMAAAAAA",VLOOKUP(E43,Nombres!A:D,2,FALSE))</f>
        <v>Diego López</v>
      </c>
      <c r="C43" t="str">
        <f>IF(ISERROR(VLOOKUP(E43,Nombres!A:D,4,FALSE)),"PROBLEMAAAAAA",VLOOKUP(E43,Nombres!A:D,4,FALSE))</f>
        <v>DEL</v>
      </c>
      <c r="D43" t="str">
        <f>IF(ISERROR(VLOOKUP(E43,Nombres!A:D,3,FALSE)),"PROBLEMAAAAAA",VLOOKUP(E43,Nombres!A:D,3,FALSE))</f>
        <v>Valencia</v>
      </c>
      <c r="E43" t="s">
        <v>159</v>
      </c>
      <c r="F43" s="1">
        <v>45872</v>
      </c>
      <c r="G43" t="s">
        <v>11</v>
      </c>
      <c r="H43" t="s">
        <v>31</v>
      </c>
      <c r="I43" s="2">
        <v>0</v>
      </c>
    </row>
    <row r="44" spans="1:9" x14ac:dyDescent="0.25">
      <c r="A44">
        <v>43</v>
      </c>
      <c r="B44" t="str">
        <f>IF(ISERROR(VLOOKUP(E44,Nombres!A:D,2,FALSE)),"PROBLEMAAAAAA",VLOOKUP(E44,Nombres!A:D,2,FALSE))</f>
        <v>Dimitrievski</v>
      </c>
      <c r="C44" t="str">
        <f>IF(ISERROR(VLOOKUP(E44,Nombres!A:D,4,FALSE)),"PROBLEMAAAAAA",VLOOKUP(E44,Nombres!A:D,4,FALSE))</f>
        <v>POR</v>
      </c>
      <c r="D44" t="str">
        <f>IF(ISERROR(VLOOKUP(E44,Nombres!A:D,3,FALSE)),"PROBLEMAAAAAA",VLOOKUP(E44,Nombres!A:D,3,FALSE))</f>
        <v>Valencia</v>
      </c>
      <c r="E44" t="s">
        <v>97</v>
      </c>
      <c r="F44" s="1">
        <v>45872</v>
      </c>
      <c r="G44" t="s">
        <v>7</v>
      </c>
      <c r="H44" t="s">
        <v>31</v>
      </c>
      <c r="I44" s="2">
        <v>0</v>
      </c>
    </row>
    <row r="45" spans="1:9" x14ac:dyDescent="0.25">
      <c r="A45">
        <v>44</v>
      </c>
      <c r="B45" t="str">
        <f>IF(ISERROR(VLOOKUP(E45,Nombres!A:D,2,FALSE)),"PROBLEMAAAAAA",VLOOKUP(E45,Nombres!A:D,2,FALSE))</f>
        <v>Dmitrovic</v>
      </c>
      <c r="C45" t="str">
        <f>IF(ISERROR(VLOOKUP(E45,Nombres!A:D,4,FALSE)),"PROBLEMAAAAAA",VLOOKUP(E45,Nombres!A:D,4,FALSE))</f>
        <v>POR</v>
      </c>
      <c r="D45" t="str">
        <f>IF(ISERROR(VLOOKUP(E45,Nombres!A:D,3,FALSE)),"PROBLEMAAAAAA",VLOOKUP(E45,Nombres!A:D,3,FALSE))</f>
        <v>Espanyol</v>
      </c>
      <c r="E45" t="s">
        <v>113</v>
      </c>
      <c r="F45" s="1">
        <v>45872</v>
      </c>
      <c r="G45" t="s">
        <v>768</v>
      </c>
      <c r="H45" t="s">
        <v>31</v>
      </c>
      <c r="I45" s="2">
        <v>0</v>
      </c>
    </row>
    <row r="46" spans="1:9" x14ac:dyDescent="0.25">
      <c r="A46">
        <v>45</v>
      </c>
      <c r="B46" t="str">
        <f>IF(ISERROR(VLOOKUP(E46,Nombres!A:D,2,FALSE)),"PROBLEMAAAAAA",VLOOKUP(E46,Nombres!A:D,2,FALSE))</f>
        <v>D. Duarte</v>
      </c>
      <c r="C46" t="str">
        <f>IF(ISERROR(VLOOKUP(E46,Nombres!A:D,4,FALSE)),"PROBLEMAAAAAA",VLOOKUP(E46,Nombres!A:D,4,FALSE))</f>
        <v>DEF</v>
      </c>
      <c r="D46" t="str">
        <f>IF(ISERROR(VLOOKUP(E46,Nombres!A:D,3,FALSE)),"PROBLEMAAAAAA",VLOOKUP(E46,Nombres!A:D,3,FALSE))</f>
        <v>Getafe</v>
      </c>
      <c r="E46" t="s">
        <v>108</v>
      </c>
      <c r="F46" s="1">
        <v>45872</v>
      </c>
      <c r="G46" t="s">
        <v>7</v>
      </c>
      <c r="H46" t="s">
        <v>31</v>
      </c>
      <c r="I46" s="2">
        <v>0</v>
      </c>
    </row>
    <row r="47" spans="1:9" x14ac:dyDescent="0.25">
      <c r="A47">
        <v>46</v>
      </c>
      <c r="B47" t="str">
        <f>IF(ISERROR(VLOOKUP(E47,Nombres!A:D,2,FALSE)),"PROBLEMAAAAAA",VLOOKUP(E47,Nombres!A:D,2,FALSE))</f>
        <v>Domínguez</v>
      </c>
      <c r="C47" t="str">
        <f>IF(ISERROR(VLOOKUP(E47,Nombres!A:D,4,FALSE)),"PROBLEMAAAAAA",VLOOKUP(E47,Nombres!A:D,4,FALSE))</f>
        <v>DEF</v>
      </c>
      <c r="D47" t="str">
        <f>IF(ISERROR(VLOOKUP(E47,Nombres!A:D,3,FALSE)),"PROBLEMAAAAAA",VLOOKUP(E47,Nombres!A:D,3,FALSE))</f>
        <v>Celta</v>
      </c>
      <c r="E47" t="s">
        <v>172</v>
      </c>
      <c r="F47" s="1">
        <v>45872</v>
      </c>
      <c r="G47" t="s">
        <v>13</v>
      </c>
      <c r="H47" t="s">
        <v>31</v>
      </c>
      <c r="I47" s="2">
        <v>0</v>
      </c>
    </row>
    <row r="48" spans="1:9" x14ac:dyDescent="0.25">
      <c r="A48">
        <v>47</v>
      </c>
      <c r="B48" t="str">
        <f>IF(ISERROR(VLOOKUP(E48,Nombres!A:D,2,FALSE)),"PROBLEMAAAAAA",VLOOKUP(E48,Nombres!A:D,2,FALSE))</f>
        <v>Ejuke</v>
      </c>
      <c r="C48" t="str">
        <f>IF(ISERROR(VLOOKUP(E48,Nombres!A:D,4,FALSE)),"PROBLEMAAAAAA",VLOOKUP(E48,Nombres!A:D,4,FALSE))</f>
        <v>DEL</v>
      </c>
      <c r="D48" t="str">
        <f>IF(ISERROR(VLOOKUP(E48,Nombres!A:D,3,FALSE)),"PROBLEMAAAAAA",VLOOKUP(E48,Nombres!A:D,3,FALSE))</f>
        <v>Sevilla</v>
      </c>
      <c r="E48" t="s">
        <v>92</v>
      </c>
      <c r="F48" s="1">
        <v>45872</v>
      </c>
      <c r="G48" t="s">
        <v>6</v>
      </c>
      <c r="H48" t="s">
        <v>31</v>
      </c>
      <c r="I48" s="2">
        <v>0</v>
      </c>
    </row>
    <row r="49" spans="1:9" x14ac:dyDescent="0.25">
      <c r="A49">
        <v>48</v>
      </c>
      <c r="B49" t="str">
        <f>IF(ISERROR(VLOOKUP(E49,Nombres!A:D,2,FALSE)),"PROBLEMAAAAAA",VLOOKUP(E49,Nombres!A:D,2,FALSE))</f>
        <v>Endrick</v>
      </c>
      <c r="C49" t="str">
        <f>IF(ISERROR(VLOOKUP(E49,Nombres!A:D,4,FALSE)),"PROBLEMAAAAAA",VLOOKUP(E49,Nombres!A:D,4,FALSE))</f>
        <v>DEL</v>
      </c>
      <c r="D49" t="str">
        <f>IF(ISERROR(VLOOKUP(E49,Nombres!A:D,3,FALSE)),"PROBLEMAAAAAA",VLOOKUP(E49,Nombres!A:D,3,FALSE))</f>
        <v>Real Madrid</v>
      </c>
      <c r="E49" t="s">
        <v>42</v>
      </c>
      <c r="F49" s="1">
        <v>45872</v>
      </c>
      <c r="G49" t="s">
        <v>13</v>
      </c>
      <c r="H49" t="s">
        <v>31</v>
      </c>
      <c r="I49" s="2">
        <v>0</v>
      </c>
    </row>
    <row r="50" spans="1:9" x14ac:dyDescent="0.25">
      <c r="A50">
        <v>49</v>
      </c>
      <c r="B50" t="str">
        <f>IF(ISERROR(VLOOKUP(E50,Nombres!A:D,2,FALSE)),"PROBLEMAAAAAA",VLOOKUP(E50,Nombres!A:D,2,FALSE))</f>
        <v>Eric García</v>
      </c>
      <c r="C50" t="str">
        <f>IF(ISERROR(VLOOKUP(E50,Nombres!A:D,4,FALSE)),"PROBLEMAAAAAA",VLOOKUP(E50,Nombres!A:D,4,FALSE))</f>
        <v>DEF</v>
      </c>
      <c r="D50" t="str">
        <f>IF(ISERROR(VLOOKUP(E50,Nombres!A:D,3,FALSE)),"PROBLEMAAAAAA",VLOOKUP(E50,Nombres!A:D,3,FALSE))</f>
        <v>Barcelona</v>
      </c>
      <c r="E50" t="s">
        <v>152</v>
      </c>
      <c r="F50" s="1">
        <v>45872</v>
      </c>
      <c r="G50" t="s">
        <v>11</v>
      </c>
      <c r="H50" t="s">
        <v>31</v>
      </c>
      <c r="I50" s="2">
        <v>0</v>
      </c>
    </row>
    <row r="51" spans="1:9" x14ac:dyDescent="0.25">
      <c r="A51">
        <v>50</v>
      </c>
      <c r="B51" t="str">
        <f>IF(ISERROR(VLOOKUP(E51,Nombres!A:D,2,FALSE)),"PROBLEMAAAAAA",VLOOKUP(E51,Nombres!A:D,2,FALSE))</f>
        <v>Abde</v>
      </c>
      <c r="C51" t="str">
        <f>IF(ISERROR(VLOOKUP(E51,Nombres!A:D,4,FALSE)),"PROBLEMAAAAAA",VLOOKUP(E51,Nombres!A:D,4,FALSE))</f>
        <v>DEL</v>
      </c>
      <c r="D51" t="str">
        <f>IF(ISERROR(VLOOKUP(E51,Nombres!A:D,3,FALSE)),"PROBLEMAAAAAA",VLOOKUP(E51,Nombres!A:D,3,FALSE))</f>
        <v>Betis</v>
      </c>
      <c r="E51" t="s">
        <v>147</v>
      </c>
      <c r="F51" s="1">
        <v>45872</v>
      </c>
      <c r="G51" t="s">
        <v>10</v>
      </c>
      <c r="H51" t="s">
        <v>31</v>
      </c>
      <c r="I51" s="2">
        <v>0</v>
      </c>
    </row>
    <row r="52" spans="1:9" x14ac:dyDescent="0.25">
      <c r="A52">
        <v>51</v>
      </c>
      <c r="B52" t="str">
        <f>IF(ISERROR(VLOOKUP(E52,Nombres!A:D,2,FALSE)),"PROBLEMAAAAAA",VLOOKUP(E52,Nombres!A:D,2,FALSE))</f>
        <v>Fermín</v>
      </c>
      <c r="C52" t="str">
        <f>IF(ISERROR(VLOOKUP(E52,Nombres!A:D,4,FALSE)),"PROBLEMAAAAAA",VLOOKUP(E52,Nombres!A:D,4,FALSE))</f>
        <v>MED</v>
      </c>
      <c r="D52" t="str">
        <f>IF(ISERROR(VLOOKUP(E52,Nombres!A:D,3,FALSE)),"PROBLEMAAAAAA",VLOOKUP(E52,Nombres!A:D,3,FALSE))</f>
        <v>Barcelona</v>
      </c>
      <c r="E52" t="s">
        <v>184</v>
      </c>
      <c r="F52" s="1">
        <v>45872</v>
      </c>
      <c r="G52" t="s">
        <v>14</v>
      </c>
      <c r="H52" t="s">
        <v>31</v>
      </c>
      <c r="I52" s="2">
        <v>0</v>
      </c>
    </row>
    <row r="53" spans="1:9" x14ac:dyDescent="0.25">
      <c r="A53">
        <v>52</v>
      </c>
      <c r="B53" t="str">
        <f>IF(ISERROR(VLOOKUP(E53,Nombres!A:D,2,FALSE)),"PROBLEMAAAAAA",VLOOKUP(E53,Nombres!A:D,2,FALSE))</f>
        <v>Ferran</v>
      </c>
      <c r="C53" t="str">
        <f>IF(ISERROR(VLOOKUP(E53,Nombres!A:D,4,FALSE)),"PROBLEMAAAAAA",VLOOKUP(E53,Nombres!A:D,4,FALSE))</f>
        <v>DEL</v>
      </c>
      <c r="D53" t="str">
        <f>IF(ISERROR(VLOOKUP(E53,Nombres!A:D,3,FALSE)),"PROBLEMAAAAAA",VLOOKUP(E53,Nombres!A:D,3,FALSE))</f>
        <v>Barcelona</v>
      </c>
      <c r="E53" t="s">
        <v>161</v>
      </c>
      <c r="F53" s="1">
        <v>45872</v>
      </c>
      <c r="G53" t="s">
        <v>11</v>
      </c>
      <c r="H53" t="s">
        <v>31</v>
      </c>
      <c r="I53" s="2">
        <v>0</v>
      </c>
    </row>
    <row r="54" spans="1:9" x14ac:dyDescent="0.25">
      <c r="A54">
        <v>53</v>
      </c>
      <c r="B54" t="str">
        <f>IF(ISERROR(VLOOKUP(E54,Nombres!A:D,2,FALSE)),"PROBLEMAAAAAA",VLOOKUP(E54,Nombres!A:D,2,FALSE))</f>
        <v>Fornals</v>
      </c>
      <c r="C54" t="str">
        <f>IF(ISERROR(VLOOKUP(E54,Nombres!A:D,4,FALSE)),"PROBLEMAAAAAA",VLOOKUP(E54,Nombres!A:D,4,FALSE))</f>
        <v>MED</v>
      </c>
      <c r="D54" t="str">
        <f>IF(ISERROR(VLOOKUP(E54,Nombres!A:D,3,FALSE)),"PROBLEMAAAAAA",VLOOKUP(E54,Nombres!A:D,3,FALSE))</f>
        <v>Betis</v>
      </c>
      <c r="E54" t="s">
        <v>120</v>
      </c>
      <c r="F54" s="1">
        <v>45872</v>
      </c>
      <c r="G54" t="s">
        <v>768</v>
      </c>
      <c r="H54" t="s">
        <v>31</v>
      </c>
      <c r="I54" s="2">
        <v>0</v>
      </c>
    </row>
    <row r="55" spans="1:9" x14ac:dyDescent="0.25">
      <c r="A55">
        <v>54</v>
      </c>
      <c r="B55" t="str">
        <f>IF(ISERROR(VLOOKUP(E55,Nombres!A:D,2,FALSE)),"PROBLEMAAAAAA",VLOOKUP(E55,Nombres!A:D,2,FALSE))</f>
        <v>Foyth</v>
      </c>
      <c r="C55" t="str">
        <f>IF(ISERROR(VLOOKUP(E55,Nombres!A:D,4,FALSE)),"PROBLEMAAAAAA",VLOOKUP(E55,Nombres!A:D,4,FALSE))</f>
        <v>DEF</v>
      </c>
      <c r="D55" t="str">
        <f>IF(ISERROR(VLOOKUP(E55,Nombres!A:D,3,FALSE)),"PROBLEMAAAAAA",VLOOKUP(E55,Nombres!A:D,3,FALSE))</f>
        <v>Villarreal</v>
      </c>
      <c r="E55" t="s">
        <v>99</v>
      </c>
      <c r="F55" s="1">
        <v>45872</v>
      </c>
      <c r="G55" t="s">
        <v>7</v>
      </c>
      <c r="H55" t="s">
        <v>31</v>
      </c>
      <c r="I55" s="2">
        <v>0</v>
      </c>
    </row>
    <row r="56" spans="1:9" x14ac:dyDescent="0.25">
      <c r="A56">
        <v>55</v>
      </c>
      <c r="B56" t="str">
        <f>IF(ISERROR(VLOOKUP(E56,Nombres!A:D,2,FALSE)),"PROBLEMAAAAAA",VLOOKUP(E56,Nombres!A:D,2,FALSE))</f>
        <v>Beltrán</v>
      </c>
      <c r="C56" t="str">
        <f>IF(ISERROR(VLOOKUP(E56,Nombres!A:D,4,FALSE)),"PROBLEMAAAAAA",VLOOKUP(E56,Nombres!A:D,4,FALSE))</f>
        <v>MED</v>
      </c>
      <c r="D56" t="str">
        <f>IF(ISERROR(VLOOKUP(E56,Nombres!A:D,3,FALSE)),"PROBLEMAAAAAA",VLOOKUP(E56,Nombres!A:D,3,FALSE))</f>
        <v>Celta</v>
      </c>
      <c r="E56" t="s">
        <v>165</v>
      </c>
      <c r="F56" s="1">
        <v>45872</v>
      </c>
      <c r="G56" t="s">
        <v>12</v>
      </c>
      <c r="H56" t="s">
        <v>31</v>
      </c>
      <c r="I56" s="2">
        <v>0</v>
      </c>
    </row>
    <row r="57" spans="1:9" x14ac:dyDescent="0.25">
      <c r="A57">
        <v>56</v>
      </c>
      <c r="B57" t="str">
        <f>IF(ISERROR(VLOOKUP(E57,Nombres!A:D,2,FALSE)),"PROBLEMAAAAAA",VLOOKUP(E57,Nombres!A:D,2,FALSE))</f>
        <v>Fran García</v>
      </c>
      <c r="C57" t="str">
        <f>IF(ISERROR(VLOOKUP(E57,Nombres!A:D,4,FALSE)),"PROBLEMAAAAAA",VLOOKUP(E57,Nombres!A:D,4,FALSE))</f>
        <v>DEF</v>
      </c>
      <c r="D57" t="str">
        <f>IF(ISERROR(VLOOKUP(E57,Nombres!A:D,3,FALSE)),"PROBLEMAAAAAA",VLOOKUP(E57,Nombres!A:D,3,FALSE))</f>
        <v>Real Madrid</v>
      </c>
      <c r="E57" t="s">
        <v>154</v>
      </c>
      <c r="F57" s="1">
        <v>45872</v>
      </c>
      <c r="G57" t="s">
        <v>11</v>
      </c>
      <c r="H57" t="s">
        <v>31</v>
      </c>
      <c r="I57" s="2">
        <v>0</v>
      </c>
    </row>
    <row r="58" spans="1:9" x14ac:dyDescent="0.25">
      <c r="A58">
        <v>57</v>
      </c>
      <c r="B58" t="str">
        <f>IF(ISERROR(VLOOKUP(E58,Nombres!A:D,2,FALSE)),"PROBLEMAAAAAA",VLOOKUP(E58,Nombres!A:D,2,FALSE))</f>
        <v>Gallagher</v>
      </c>
      <c r="C58" t="str">
        <f>IF(ISERROR(VLOOKUP(E58,Nombres!A:D,4,FALSE)),"PROBLEMAAAAAA",VLOOKUP(E58,Nombres!A:D,4,FALSE))</f>
        <v>MED</v>
      </c>
      <c r="D58" t="str">
        <f>IF(ISERROR(VLOOKUP(E58,Nombres!A:D,3,FALSE)),"PROBLEMAAAAAA",VLOOKUP(E58,Nombres!A:D,3,FALSE))</f>
        <v>Atlético</v>
      </c>
      <c r="E58" t="s">
        <v>58</v>
      </c>
      <c r="F58" s="1">
        <v>45872</v>
      </c>
      <c r="G58" t="s">
        <v>14</v>
      </c>
      <c r="H58" t="s">
        <v>31</v>
      </c>
      <c r="I58" s="2">
        <v>0</v>
      </c>
    </row>
    <row r="59" spans="1:9" x14ac:dyDescent="0.25">
      <c r="A59">
        <v>58</v>
      </c>
      <c r="B59" t="str">
        <f>IF(ISERROR(VLOOKUP(E59,Nombres!A:D,2,FALSE)),"PROBLEMAAAAAA",VLOOKUP(E59,Nombres!A:D,2,FALSE))</f>
        <v>Garcés</v>
      </c>
      <c r="C59" t="str">
        <f>IF(ISERROR(VLOOKUP(E59,Nombres!A:D,4,FALSE)),"PROBLEMAAAAAA",VLOOKUP(E59,Nombres!A:D,4,FALSE))</f>
        <v>DEF</v>
      </c>
      <c r="D59" t="str">
        <f>IF(ISERROR(VLOOKUP(E59,Nombres!A:D,3,FALSE)),"PROBLEMAAAAAA",VLOOKUP(E59,Nombres!A:D,3,FALSE))</f>
        <v>Alavés</v>
      </c>
      <c r="E59" t="s">
        <v>183</v>
      </c>
      <c r="F59" s="1">
        <v>45872</v>
      </c>
      <c r="G59" t="s">
        <v>14</v>
      </c>
      <c r="H59" t="s">
        <v>31</v>
      </c>
      <c r="I59" s="2">
        <v>0</v>
      </c>
    </row>
    <row r="60" spans="1:9" x14ac:dyDescent="0.25">
      <c r="A60">
        <v>59</v>
      </c>
      <c r="B60" t="str">
        <f>IF(ISERROR(VLOOKUP(E60,Nombres!A:D,2,FALSE)),"PROBLEMAAAAAA",VLOOKUP(E60,Nombres!A:D,2,FALSE))</f>
        <v>Gavi</v>
      </c>
      <c r="C60" t="str">
        <f>IF(ISERROR(VLOOKUP(E60,Nombres!A:D,4,FALSE)),"PROBLEMAAAAAA",VLOOKUP(E60,Nombres!A:D,4,FALSE))</f>
        <v>MED</v>
      </c>
      <c r="D60" t="str">
        <f>IF(ISERROR(VLOOKUP(E60,Nombres!A:D,3,FALSE)),"PROBLEMAAAAAA",VLOOKUP(E60,Nombres!A:D,3,FALSE))</f>
        <v>Barcelona</v>
      </c>
      <c r="E60" t="s">
        <v>177</v>
      </c>
      <c r="F60" s="1">
        <v>45872</v>
      </c>
      <c r="G60" t="s">
        <v>13</v>
      </c>
      <c r="H60" t="s">
        <v>31</v>
      </c>
      <c r="I60" s="2">
        <v>0</v>
      </c>
    </row>
    <row r="61" spans="1:9" x14ac:dyDescent="0.25">
      <c r="A61">
        <v>60</v>
      </c>
      <c r="B61" t="str">
        <f>IF(ISERROR(VLOOKUP(E61,Nombres!A:D,2,FALSE)),"PROBLEMAAAAAA",VLOOKUP(E61,Nombres!A:D,2,FALSE))</f>
        <v>Gayà</v>
      </c>
      <c r="C61" t="str">
        <f>IF(ISERROR(VLOOKUP(E61,Nombres!A:D,4,FALSE)),"PROBLEMAAAAAA",VLOOKUP(E61,Nombres!A:D,4,FALSE))</f>
        <v>DEF</v>
      </c>
      <c r="D61" t="str">
        <f>IF(ISERROR(VLOOKUP(E61,Nombres!A:D,3,FALSE)),"PROBLEMAAAAAA",VLOOKUP(E61,Nombres!A:D,3,FALSE))</f>
        <v>Valencia</v>
      </c>
      <c r="E61" t="s">
        <v>180</v>
      </c>
      <c r="F61" s="1">
        <v>45872</v>
      </c>
      <c r="G61" t="s">
        <v>14</v>
      </c>
      <c r="H61" t="s">
        <v>31</v>
      </c>
      <c r="I61" s="2">
        <v>0</v>
      </c>
    </row>
    <row r="62" spans="1:9" x14ac:dyDescent="0.25">
      <c r="A62">
        <v>61</v>
      </c>
      <c r="B62" t="str">
        <f>IF(ISERROR(VLOOKUP(E62,Nombres!A:D,2,FALSE)),"PROBLEMAAAAAA",VLOOKUP(E62,Nombres!A:D,2,FALSE))</f>
        <v>Gerard</v>
      </c>
      <c r="C62" t="str">
        <f>IF(ISERROR(VLOOKUP(E62,Nombres!A:D,4,FALSE)),"PROBLEMAAAAAA",VLOOKUP(E62,Nombres!A:D,4,FALSE))</f>
        <v>DEL</v>
      </c>
      <c r="D62" t="str">
        <f>IF(ISERROR(VLOOKUP(E62,Nombres!A:D,3,FALSE)),"PROBLEMAAAAAA",VLOOKUP(E62,Nombres!A:D,3,FALSE))</f>
        <v>Villarreal</v>
      </c>
      <c r="E62" t="s">
        <v>148</v>
      </c>
      <c r="F62" s="1">
        <v>45872</v>
      </c>
      <c r="G62" t="s">
        <v>10</v>
      </c>
      <c r="H62" t="s">
        <v>31</v>
      </c>
      <c r="I62" s="2">
        <v>0</v>
      </c>
    </row>
    <row r="63" spans="1:9" x14ac:dyDescent="0.25">
      <c r="A63">
        <v>62</v>
      </c>
      <c r="B63" t="str">
        <f>IF(ISERROR(VLOOKUP(E63,Nombres!A:D,2,FALSE)),"PROBLEMAAAAAA",VLOOKUP(E63,Nombres!A:D,2,FALSE))</f>
        <v>Giménez</v>
      </c>
      <c r="C63" t="str">
        <f>IF(ISERROR(VLOOKUP(E63,Nombres!A:D,4,FALSE)),"PROBLEMAAAAAA",VLOOKUP(E63,Nombres!A:D,4,FALSE))</f>
        <v>DEF</v>
      </c>
      <c r="D63" t="str">
        <f>IF(ISERROR(VLOOKUP(E63,Nombres!A:D,3,FALSE)),"PROBLEMAAAAAA",VLOOKUP(E63,Nombres!A:D,3,FALSE))</f>
        <v>Atlético</v>
      </c>
      <c r="E63" t="s">
        <v>163</v>
      </c>
      <c r="F63" s="1">
        <v>45872</v>
      </c>
      <c r="G63" t="s">
        <v>12</v>
      </c>
      <c r="H63" t="s">
        <v>31</v>
      </c>
      <c r="I63" s="2">
        <v>0</v>
      </c>
    </row>
    <row r="64" spans="1:9" x14ac:dyDescent="0.25">
      <c r="A64">
        <v>63</v>
      </c>
      <c r="B64" t="str">
        <f>IF(ISERROR(VLOOKUP(E64,Nombres!A:D,2,FALSE)),"PROBLEMAAAAAA",VLOOKUP(E64,Nombres!A:D,2,FALSE))</f>
        <v>Giuliano</v>
      </c>
      <c r="C64" t="str">
        <f>IF(ISERROR(VLOOKUP(E64,Nombres!A:D,4,FALSE)),"PROBLEMAAAAAA",VLOOKUP(E64,Nombres!A:D,4,FALSE))</f>
        <v>DEL</v>
      </c>
      <c r="D64" t="str">
        <f>IF(ISERROR(VLOOKUP(E64,Nombres!A:D,3,FALSE)),"PROBLEMAAAAAA",VLOOKUP(E64,Nombres!A:D,3,FALSE))</f>
        <v>Atlético</v>
      </c>
      <c r="E64" t="s">
        <v>303</v>
      </c>
      <c r="F64" s="1">
        <v>45872</v>
      </c>
      <c r="G64" t="s">
        <v>7</v>
      </c>
      <c r="H64" t="s">
        <v>31</v>
      </c>
      <c r="I64" s="2">
        <v>0</v>
      </c>
    </row>
    <row r="65" spans="1:9" x14ac:dyDescent="0.25">
      <c r="A65">
        <v>64</v>
      </c>
      <c r="B65" t="str">
        <f>IF(ISERROR(VLOOKUP(E65,Nombres!A:D,2,FALSE)),"PROBLEMAAAAAA",VLOOKUP(E65,Nombres!A:D,2,FALSE))</f>
        <v>Guevara</v>
      </c>
      <c r="C65" t="str">
        <f>IF(ISERROR(VLOOKUP(E65,Nombres!A:D,4,FALSE)),"PROBLEMAAAAAA",VLOOKUP(E65,Nombres!A:D,4,FALSE))</f>
        <v>MED</v>
      </c>
      <c r="D65" t="str">
        <f>IF(ISERROR(VLOOKUP(E65,Nombres!A:D,3,FALSE)),"PROBLEMAAAAAA",VLOOKUP(E65,Nombres!A:D,3,FALSE))</f>
        <v>Alavés</v>
      </c>
      <c r="E65" t="s">
        <v>130</v>
      </c>
      <c r="F65" s="1">
        <v>45872</v>
      </c>
      <c r="G65" t="s">
        <v>9</v>
      </c>
      <c r="H65" t="s">
        <v>31</v>
      </c>
      <c r="I65" s="2">
        <v>0</v>
      </c>
    </row>
    <row r="66" spans="1:9" x14ac:dyDescent="0.25">
      <c r="A66">
        <v>65</v>
      </c>
      <c r="B66" t="str">
        <f>IF(ISERROR(VLOOKUP(E66,Nombres!A:D,2,FALSE)),"PROBLEMAAAAAA",VLOOKUP(E66,Nombres!A:D,2,FALSE))</f>
        <v>Guridi</v>
      </c>
      <c r="C66" t="str">
        <f>IF(ISERROR(VLOOKUP(E66,Nombres!A:D,4,FALSE)),"PROBLEMAAAAAA",VLOOKUP(E66,Nombres!A:D,4,FALSE))</f>
        <v>MED</v>
      </c>
      <c r="D66" t="str">
        <f>IF(ISERROR(VLOOKUP(E66,Nombres!A:D,3,FALSE)),"PROBLEMAAAAAA",VLOOKUP(E66,Nombres!A:D,3,FALSE))</f>
        <v>Alavés</v>
      </c>
      <c r="E66" t="s">
        <v>87</v>
      </c>
      <c r="F66" s="1">
        <v>45872</v>
      </c>
      <c r="G66" t="s">
        <v>6</v>
      </c>
      <c r="H66" t="s">
        <v>31</v>
      </c>
      <c r="I66" s="2">
        <v>0</v>
      </c>
    </row>
    <row r="67" spans="1:9" x14ac:dyDescent="0.25">
      <c r="A67">
        <v>66</v>
      </c>
      <c r="B67" t="str">
        <f>IF(ISERROR(VLOOKUP(E67,Nombres!A:D,2,FALSE)),"PROBLEMAAAAAA",VLOOKUP(E67,Nombres!A:D,2,FALSE))</f>
        <v>Guruzeta</v>
      </c>
      <c r="C67" t="str">
        <f>IF(ISERROR(VLOOKUP(E67,Nombres!A:D,4,FALSE)),"PROBLEMAAAAAA",VLOOKUP(E67,Nombres!A:D,4,FALSE))</f>
        <v>DEL</v>
      </c>
      <c r="D67" t="str">
        <f>IF(ISERROR(VLOOKUP(E67,Nombres!A:D,3,FALSE)),"PROBLEMAAAAAA",VLOOKUP(E67,Nombres!A:D,3,FALSE))</f>
        <v>Athletic</v>
      </c>
      <c r="E67" t="s">
        <v>146</v>
      </c>
      <c r="F67" s="1">
        <v>45872</v>
      </c>
      <c r="G67" t="s">
        <v>10</v>
      </c>
      <c r="H67" t="s">
        <v>31</v>
      </c>
      <c r="I67" s="2">
        <v>0</v>
      </c>
    </row>
    <row r="68" spans="1:9" x14ac:dyDescent="0.25">
      <c r="A68">
        <v>67</v>
      </c>
      <c r="B68" t="str">
        <f>IF(ISERROR(VLOOKUP(E68,Nombres!A:D,2,FALSE)),"PROBLEMAAAAAA",VLOOKUP(E68,Nombres!A:D,2,FALSE))</f>
        <v>Herrera</v>
      </c>
      <c r="C68" t="str">
        <f>IF(ISERROR(VLOOKUP(E68,Nombres!A:D,4,FALSE)),"PROBLEMAAAAAA",VLOOKUP(E68,Nombres!A:D,4,FALSE))</f>
        <v>MED</v>
      </c>
      <c r="D68" t="str">
        <f>IF(ISERROR(VLOOKUP(E68,Nombres!A:D,3,FALSE)),"PROBLEMAAAAAA",VLOOKUP(E68,Nombres!A:D,3,FALSE))</f>
        <v>Real Sociedad</v>
      </c>
      <c r="E68" t="s">
        <v>121</v>
      </c>
      <c r="F68" s="1">
        <v>45872</v>
      </c>
      <c r="G68" t="s">
        <v>768</v>
      </c>
      <c r="H68" t="s">
        <v>31</v>
      </c>
      <c r="I68" s="2">
        <v>0</v>
      </c>
    </row>
    <row r="69" spans="1:9" x14ac:dyDescent="0.25">
      <c r="A69">
        <v>68</v>
      </c>
      <c r="B69" t="str">
        <f>IF(ISERROR(VLOOKUP(E69,Nombres!A:D,2,FALSE)),"PROBLEMAAAAAA",VLOOKUP(E69,Nombres!A:D,2,FALSE))</f>
        <v>Duro</v>
      </c>
      <c r="C69" t="str">
        <f>IF(ISERROR(VLOOKUP(E69,Nombres!A:D,4,FALSE)),"PROBLEMAAAAAA",VLOOKUP(E69,Nombres!A:D,4,FALSE))</f>
        <v>DEL</v>
      </c>
      <c r="D69" t="str">
        <f>IF(ISERROR(VLOOKUP(E69,Nombres!A:D,3,FALSE)),"PROBLEMAAAAAA",VLOOKUP(E69,Nombres!A:D,3,FALSE))</f>
        <v>Valencia</v>
      </c>
      <c r="E69" t="s">
        <v>134</v>
      </c>
      <c r="F69" s="1">
        <v>45872</v>
      </c>
      <c r="G69" t="s">
        <v>9</v>
      </c>
      <c r="H69" t="s">
        <v>31</v>
      </c>
      <c r="I69" s="2">
        <v>0</v>
      </c>
    </row>
    <row r="70" spans="1:9" x14ac:dyDescent="0.25">
      <c r="A70">
        <v>69</v>
      </c>
      <c r="B70" t="str">
        <f>IF(ISERROR(VLOOKUP(E70,Nombres!A:D,2,FALSE)),"PROBLEMAAAAAA",VLOOKUP(E70,Nombres!A:D,2,FALSE))</f>
        <v>Romero</v>
      </c>
      <c r="C70" t="str">
        <f>IF(ISERROR(VLOOKUP(E70,Nombres!A:D,4,FALSE)),"PROBLEMAAAAAA",VLOOKUP(E70,Nombres!A:D,4,FALSE))</f>
        <v>DEL</v>
      </c>
      <c r="D70" t="str">
        <f>IF(ISERROR(VLOOKUP(E70,Nombres!A:D,3,FALSE)),"PROBLEMAAAAAA",VLOOKUP(E70,Nombres!A:D,3,FALSE))</f>
        <v>Sevilla</v>
      </c>
      <c r="E70" t="s">
        <v>187</v>
      </c>
      <c r="F70" s="1">
        <v>45872</v>
      </c>
      <c r="G70" t="s">
        <v>14</v>
      </c>
      <c r="H70" t="s">
        <v>31</v>
      </c>
      <c r="I70" s="2">
        <v>0</v>
      </c>
    </row>
    <row r="71" spans="1:9" x14ac:dyDescent="0.25">
      <c r="A71">
        <v>70</v>
      </c>
      <c r="B71" t="str">
        <f>IF(ISERROR(VLOOKUP(E71,Nombres!A:D,2,FALSE)),"PROBLEMAAAAAA",VLOOKUP(E71,Nombres!A:D,2,FALSE))</f>
        <v>Isi</v>
      </c>
      <c r="C71" t="str">
        <f>IF(ISERROR(VLOOKUP(E71,Nombres!A:D,4,FALSE)),"PROBLEMAAAAAA",VLOOKUP(E71,Nombres!A:D,4,FALSE))</f>
        <v>DEL</v>
      </c>
      <c r="D71" t="str">
        <f>IF(ISERROR(VLOOKUP(E71,Nombres!A:D,3,FALSE)),"PROBLEMAAAAAA",VLOOKUP(E71,Nombres!A:D,3,FALSE))</f>
        <v>Rayo</v>
      </c>
      <c r="E71" t="s">
        <v>123</v>
      </c>
      <c r="F71" s="1">
        <v>45872</v>
      </c>
      <c r="G71" t="s">
        <v>768</v>
      </c>
      <c r="H71" t="s">
        <v>31</v>
      </c>
      <c r="I71" s="2">
        <v>0</v>
      </c>
    </row>
    <row r="72" spans="1:9" x14ac:dyDescent="0.25">
      <c r="A72">
        <v>71</v>
      </c>
      <c r="B72" t="str">
        <f>IF(ISERROR(VLOOKUP(E72,Nombres!A:D,2,FALSE)),"PROBLEMAAAAAA",VLOOKUP(E72,Nombres!A:D,2,FALSE))</f>
        <v>Iván Martín</v>
      </c>
      <c r="C72" t="str">
        <f>IF(ISERROR(VLOOKUP(E72,Nombres!A:D,4,FALSE)),"PROBLEMAAAAAA",VLOOKUP(E72,Nombres!A:D,4,FALSE))</f>
        <v>MED</v>
      </c>
      <c r="D72" t="str">
        <f>IF(ISERROR(VLOOKUP(E72,Nombres!A:D,3,FALSE)),"PROBLEMAAAAAA",VLOOKUP(E72,Nombres!A:D,3,FALSE))</f>
        <v>Girona</v>
      </c>
      <c r="E72" t="s">
        <v>142</v>
      </c>
      <c r="F72" s="1">
        <v>45872</v>
      </c>
      <c r="G72" t="s">
        <v>10</v>
      </c>
      <c r="H72" t="s">
        <v>31</v>
      </c>
      <c r="I72" s="2">
        <v>0</v>
      </c>
    </row>
    <row r="73" spans="1:9" x14ac:dyDescent="0.25">
      <c r="A73">
        <v>72</v>
      </c>
      <c r="B73" t="str">
        <f>IF(ISERROR(VLOOKUP(E73,Nombres!A:D,2,FALSE)),"PROBLEMAAAAAA",VLOOKUP(E73,Nombres!A:D,2,FALSE))</f>
        <v>Jauregizar</v>
      </c>
      <c r="C73" t="str">
        <f>IF(ISERROR(VLOOKUP(E73,Nombres!A:D,4,FALSE)),"PROBLEMAAAAAA",VLOOKUP(E73,Nombres!A:D,4,FALSE))</f>
        <v>MED</v>
      </c>
      <c r="D73" t="str">
        <f>IF(ISERROR(VLOOKUP(E73,Nombres!A:D,3,FALSE)),"PROBLEMAAAAAA",VLOOKUP(E73,Nombres!A:D,3,FALSE))</f>
        <v>Athletic</v>
      </c>
      <c r="E73" t="s">
        <v>176</v>
      </c>
      <c r="F73" s="1">
        <v>45872</v>
      </c>
      <c r="G73" t="s">
        <v>13</v>
      </c>
      <c r="H73" t="s">
        <v>31</v>
      </c>
      <c r="I73" s="2">
        <v>0</v>
      </c>
    </row>
    <row r="74" spans="1:9" x14ac:dyDescent="0.25">
      <c r="A74">
        <v>73</v>
      </c>
      <c r="B74" t="str">
        <f>IF(ISERROR(VLOOKUP(E74,Nombres!A:D,2,FALSE)),"PROBLEMAAAAAA",VLOOKUP(E74,Nombres!A:D,2,FALSE))</f>
        <v>Javi Guerra</v>
      </c>
      <c r="C74" t="str">
        <f>IF(ISERROR(VLOOKUP(E74,Nombres!A:D,4,FALSE)),"PROBLEMAAAAAA",VLOOKUP(E74,Nombres!A:D,4,FALSE))</f>
        <v>MED</v>
      </c>
      <c r="D74" t="str">
        <f>IF(ISERROR(VLOOKUP(E74,Nombres!A:D,3,FALSE)),"PROBLEMAAAAAA",VLOOKUP(E74,Nombres!A:D,3,FALSE))</f>
        <v>Valencia</v>
      </c>
      <c r="E74" t="s">
        <v>104</v>
      </c>
      <c r="F74" s="1">
        <v>45872</v>
      </c>
      <c r="G74" t="s">
        <v>7</v>
      </c>
      <c r="H74" t="s">
        <v>31</v>
      </c>
      <c r="I74" s="2">
        <v>0</v>
      </c>
    </row>
    <row r="75" spans="1:9" x14ac:dyDescent="0.25">
      <c r="A75">
        <v>74</v>
      </c>
      <c r="B75" t="str">
        <f>IF(ISERROR(VLOOKUP(E75,Nombres!A:D,2,FALSE)),"PROBLEMAAAAAA",VLOOKUP(E75,Nombres!A:D,2,FALSE))</f>
        <v>Cardoso</v>
      </c>
      <c r="C75" t="str">
        <f>IF(ISERROR(VLOOKUP(E75,Nombres!A:D,4,FALSE)),"PROBLEMAAAAAA",VLOOKUP(E75,Nombres!A:D,4,FALSE))</f>
        <v>MED</v>
      </c>
      <c r="D75" t="str">
        <f>IF(ISERROR(VLOOKUP(E75,Nombres!A:D,3,FALSE)),"PROBLEMAAAAAA",VLOOKUP(E75,Nombres!A:D,3,FALSE))</f>
        <v>Atlético</v>
      </c>
      <c r="E75" t="s">
        <v>272</v>
      </c>
      <c r="F75" s="1">
        <v>45872</v>
      </c>
      <c r="G75" t="s">
        <v>13</v>
      </c>
      <c r="H75" t="s">
        <v>31</v>
      </c>
      <c r="I75" s="2">
        <v>0</v>
      </c>
    </row>
    <row r="76" spans="1:9" x14ac:dyDescent="0.25">
      <c r="A76">
        <v>75</v>
      </c>
      <c r="B76" t="str">
        <f>IF(ISERROR(VLOOKUP(E76,Nombres!A:D,2,FALSE)),"PROBLEMAAAAAA",VLOOKUP(E76,Nombres!A:D,2,FALSE))</f>
        <v>Juanlu</v>
      </c>
      <c r="C76" t="str">
        <f>IF(ISERROR(VLOOKUP(E76,Nombres!A:D,4,FALSE)),"PROBLEMAAAAAA",VLOOKUP(E76,Nombres!A:D,4,FALSE))</f>
        <v>MED</v>
      </c>
      <c r="D76" t="str">
        <f>IF(ISERROR(VLOOKUP(E76,Nombres!A:D,3,FALSE)),"PROBLEMAAAAAA",VLOOKUP(E76,Nombres!A:D,3,FALSE))</f>
        <v>Sevilla</v>
      </c>
      <c r="E76" t="s">
        <v>33</v>
      </c>
      <c r="F76" s="1">
        <v>45872</v>
      </c>
      <c r="G76" t="s">
        <v>10</v>
      </c>
      <c r="H76" t="s">
        <v>31</v>
      </c>
      <c r="I76" s="2">
        <v>0</v>
      </c>
    </row>
    <row r="77" spans="1:9" x14ac:dyDescent="0.25">
      <c r="A77">
        <v>76</v>
      </c>
      <c r="B77" t="str">
        <f>IF(ISERROR(VLOOKUP(E77,Nombres!A:D,2,FALSE)),"PROBLEMAAAAAA",VLOOKUP(E77,Nombres!A:D,2,FALSE))</f>
        <v>Luiz Junior</v>
      </c>
      <c r="C77" t="str">
        <f>IF(ISERROR(VLOOKUP(E77,Nombres!A:D,4,FALSE)),"PROBLEMAAAAAA",VLOOKUP(E77,Nombres!A:D,4,FALSE))</f>
        <v>POR</v>
      </c>
      <c r="D77" t="str">
        <f>IF(ISERROR(VLOOKUP(E77,Nombres!A:D,3,FALSE)),"PROBLEMAAAAAA",VLOOKUP(E77,Nombres!A:D,3,FALSE))</f>
        <v>Villarreal</v>
      </c>
      <c r="E77" t="s">
        <v>332</v>
      </c>
      <c r="F77" s="1">
        <v>45872</v>
      </c>
      <c r="G77" t="s">
        <v>9</v>
      </c>
      <c r="H77" t="s">
        <v>31</v>
      </c>
      <c r="I77" s="2">
        <v>0</v>
      </c>
    </row>
    <row r="78" spans="1:9" x14ac:dyDescent="0.25">
      <c r="A78">
        <v>77</v>
      </c>
      <c r="B78" t="str">
        <f>IF(ISERROR(VLOOKUP(E78,Nombres!A:D,2,FALSE)),"PROBLEMAAAAAA",VLOOKUP(E78,Nombres!A:D,2,FALSE))</f>
        <v>Kike García</v>
      </c>
      <c r="C78" t="str">
        <f>IF(ISERROR(VLOOKUP(E78,Nombres!A:D,4,FALSE)),"PROBLEMAAAAAA",VLOOKUP(E78,Nombres!A:D,4,FALSE))</f>
        <v>DEL</v>
      </c>
      <c r="D78" t="str">
        <f>IF(ISERROR(VLOOKUP(E78,Nombres!A:D,3,FALSE)),"PROBLEMAAAAAA",VLOOKUP(E78,Nombres!A:D,3,FALSE))</f>
        <v>Espanyol</v>
      </c>
      <c r="E78" t="s">
        <v>124</v>
      </c>
      <c r="F78" s="1">
        <v>45872</v>
      </c>
      <c r="G78" t="s">
        <v>768</v>
      </c>
      <c r="H78" t="s">
        <v>31</v>
      </c>
      <c r="I78" s="2">
        <v>0</v>
      </c>
    </row>
    <row r="79" spans="1:9" x14ac:dyDescent="0.25">
      <c r="A79">
        <v>78</v>
      </c>
      <c r="B79" t="str">
        <f>IF(ISERROR(VLOOKUP(E79,Nombres!A:D,2,FALSE)),"PROBLEMAAAAAA",VLOOKUP(E79,Nombres!A:D,2,FALSE))</f>
        <v>Koke</v>
      </c>
      <c r="C79" t="str">
        <f>IF(ISERROR(VLOOKUP(E79,Nombres!A:D,4,FALSE)),"PROBLEMAAAAAA",VLOOKUP(E79,Nombres!A:D,4,FALSE))</f>
        <v>MED</v>
      </c>
      <c r="D79" t="str">
        <f>IF(ISERROR(VLOOKUP(E79,Nombres!A:D,3,FALSE)),"PROBLEMAAAAAA",VLOOKUP(E79,Nombres!A:D,3,FALSE))</f>
        <v>Atlético</v>
      </c>
      <c r="E79" t="s">
        <v>156</v>
      </c>
      <c r="F79" s="1">
        <v>45872</v>
      </c>
      <c r="G79" t="s">
        <v>11</v>
      </c>
      <c r="H79" t="s">
        <v>31</v>
      </c>
      <c r="I79" s="2">
        <v>0</v>
      </c>
    </row>
    <row r="80" spans="1:9" x14ac:dyDescent="0.25">
      <c r="A80">
        <v>79</v>
      </c>
      <c r="B80" t="str">
        <f>IF(ISERROR(VLOOKUP(E80,Nombres!A:D,2,FALSE)),"PROBLEMAAAAAA",VLOOKUP(E80,Nombres!A:D,2,FALSE))</f>
        <v>Krejci</v>
      </c>
      <c r="C80" t="str">
        <f>IF(ISERROR(VLOOKUP(E80,Nombres!A:D,4,FALSE)),"PROBLEMAAAAAA",VLOOKUP(E80,Nombres!A:D,4,FALSE))</f>
        <v>DEF</v>
      </c>
      <c r="D80" t="str">
        <f>IF(ISERROR(VLOOKUP(E80,Nombres!A:D,3,FALSE)),"PROBLEMAAAAAA",VLOOKUP(E80,Nombres!A:D,3,FALSE))</f>
        <v>Girona</v>
      </c>
      <c r="E80" t="s">
        <v>98</v>
      </c>
      <c r="F80" s="1">
        <v>45872</v>
      </c>
      <c r="G80" t="s">
        <v>7</v>
      </c>
      <c r="H80" t="s">
        <v>31</v>
      </c>
      <c r="I80" s="2">
        <v>0</v>
      </c>
    </row>
    <row r="81" spans="1:9" x14ac:dyDescent="0.25">
      <c r="A81">
        <v>80</v>
      </c>
      <c r="B81" t="str">
        <f>IF(ISERROR(VLOOKUP(E81,Nombres!A:D,2,FALSE)),"PROBLEMAAAAAA",VLOOKUP(E81,Nombres!A:D,2,FALSE))</f>
        <v>Luis Milla</v>
      </c>
      <c r="C81" t="str">
        <f>IF(ISERROR(VLOOKUP(E81,Nombres!A:D,4,FALSE)),"PROBLEMAAAAAA",VLOOKUP(E81,Nombres!A:D,4,FALSE))</f>
        <v>MED</v>
      </c>
      <c r="D81" t="str">
        <f>IF(ISERROR(VLOOKUP(E81,Nombres!A:D,3,FALSE)),"PROBLEMAAAAAA",VLOOKUP(E81,Nombres!A:D,3,FALSE))</f>
        <v>Getafe</v>
      </c>
      <c r="E81" t="s">
        <v>326</v>
      </c>
      <c r="F81" s="1">
        <v>45872</v>
      </c>
      <c r="G81" t="s">
        <v>11</v>
      </c>
      <c r="H81" t="s">
        <v>31</v>
      </c>
      <c r="I81" s="2">
        <v>0</v>
      </c>
    </row>
    <row r="82" spans="1:9" x14ac:dyDescent="0.25">
      <c r="A82">
        <v>81</v>
      </c>
      <c r="B82" t="str">
        <f>IF(ISERROR(VLOOKUP(E82,Nombres!A:D,2,FALSE)),"PROBLEMAAAAAA",VLOOKUP(E82,Nombres!A:D,2,FALSE))</f>
        <v>Lejeune</v>
      </c>
      <c r="C82" t="str">
        <f>IF(ISERROR(VLOOKUP(E82,Nombres!A:D,4,FALSE)),"PROBLEMAAAAAA",VLOOKUP(E82,Nombres!A:D,4,FALSE))</f>
        <v>DEF</v>
      </c>
      <c r="D82" t="str">
        <f>IF(ISERROR(VLOOKUP(E82,Nombres!A:D,3,FALSE)),"PROBLEMAAAAAA",VLOOKUP(E82,Nombres!A:D,3,FALSE))</f>
        <v>Rayo</v>
      </c>
      <c r="E82" t="s">
        <v>127</v>
      </c>
      <c r="F82" s="1">
        <v>45872</v>
      </c>
      <c r="G82" t="s">
        <v>9</v>
      </c>
      <c r="H82" t="s">
        <v>31</v>
      </c>
      <c r="I82" s="2">
        <v>0</v>
      </c>
    </row>
    <row r="83" spans="1:9" x14ac:dyDescent="0.25">
      <c r="A83">
        <v>82</v>
      </c>
      <c r="B83" t="str">
        <f>IF(ISERROR(VLOOKUP(E83,Nombres!A:D,2,FALSE)),"PROBLEMAAAAAA",VLOOKUP(E83,Nombres!A:D,2,FALSE))</f>
        <v>Lenglet</v>
      </c>
      <c r="C83" t="str">
        <f>IF(ISERROR(VLOOKUP(E83,Nombres!A:D,4,FALSE)),"PROBLEMAAAAAA",VLOOKUP(E83,Nombres!A:D,4,FALSE))</f>
        <v>DEF</v>
      </c>
      <c r="D83" t="str">
        <f>IF(ISERROR(VLOOKUP(E83,Nombres!A:D,3,FALSE)),"PROBLEMAAAAAA",VLOOKUP(E83,Nombres!A:D,3,FALSE))</f>
        <v>Atlético</v>
      </c>
      <c r="E83" t="s">
        <v>174</v>
      </c>
      <c r="F83" s="1">
        <v>45872</v>
      </c>
      <c r="G83" t="s">
        <v>13</v>
      </c>
      <c r="H83" t="s">
        <v>31</v>
      </c>
      <c r="I83" s="2">
        <v>0</v>
      </c>
    </row>
    <row r="84" spans="1:9" x14ac:dyDescent="0.25">
      <c r="A84">
        <v>83</v>
      </c>
      <c r="B84" t="str">
        <f>IF(ISERROR(VLOOKUP(E84,Nombres!A:D,2,FALSE)),"PROBLEMAAAAAA",VLOOKUP(E84,Nombres!A:D,2,FALSE))</f>
        <v>Leo Román</v>
      </c>
      <c r="C84" t="str">
        <f>IF(ISERROR(VLOOKUP(E84,Nombres!A:D,4,FALSE)),"PROBLEMAAAAAA",VLOOKUP(E84,Nombres!A:D,4,FALSE))</f>
        <v>POR</v>
      </c>
      <c r="D84" t="str">
        <f>IF(ISERROR(VLOOKUP(E84,Nombres!A:D,3,FALSE)),"PROBLEMAAAAAA",VLOOKUP(E84,Nombres!A:D,3,FALSE))</f>
        <v>Mallorca</v>
      </c>
      <c r="E84" t="s">
        <v>78</v>
      </c>
      <c r="F84" s="1">
        <v>45872</v>
      </c>
      <c r="G84" t="s">
        <v>6</v>
      </c>
      <c r="H84" t="s">
        <v>31</v>
      </c>
      <c r="I84" s="2">
        <v>0</v>
      </c>
    </row>
    <row r="85" spans="1:9" x14ac:dyDescent="0.25">
      <c r="A85">
        <v>84</v>
      </c>
      <c r="B85" t="str">
        <f>IF(ISERROR(VLOOKUP(E85,Nombres!A:D,2,FALSE)),"PROBLEMAAAAAA",VLOOKUP(E85,Nombres!A:D,2,FALSE))</f>
        <v>D. Llorente</v>
      </c>
      <c r="C85" t="str">
        <f>IF(ISERROR(VLOOKUP(E85,Nombres!A:D,4,FALSE)),"PROBLEMAAAAAA",VLOOKUP(E85,Nombres!A:D,4,FALSE))</f>
        <v>DEF</v>
      </c>
      <c r="D85" t="str">
        <f>IF(ISERROR(VLOOKUP(E85,Nombres!A:D,3,FALSE)),"PROBLEMAAAAAA",VLOOKUP(E85,Nombres!A:D,3,FALSE))</f>
        <v>Betis</v>
      </c>
      <c r="E85" t="s">
        <v>83</v>
      </c>
      <c r="F85" s="1">
        <v>45872</v>
      </c>
      <c r="G85" t="s">
        <v>6</v>
      </c>
      <c r="H85" t="s">
        <v>31</v>
      </c>
      <c r="I85" s="2">
        <v>0</v>
      </c>
    </row>
    <row r="86" spans="1:9" x14ac:dyDescent="0.25">
      <c r="A86">
        <v>85</v>
      </c>
      <c r="B86" t="str">
        <f>IF(ISERROR(VLOOKUP(E86,Nombres!A:D,2,FALSE)),"PROBLEMAAAAAA",VLOOKUP(E86,Nombres!A:D,2,FALSE))</f>
        <v>Lunin</v>
      </c>
      <c r="C86" t="str">
        <f>IF(ISERROR(VLOOKUP(E86,Nombres!A:D,4,FALSE)),"PROBLEMAAAAAA",VLOOKUP(E86,Nombres!A:D,4,FALSE))</f>
        <v>POR</v>
      </c>
      <c r="D86" t="str">
        <f>IF(ISERROR(VLOOKUP(E86,Nombres!A:D,3,FALSE)),"PROBLEMAAAAAA",VLOOKUP(E86,Nombres!A:D,3,FALSE))</f>
        <v>Real Madrid</v>
      </c>
      <c r="E86" t="s">
        <v>162</v>
      </c>
      <c r="F86" s="1">
        <v>45872</v>
      </c>
      <c r="G86" t="s">
        <v>12</v>
      </c>
      <c r="H86" t="s">
        <v>31</v>
      </c>
      <c r="I86" s="2">
        <v>0</v>
      </c>
    </row>
    <row r="87" spans="1:9" x14ac:dyDescent="0.25">
      <c r="A87">
        <v>86</v>
      </c>
      <c r="B87" t="str">
        <f>IF(ISERROR(VLOOKUP(E87,Nombres!A:D,2,FALSE)),"PROBLEMAAAAAA",VLOOKUP(E87,Nombres!A:D,2,FALSE))</f>
        <v>Marc Roca</v>
      </c>
      <c r="C87" t="str">
        <f>IF(ISERROR(VLOOKUP(E87,Nombres!A:D,4,FALSE)),"PROBLEMAAAAAA",VLOOKUP(E87,Nombres!A:D,4,FALSE))</f>
        <v>MED</v>
      </c>
      <c r="D87" t="str">
        <f>IF(ISERROR(VLOOKUP(E87,Nombres!A:D,3,FALSE)),"PROBLEMAAAAAA",VLOOKUP(E87,Nombres!A:D,3,FALSE))</f>
        <v>Betis</v>
      </c>
      <c r="E87" t="s">
        <v>166</v>
      </c>
      <c r="F87" s="1">
        <v>45872</v>
      </c>
      <c r="G87" t="s">
        <v>12</v>
      </c>
      <c r="H87" t="s">
        <v>31</v>
      </c>
      <c r="I87" s="2">
        <v>0</v>
      </c>
    </row>
    <row r="88" spans="1:9" x14ac:dyDescent="0.25">
      <c r="A88">
        <v>87</v>
      </c>
      <c r="B88" t="str">
        <f>IF(ISERROR(VLOOKUP(E88,Nombres!A:D,2,FALSE)),"PROBLEMAAAAAA",VLOOKUP(E88,Nombres!A:D,2,FALSE))</f>
        <v>Marcão</v>
      </c>
      <c r="C88" t="str">
        <f>IF(ISERROR(VLOOKUP(E88,Nombres!A:D,4,FALSE)),"PROBLEMAAAAAA",VLOOKUP(E88,Nombres!A:D,4,FALSE))</f>
        <v>DEF</v>
      </c>
      <c r="D88" t="str">
        <f>IF(ISERROR(VLOOKUP(E88,Nombres!A:D,3,FALSE)),"PROBLEMAAAAAA",VLOOKUP(E88,Nombres!A:D,3,FALSE))</f>
        <v>Sevilla</v>
      </c>
      <c r="E88" t="s">
        <v>129</v>
      </c>
      <c r="F88" s="1">
        <v>45872</v>
      </c>
      <c r="G88" t="s">
        <v>9</v>
      </c>
      <c r="H88" t="s">
        <v>31</v>
      </c>
      <c r="I88" s="2">
        <v>0</v>
      </c>
    </row>
    <row r="89" spans="1:9" x14ac:dyDescent="0.25">
      <c r="A89">
        <v>88</v>
      </c>
      <c r="B89" t="str">
        <f>IF(ISERROR(VLOOKUP(E89,Nombres!A:D,2,FALSE)),"PROBLEMAAAAAA",VLOOKUP(E89,Nombres!A:D,2,FALSE))</f>
        <v>M. Alonso</v>
      </c>
      <c r="C89" t="str">
        <f>IF(ISERROR(VLOOKUP(E89,Nombres!A:D,4,FALSE)),"PROBLEMAAAAAA",VLOOKUP(E89,Nombres!A:D,4,FALSE))</f>
        <v>DEF</v>
      </c>
      <c r="D89" t="str">
        <f>IF(ISERROR(VLOOKUP(E89,Nombres!A:D,3,FALSE)),"PROBLEMAAAAAA",VLOOKUP(E89,Nombres!A:D,3,FALSE))</f>
        <v>Celta</v>
      </c>
      <c r="E89" t="s">
        <v>181</v>
      </c>
      <c r="F89" s="1">
        <v>45872</v>
      </c>
      <c r="G89" t="s">
        <v>14</v>
      </c>
      <c r="H89" t="s">
        <v>31</v>
      </c>
      <c r="I89" s="2">
        <v>0</v>
      </c>
    </row>
    <row r="90" spans="1:9" x14ac:dyDescent="0.25">
      <c r="A90">
        <v>89</v>
      </c>
      <c r="B90" t="str">
        <f>IF(ISERROR(VLOOKUP(E90,Nombres!A:D,2,FALSE)),"PROBLEMAAAAAA",VLOOKUP(E90,Nombres!A:D,2,FALSE))</f>
        <v>Mayoral</v>
      </c>
      <c r="C90" t="str">
        <f>IF(ISERROR(VLOOKUP(E90,Nombres!A:D,4,FALSE)),"PROBLEMAAAAAA",VLOOKUP(E90,Nombres!A:D,4,FALSE))</f>
        <v>DEL</v>
      </c>
      <c r="D90" t="str">
        <f>IF(ISERROR(VLOOKUP(E90,Nombres!A:D,3,FALSE)),"PROBLEMAAAAAA",VLOOKUP(E90,Nombres!A:D,3,FALSE))</f>
        <v>Getafe</v>
      </c>
      <c r="E90" t="s">
        <v>178</v>
      </c>
      <c r="F90" s="1">
        <v>45872</v>
      </c>
      <c r="G90" t="s">
        <v>13</v>
      </c>
      <c r="H90" t="s">
        <v>31</v>
      </c>
      <c r="I90" s="2">
        <v>0</v>
      </c>
    </row>
    <row r="91" spans="1:9" x14ac:dyDescent="0.25">
      <c r="A91">
        <v>90</v>
      </c>
      <c r="B91" t="str">
        <f>IF(ISERROR(VLOOKUP(E91,Nombres!A:D,2,FALSE)),"PROBLEMAAAAAA",VLOOKUP(E91,Nombres!A:D,2,FALSE))</f>
        <v>Mendy</v>
      </c>
      <c r="C91" t="str">
        <f>IF(ISERROR(VLOOKUP(E91,Nombres!A:D,4,FALSE)),"PROBLEMAAAAAA",VLOOKUP(E91,Nombres!A:D,4,FALSE))</f>
        <v>DEF</v>
      </c>
      <c r="D91" t="str">
        <f>IF(ISERROR(VLOOKUP(E91,Nombres!A:D,3,FALSE)),"PROBLEMAAAAAA",VLOOKUP(E91,Nombres!A:D,3,FALSE))</f>
        <v>Rayo</v>
      </c>
      <c r="E91" t="s">
        <v>44</v>
      </c>
      <c r="F91" s="1">
        <v>45872</v>
      </c>
      <c r="G91" t="s">
        <v>9</v>
      </c>
      <c r="H91" t="s">
        <v>31</v>
      </c>
      <c r="I91" s="2">
        <v>0</v>
      </c>
    </row>
    <row r="92" spans="1:9" x14ac:dyDescent="0.25">
      <c r="A92">
        <v>91</v>
      </c>
      <c r="B92" t="str">
        <f>IF(ISERROR(VLOOKUP(E92,Nombres!A:D,2,FALSE)),"PROBLEMAAAAAA",VLOOKUP(E92,Nombres!A:D,2,FALSE))</f>
        <v>Miguel</v>
      </c>
      <c r="C92" t="str">
        <f>IF(ISERROR(VLOOKUP(E92,Nombres!A:D,4,FALSE)),"PROBLEMAAAAAA",VLOOKUP(E92,Nombres!A:D,4,FALSE))</f>
        <v>DEF</v>
      </c>
      <c r="D92" t="str">
        <f>IF(ISERROR(VLOOKUP(E92,Nombres!A:D,3,FALSE)),"PROBLEMAAAAAA",VLOOKUP(E92,Nombres!A:D,3,FALSE))</f>
        <v>Girona</v>
      </c>
      <c r="E92" t="s">
        <v>49</v>
      </c>
      <c r="F92" s="1">
        <v>45872</v>
      </c>
      <c r="G92" t="s">
        <v>12</v>
      </c>
      <c r="H92" t="s">
        <v>31</v>
      </c>
      <c r="I92" s="2">
        <v>0</v>
      </c>
    </row>
    <row r="93" spans="1:9" x14ac:dyDescent="0.25">
      <c r="A93">
        <v>92</v>
      </c>
      <c r="B93" t="str">
        <f>IF(ISERROR(VLOOKUP(E93,Nombres!A:D,2,FALSE)),"PROBLEMAAAAAA",VLOOKUP(E93,Nombres!A:D,2,FALSE))</f>
        <v>Militão</v>
      </c>
      <c r="C93" t="str">
        <f>IF(ISERROR(VLOOKUP(E93,Nombres!A:D,4,FALSE)),"PROBLEMAAAAAA",VLOOKUP(E93,Nombres!A:D,4,FALSE))</f>
        <v>DEF</v>
      </c>
      <c r="D93" t="str">
        <f>IF(ISERROR(VLOOKUP(E93,Nombres!A:D,3,FALSE)),"PROBLEMAAAAAA",VLOOKUP(E93,Nombres!A:D,3,FALSE))</f>
        <v>Real Madrid</v>
      </c>
      <c r="E93" t="s">
        <v>164</v>
      </c>
      <c r="F93" s="1">
        <v>45872</v>
      </c>
      <c r="G93" t="s">
        <v>12</v>
      </c>
      <c r="H93" t="s">
        <v>31</v>
      </c>
      <c r="I93" s="2">
        <v>0</v>
      </c>
    </row>
    <row r="94" spans="1:9" x14ac:dyDescent="0.25">
      <c r="A94">
        <v>93</v>
      </c>
      <c r="B94" t="str">
        <f>IF(ISERROR(VLOOKUP(E94,Nombres!A:D,2,FALSE)),"PROBLEMAAAAAA",VLOOKUP(E94,Nombres!A:D,2,FALSE))</f>
        <v>Mingueza</v>
      </c>
      <c r="C94" t="str">
        <f>IF(ISERROR(VLOOKUP(E94,Nombres!A:D,4,FALSE)),"PROBLEMAAAAAA",VLOOKUP(E94,Nombres!A:D,4,FALSE))</f>
        <v>DEF</v>
      </c>
      <c r="D94" t="str">
        <f>IF(ISERROR(VLOOKUP(E94,Nombres!A:D,3,FALSE)),"PROBLEMAAAAAA",VLOOKUP(E94,Nombres!A:D,3,FALSE))</f>
        <v>Celta</v>
      </c>
      <c r="E94" t="s">
        <v>128</v>
      </c>
      <c r="F94" s="1">
        <v>45872</v>
      </c>
      <c r="G94" t="s">
        <v>9</v>
      </c>
      <c r="H94" t="s">
        <v>31</v>
      </c>
      <c r="I94" s="2">
        <v>0</v>
      </c>
    </row>
    <row r="95" spans="1:9" x14ac:dyDescent="0.25">
      <c r="A95">
        <v>94</v>
      </c>
      <c r="B95" t="str">
        <f>IF(ISERROR(VLOOKUP(E95,Nombres!A:D,2,FALSE)),"PROBLEMAAAAAA",VLOOKUP(E95,Nombres!A:D,2,FALSE))</f>
        <v>Moi Gómez</v>
      </c>
      <c r="C95" t="str">
        <f>IF(ISERROR(VLOOKUP(E95,Nombres!A:D,4,FALSE)),"PROBLEMAAAAAA",VLOOKUP(E95,Nombres!A:D,4,FALSE))</f>
        <v>MED</v>
      </c>
      <c r="D95" t="str">
        <f>IF(ISERROR(VLOOKUP(E95,Nombres!A:D,3,FALSE)),"PROBLEMAAAAAA",VLOOKUP(E95,Nombres!A:D,3,FALSE))</f>
        <v>Osasuna</v>
      </c>
      <c r="E95" t="s">
        <v>102</v>
      </c>
      <c r="F95" s="1">
        <v>45872</v>
      </c>
      <c r="G95" t="s">
        <v>7</v>
      </c>
      <c r="H95" t="s">
        <v>31</v>
      </c>
      <c r="I95" s="2">
        <v>0</v>
      </c>
    </row>
    <row r="96" spans="1:9" x14ac:dyDescent="0.25">
      <c r="A96">
        <v>95</v>
      </c>
      <c r="B96" t="str">
        <f>IF(ISERROR(VLOOKUP(E96,Nombres!A:D,2,FALSE)),"PROBLEMAAAAAA",VLOOKUP(E96,Nombres!A:D,2,FALSE))</f>
        <v>Mojica</v>
      </c>
      <c r="C96" t="str">
        <f>IF(ISERROR(VLOOKUP(E96,Nombres!A:D,4,FALSE)),"PROBLEMAAAAAA",VLOOKUP(E96,Nombres!A:D,4,FALSE))</f>
        <v>DEF</v>
      </c>
      <c r="D96" t="str">
        <f>IF(ISERROR(VLOOKUP(E96,Nombres!A:D,3,FALSE)),"PROBLEMAAAAAA",VLOOKUP(E96,Nombres!A:D,3,FALSE))</f>
        <v>Mallorca</v>
      </c>
      <c r="E96" t="s">
        <v>173</v>
      </c>
      <c r="F96" s="1">
        <v>45872</v>
      </c>
      <c r="G96" t="s">
        <v>13</v>
      </c>
      <c r="H96" t="s">
        <v>31</v>
      </c>
      <c r="I96" s="2">
        <v>0</v>
      </c>
    </row>
    <row r="97" spans="1:9" x14ac:dyDescent="0.25">
      <c r="A97">
        <v>96</v>
      </c>
      <c r="B97" t="str">
        <f>IF(ISERROR(VLOOKUP(E97,Nombres!A:D,2,FALSE)),"PROBLEMAAAAAA",VLOOKUP(E97,Nombres!A:D,2,FALSE))</f>
        <v>Moncayola</v>
      </c>
      <c r="C97" t="str">
        <f>IF(ISERROR(VLOOKUP(E97,Nombres!A:D,4,FALSE)),"PROBLEMAAAAAA",VLOOKUP(E97,Nombres!A:D,4,FALSE))</f>
        <v>MED</v>
      </c>
      <c r="D97" t="str">
        <f>IF(ISERROR(VLOOKUP(E97,Nombres!A:D,3,FALSE)),"PROBLEMAAAAAA",VLOOKUP(E97,Nombres!A:D,3,FALSE))</f>
        <v>Osasuna</v>
      </c>
      <c r="E97" t="s">
        <v>88</v>
      </c>
      <c r="F97" s="1">
        <v>45872</v>
      </c>
      <c r="G97" t="s">
        <v>6</v>
      </c>
      <c r="H97" t="s">
        <v>31</v>
      </c>
      <c r="I97" s="2">
        <v>0</v>
      </c>
    </row>
    <row r="98" spans="1:9" x14ac:dyDescent="0.25">
      <c r="A98">
        <v>97</v>
      </c>
      <c r="B98" t="str">
        <f>IF(ISERROR(VLOOKUP(E98,Nombres!A:D,2,FALSE)),"PROBLEMAAAAAA",VLOOKUP(E98,Nombres!A:D,2,FALSE))</f>
        <v>Natan</v>
      </c>
      <c r="C98" t="str">
        <f>IF(ISERROR(VLOOKUP(E98,Nombres!A:D,4,FALSE)),"PROBLEMAAAAAA",VLOOKUP(E98,Nombres!A:D,4,FALSE))</f>
        <v>DEF</v>
      </c>
      <c r="D98" t="str">
        <f>IF(ISERROR(VLOOKUP(E98,Nombres!A:D,3,FALSE)),"PROBLEMAAAAAA",VLOOKUP(E98,Nombres!A:D,3,FALSE))</f>
        <v>Betis</v>
      </c>
      <c r="E98" t="s">
        <v>118</v>
      </c>
      <c r="F98" s="1">
        <v>45872</v>
      </c>
      <c r="G98" t="s">
        <v>768</v>
      </c>
      <c r="H98" t="s">
        <v>31</v>
      </c>
      <c r="I98" s="2">
        <v>0</v>
      </c>
    </row>
    <row r="99" spans="1:9" x14ac:dyDescent="0.25">
      <c r="A99">
        <v>98</v>
      </c>
      <c r="B99" t="str">
        <f>IF(ISERROR(VLOOKUP(E99,Nombres!A:D,2,FALSE)),"PROBLEMAAAAAA",VLOOKUP(E99,Nombres!A:D,2,FALSE))</f>
        <v>Nyland</v>
      </c>
      <c r="C99" t="str">
        <f>IF(ISERROR(VLOOKUP(E99,Nombres!A:D,4,FALSE)),"PROBLEMAAAAAA",VLOOKUP(E99,Nombres!A:D,4,FALSE))</f>
        <v>POR</v>
      </c>
      <c r="D99" t="str">
        <f>IF(ISERROR(VLOOKUP(E99,Nombres!A:D,3,FALSE)),"PROBLEMAAAAAA",VLOOKUP(E99,Nombres!A:D,3,FALSE))</f>
        <v>Sevilla</v>
      </c>
      <c r="E99" t="s">
        <v>149</v>
      </c>
      <c r="F99" s="1">
        <v>45872</v>
      </c>
      <c r="G99" t="s">
        <v>11</v>
      </c>
      <c r="H99" t="s">
        <v>31</v>
      </c>
      <c r="I99" s="2">
        <v>0</v>
      </c>
    </row>
    <row r="100" spans="1:9" x14ac:dyDescent="0.25">
      <c r="A100">
        <v>99</v>
      </c>
      <c r="B100" t="str">
        <f>IF(ISERROR(VLOOKUP(E100,Nombres!A:D,2,FALSE)),"PROBLEMAAAAAA",VLOOKUP(E100,Nombres!A:D,2,FALSE))</f>
        <v>Óskarsson</v>
      </c>
      <c r="C100" t="str">
        <f>IF(ISERROR(VLOOKUP(E100,Nombres!A:D,4,FALSE)),"PROBLEMAAAAAA",VLOOKUP(E100,Nombres!A:D,4,FALSE))</f>
        <v>DEL</v>
      </c>
      <c r="D100" t="str">
        <f>IF(ISERROR(VLOOKUP(E100,Nombres!A:D,3,FALSE)),"PROBLEMAAAAAA",VLOOKUP(E100,Nombres!A:D,3,FALSE))</f>
        <v>Real Sociedad</v>
      </c>
      <c r="E100" t="s">
        <v>170</v>
      </c>
      <c r="F100" s="1">
        <v>45872</v>
      </c>
      <c r="G100" t="s">
        <v>12</v>
      </c>
      <c r="H100" t="s">
        <v>31</v>
      </c>
      <c r="I100" s="2">
        <v>0</v>
      </c>
    </row>
    <row r="101" spans="1:9" x14ac:dyDescent="0.25">
      <c r="A101">
        <v>100</v>
      </c>
      <c r="B101" t="str">
        <f>IF(ISERROR(VLOOKUP(E101,Nombres!A:D,2,FALSE)),"PROBLEMAAAAAA",VLOOKUP(E101,Nombres!A:D,2,FALSE))</f>
        <v>Oyarzabal</v>
      </c>
      <c r="C101" t="str">
        <f>IF(ISERROR(VLOOKUP(E101,Nombres!A:D,4,FALSE)),"PROBLEMAAAAAA",VLOOKUP(E101,Nombres!A:D,4,FALSE))</f>
        <v>DEL</v>
      </c>
      <c r="D101" t="str">
        <f>IF(ISERROR(VLOOKUP(E101,Nombres!A:D,3,FALSE)),"PROBLEMAAAAAA",VLOOKUP(E101,Nombres!A:D,3,FALSE))</f>
        <v>Real Sociedad</v>
      </c>
      <c r="E101" t="s">
        <v>136</v>
      </c>
      <c r="F101" s="1">
        <v>45872</v>
      </c>
      <c r="G101" t="s">
        <v>9</v>
      </c>
      <c r="H101" t="s">
        <v>31</v>
      </c>
      <c r="I101" s="2">
        <v>0</v>
      </c>
    </row>
    <row r="102" spans="1:9" x14ac:dyDescent="0.25">
      <c r="A102">
        <v>101</v>
      </c>
      <c r="B102" t="str">
        <f>IF(ISERROR(VLOOKUP(E102,Nombres!A:D,2,FALSE)),"PROBLEMAAAAAA",VLOOKUP(E102,Nombres!A:D,2,FALSE))</f>
        <v>Pablo Torre</v>
      </c>
      <c r="C102" t="str">
        <f>IF(ISERROR(VLOOKUP(E102,Nombres!A:D,4,FALSE)),"PROBLEMAAAAAA",VLOOKUP(E102,Nombres!A:D,4,FALSE))</f>
        <v>MED</v>
      </c>
      <c r="D102" t="str">
        <f>IF(ISERROR(VLOOKUP(E102,Nombres!A:D,3,FALSE)),"PROBLEMAAAAAA",VLOOKUP(E102,Nombres!A:D,3,FALSE))</f>
        <v>Mallorca</v>
      </c>
      <c r="E102" t="s">
        <v>74</v>
      </c>
      <c r="F102" s="1">
        <v>45872</v>
      </c>
      <c r="G102" t="s">
        <v>7</v>
      </c>
      <c r="H102" t="s">
        <v>31</v>
      </c>
      <c r="I102" s="2">
        <v>0</v>
      </c>
    </row>
    <row r="103" spans="1:9" x14ac:dyDescent="0.25">
      <c r="A103">
        <v>102</v>
      </c>
      <c r="B103" t="str">
        <f>IF(ISERROR(VLOOKUP(E103,Nombres!A:D,2,FALSE)),"PROBLEMAAAAAA",VLOOKUP(E103,Nombres!A:D,2,FALSE))</f>
        <v>Paredes</v>
      </c>
      <c r="C103" t="str">
        <f>IF(ISERROR(VLOOKUP(E103,Nombres!A:D,4,FALSE)),"PROBLEMAAAAAA",VLOOKUP(E103,Nombres!A:D,4,FALSE))</f>
        <v>DEF</v>
      </c>
      <c r="D103" t="str">
        <f>IF(ISERROR(VLOOKUP(E103,Nombres!A:D,3,FALSE)),"PROBLEMAAAAAA",VLOOKUP(E103,Nombres!A:D,3,FALSE))</f>
        <v>Athletic</v>
      </c>
      <c r="E103" t="s">
        <v>43</v>
      </c>
      <c r="F103" s="1">
        <v>45872</v>
      </c>
      <c r="G103" t="s">
        <v>13</v>
      </c>
      <c r="H103" t="s">
        <v>31</v>
      </c>
      <c r="I103" s="2">
        <v>0</v>
      </c>
    </row>
    <row r="104" spans="1:9" x14ac:dyDescent="0.25">
      <c r="A104">
        <v>103</v>
      </c>
      <c r="B104" t="str">
        <f>IF(ISERROR(VLOOKUP(E104,Nombres!A:D,2,FALSE)),"PROBLEMAAAAAA",VLOOKUP(E104,Nombres!A:D,2,FALSE))</f>
        <v>Parejo</v>
      </c>
      <c r="C104" t="str">
        <f>IF(ISERROR(VLOOKUP(E104,Nombres!A:D,4,FALSE)),"PROBLEMAAAAAA",VLOOKUP(E104,Nombres!A:D,4,FALSE))</f>
        <v>MED</v>
      </c>
      <c r="D104" t="str">
        <f>IF(ISERROR(VLOOKUP(E104,Nombres!A:D,3,FALSE)),"PROBLEMAAAAAA",VLOOKUP(E104,Nombres!A:D,3,FALSE))</f>
        <v>Villarreal</v>
      </c>
      <c r="E104" t="s">
        <v>40</v>
      </c>
      <c r="F104" s="1">
        <v>45872</v>
      </c>
      <c r="G104" t="s">
        <v>768</v>
      </c>
      <c r="H104" t="s">
        <v>31</v>
      </c>
      <c r="I104" s="2">
        <v>0</v>
      </c>
    </row>
    <row r="105" spans="1:9" x14ac:dyDescent="0.25">
      <c r="A105">
        <v>104</v>
      </c>
      <c r="B105" t="str">
        <f>IF(ISERROR(VLOOKUP(E105,Nombres!A:D,2,FALSE)),"PROBLEMAAAAAA",VLOOKUP(E105,Nombres!A:D,2,FALSE))</f>
        <v>Pedraza</v>
      </c>
      <c r="C105" t="str">
        <f>IF(ISERROR(VLOOKUP(E105,Nombres!A:D,4,FALSE)),"PROBLEMAAAAAA",VLOOKUP(E105,Nombres!A:D,4,FALSE))</f>
        <v>DEF</v>
      </c>
      <c r="D105" t="str">
        <f>IF(ISERROR(VLOOKUP(E105,Nombres!A:D,3,FALSE)),"PROBLEMAAAAAA",VLOOKUP(E105,Nombres!A:D,3,FALSE))</f>
        <v>Villarreal</v>
      </c>
      <c r="E105" t="s">
        <v>138</v>
      </c>
      <c r="F105" s="1">
        <v>45872</v>
      </c>
      <c r="G105" t="s">
        <v>10</v>
      </c>
      <c r="H105" t="s">
        <v>31</v>
      </c>
      <c r="I105" s="2">
        <v>0</v>
      </c>
    </row>
    <row r="106" spans="1:9" x14ac:dyDescent="0.25">
      <c r="A106">
        <v>105</v>
      </c>
      <c r="B106" t="str">
        <f>IF(ISERROR(VLOOKUP(E106,Nombres!A:D,2,FALSE)),"PROBLEMAAAAAA",VLOOKUP(E106,Nombres!A:D,2,FALSE))</f>
        <v>Pépé</v>
      </c>
      <c r="C106" t="str">
        <f>IF(ISERROR(VLOOKUP(E106,Nombres!A:D,4,FALSE)),"PROBLEMAAAAAA",VLOOKUP(E106,Nombres!A:D,4,FALSE))</f>
        <v>DEL</v>
      </c>
      <c r="D106" t="str">
        <f>IF(ISERROR(VLOOKUP(E106,Nombres!A:D,3,FALSE)),"PROBLEMAAAAAA",VLOOKUP(E106,Nombres!A:D,3,FALSE))</f>
        <v>Villarreal</v>
      </c>
      <c r="E106" t="s">
        <v>105</v>
      </c>
      <c r="F106" s="1">
        <v>45872</v>
      </c>
      <c r="G106" t="s">
        <v>7</v>
      </c>
      <c r="H106" t="s">
        <v>31</v>
      </c>
      <c r="I106" s="2">
        <v>0</v>
      </c>
    </row>
    <row r="107" spans="1:9" x14ac:dyDescent="0.25">
      <c r="A107">
        <v>106</v>
      </c>
      <c r="B107" t="str">
        <f>IF(ISERROR(VLOOKUP(E107,Nombres!A:D,2,FALSE)),"PROBLEMAAAAAA",VLOOKUP(E107,Nombres!A:D,2,FALSE))</f>
        <v>Pepelu</v>
      </c>
      <c r="C107" t="str">
        <f>IF(ISERROR(VLOOKUP(E107,Nombres!A:D,4,FALSE)),"PROBLEMAAAAAA",VLOOKUP(E107,Nombres!A:D,4,FALSE))</f>
        <v>MED</v>
      </c>
      <c r="D107" t="str">
        <f>IF(ISERROR(VLOOKUP(E107,Nombres!A:D,3,FALSE)),"PROBLEMAAAAAA",VLOOKUP(E107,Nombres!A:D,3,FALSE))</f>
        <v>Valencia</v>
      </c>
      <c r="E107" t="s">
        <v>157</v>
      </c>
      <c r="F107" s="1">
        <v>45872</v>
      </c>
      <c r="G107" t="s">
        <v>11</v>
      </c>
      <c r="H107" t="s">
        <v>31</v>
      </c>
      <c r="I107" s="2">
        <v>0</v>
      </c>
    </row>
    <row r="108" spans="1:9" x14ac:dyDescent="0.25">
      <c r="A108">
        <v>107</v>
      </c>
      <c r="B108" t="str">
        <f>IF(ISERROR(VLOOKUP(E108,Nombres!A:D,2,FALSE)),"PROBLEMAAAAAA",VLOOKUP(E108,Nombres!A:D,2,FALSE))</f>
        <v>Raíllo</v>
      </c>
      <c r="C108" t="str">
        <f>IF(ISERROR(VLOOKUP(E108,Nombres!A:D,4,FALSE)),"PROBLEMAAAAAA",VLOOKUP(E108,Nombres!A:D,4,FALSE))</f>
        <v>DEF</v>
      </c>
      <c r="D108" t="str">
        <f>IF(ISERROR(VLOOKUP(E108,Nombres!A:D,3,FALSE)),"PROBLEMAAAAAA",VLOOKUP(E108,Nombres!A:D,3,FALSE))</f>
        <v>Mallorca</v>
      </c>
      <c r="E108" t="s">
        <v>141</v>
      </c>
      <c r="F108" s="1">
        <v>45872</v>
      </c>
      <c r="G108" t="s">
        <v>10</v>
      </c>
      <c r="H108" t="s">
        <v>31</v>
      </c>
      <c r="I108" s="2">
        <v>0</v>
      </c>
    </row>
    <row r="109" spans="1:9" x14ac:dyDescent="0.25">
      <c r="A109">
        <v>108</v>
      </c>
      <c r="B109" t="str">
        <f>IF(ISERROR(VLOOKUP(E109,Nombres!A:D,2,FALSE)),"PROBLEMAAAAAA",VLOOKUP(E109,Nombres!A:D,2,FALSE))</f>
        <v>Rioja</v>
      </c>
      <c r="C109" t="str">
        <f>IF(ISERROR(VLOOKUP(E109,Nombres!A:D,4,FALSE)),"PROBLEMAAAAAA",VLOOKUP(E109,Nombres!A:D,4,FALSE))</f>
        <v>MED</v>
      </c>
      <c r="D109" t="str">
        <f>IF(ISERROR(VLOOKUP(E109,Nombres!A:D,3,FALSE)),"PROBLEMAAAAAA",VLOOKUP(E109,Nombres!A:D,3,FALSE))</f>
        <v>Valencia</v>
      </c>
      <c r="E109" t="s">
        <v>101</v>
      </c>
      <c r="F109" s="1">
        <v>45872</v>
      </c>
      <c r="G109" t="s">
        <v>7</v>
      </c>
      <c r="H109" t="s">
        <v>31</v>
      </c>
      <c r="I109" s="2">
        <v>0</v>
      </c>
    </row>
    <row r="110" spans="1:9" x14ac:dyDescent="0.25">
      <c r="A110">
        <v>109</v>
      </c>
      <c r="B110" t="str">
        <f>IF(ISERROR(VLOOKUP(E110,Nombres!A:D,2,FALSE)),"PROBLEMAAAAAA",VLOOKUP(E110,Nombres!A:D,2,FALSE))</f>
        <v>Ristic</v>
      </c>
      <c r="C110" t="str">
        <f>IF(ISERROR(VLOOKUP(E110,Nombres!A:D,4,FALSE)),"PROBLEMAAAAAA",VLOOKUP(E110,Nombres!A:D,4,FALSE))</f>
        <v>DEF</v>
      </c>
      <c r="D110" t="str">
        <f>IF(ISERROR(VLOOKUP(E110,Nombres!A:D,3,FALSE)),"PROBLEMAAAAAA",VLOOKUP(E110,Nombres!A:D,3,FALSE))</f>
        <v>Celta</v>
      </c>
      <c r="E110" t="s">
        <v>153</v>
      </c>
      <c r="F110" s="1">
        <v>45872</v>
      </c>
      <c r="G110" t="s">
        <v>11</v>
      </c>
      <c r="H110" t="s">
        <v>31</v>
      </c>
      <c r="I110" s="2">
        <v>0</v>
      </c>
    </row>
    <row r="111" spans="1:9" x14ac:dyDescent="0.25">
      <c r="A111">
        <v>110</v>
      </c>
      <c r="B111" t="str">
        <f>IF(ISERROR(VLOOKUP(E111,Nombres!A:D,2,FALSE)),"PROBLEMAAAAAA",VLOOKUP(E111,Nombres!A:D,2,FALSE))</f>
        <v>Rodrygo</v>
      </c>
      <c r="C111" t="str">
        <f>IF(ISERROR(VLOOKUP(E111,Nombres!A:D,4,FALSE)),"PROBLEMAAAAAA",VLOOKUP(E111,Nombres!A:D,4,FALSE))</f>
        <v>DEL</v>
      </c>
      <c r="D111" t="str">
        <f>IF(ISERROR(VLOOKUP(E111,Nombres!A:D,3,FALSE)),"PROBLEMAAAAAA",VLOOKUP(E111,Nombres!A:D,3,FALSE))</f>
        <v>Real Madrid</v>
      </c>
      <c r="E111" t="s">
        <v>50</v>
      </c>
      <c r="F111" s="1">
        <v>45872</v>
      </c>
      <c r="G111" t="s">
        <v>13</v>
      </c>
      <c r="H111" t="s">
        <v>31</v>
      </c>
      <c r="I111" s="2">
        <v>0</v>
      </c>
    </row>
    <row r="112" spans="1:9" x14ac:dyDescent="0.25">
      <c r="A112">
        <v>111</v>
      </c>
      <c r="B112" t="str">
        <f>IF(ISERROR(VLOOKUP(E112,Nombres!A:D,2,FALSE)),"PROBLEMAAAAAA",VLOOKUP(E112,Nombres!A:D,2,FALSE))</f>
        <v>Rüdiger</v>
      </c>
      <c r="C112" t="str">
        <f>IF(ISERROR(VLOOKUP(E112,Nombres!A:D,4,FALSE)),"PROBLEMAAAAAA",VLOOKUP(E112,Nombres!A:D,4,FALSE))</f>
        <v>DEF</v>
      </c>
      <c r="D112" t="str">
        <f>IF(ISERROR(VLOOKUP(E112,Nombres!A:D,3,FALSE)),"PROBLEMAAAAAA",VLOOKUP(E112,Nombres!A:D,3,FALSE))</f>
        <v>Real Madrid</v>
      </c>
      <c r="E112" t="s">
        <v>39</v>
      </c>
      <c r="F112" s="1">
        <v>45872</v>
      </c>
      <c r="G112" t="s">
        <v>12</v>
      </c>
      <c r="H112" t="s">
        <v>31</v>
      </c>
      <c r="I112" s="2">
        <v>0</v>
      </c>
    </row>
    <row r="113" spans="1:9" x14ac:dyDescent="0.25">
      <c r="A113">
        <v>112</v>
      </c>
      <c r="B113" t="str">
        <f>IF(ISERROR(VLOOKUP(E113,Nombres!A:D,2,FALSE)),"PROBLEMAAAAAA",VLOOKUP(E113,Nombres!A:D,2,FALSE))</f>
        <v>Ruggeri</v>
      </c>
      <c r="C113" t="str">
        <f>IF(ISERROR(VLOOKUP(E113,Nombres!A:D,4,FALSE)),"PROBLEMAAAAAA",VLOOKUP(E113,Nombres!A:D,4,FALSE))</f>
        <v>DEF</v>
      </c>
      <c r="D113" t="str">
        <f>IF(ISERROR(VLOOKUP(E113,Nombres!A:D,3,FALSE)),"PROBLEMAAAAAA",VLOOKUP(E113,Nombres!A:D,3,FALSE))</f>
        <v>Atlético</v>
      </c>
      <c r="E113" t="s">
        <v>100</v>
      </c>
      <c r="F113" s="1">
        <v>45872</v>
      </c>
      <c r="G113" t="s">
        <v>7</v>
      </c>
      <c r="H113" t="s">
        <v>31</v>
      </c>
      <c r="I113" s="2">
        <v>0</v>
      </c>
    </row>
    <row r="114" spans="1:9" x14ac:dyDescent="0.25">
      <c r="A114">
        <v>113</v>
      </c>
      <c r="B114" t="str">
        <f>IF(ISERROR(VLOOKUP(E114,Nombres!A:D,2,FALSE)),"PROBLEMAAAAAA",VLOOKUP(E114,Nombres!A:D,2,FALSE))</f>
        <v>Sergio Gómez</v>
      </c>
      <c r="C114" t="str">
        <f>IF(ISERROR(VLOOKUP(E114,Nombres!A:D,4,FALSE)),"PROBLEMAAAAAA",VLOOKUP(E114,Nombres!A:D,4,FALSE))</f>
        <v>DEF</v>
      </c>
      <c r="D114" t="str">
        <f>IF(ISERROR(VLOOKUP(E114,Nombres!A:D,3,FALSE)),"PROBLEMAAAAAA",VLOOKUP(E114,Nombres!A:D,3,FALSE))</f>
        <v>Real Sociedad</v>
      </c>
      <c r="E114" t="s">
        <v>160</v>
      </c>
      <c r="F114" s="1">
        <v>45872</v>
      </c>
      <c r="G114" t="s">
        <v>11</v>
      </c>
      <c r="H114" t="s">
        <v>31</v>
      </c>
      <c r="I114" s="2">
        <v>0</v>
      </c>
    </row>
    <row r="115" spans="1:9" x14ac:dyDescent="0.25">
      <c r="A115">
        <v>114</v>
      </c>
      <c r="B115" t="str">
        <f>IF(ISERROR(VLOOKUP(E115,Nombres!A:D,2,FALSE)),"PROBLEMAAAAAA",VLOOKUP(E115,Nombres!A:D,2,FALSE))</f>
        <v>Sivera</v>
      </c>
      <c r="C115" t="str">
        <f>IF(ISERROR(VLOOKUP(E115,Nombres!A:D,4,FALSE)),"PROBLEMAAAAAA",VLOOKUP(E115,Nombres!A:D,4,FALSE))</f>
        <v>POR</v>
      </c>
      <c r="D115" t="str">
        <f>IF(ISERROR(VLOOKUP(E115,Nombres!A:D,3,FALSE)),"PROBLEMAAAAAA",VLOOKUP(E115,Nombres!A:D,3,FALSE))</f>
        <v>Alavés</v>
      </c>
      <c r="E115" t="s">
        <v>137</v>
      </c>
      <c r="F115" s="1">
        <v>45872</v>
      </c>
      <c r="G115" t="s">
        <v>10</v>
      </c>
      <c r="H115" t="s">
        <v>31</v>
      </c>
      <c r="I115" s="2">
        <v>0</v>
      </c>
    </row>
    <row r="116" spans="1:9" x14ac:dyDescent="0.25">
      <c r="A116">
        <v>115</v>
      </c>
      <c r="B116" t="str">
        <f>IF(ISERROR(VLOOKUP(E116,Nombres!A:D,2,FALSE)),"PROBLEMAAAAAA",VLOOKUP(E116,Nombres!A:D,2,FALSE))</f>
        <v>Sow</v>
      </c>
      <c r="C116" t="str">
        <f>IF(ISERROR(VLOOKUP(E116,Nombres!A:D,4,FALSE)),"PROBLEMAAAAAA",VLOOKUP(E116,Nombres!A:D,4,FALSE))</f>
        <v>MED</v>
      </c>
      <c r="D116" t="str">
        <f>IF(ISERROR(VLOOKUP(E116,Nombres!A:D,3,FALSE)),"PROBLEMAAAAAA",VLOOKUP(E116,Nombres!A:D,3,FALSE))</f>
        <v>Sevilla</v>
      </c>
      <c r="E116" t="s">
        <v>132</v>
      </c>
      <c r="F116" s="1">
        <v>45872</v>
      </c>
      <c r="G116" t="s">
        <v>9</v>
      </c>
      <c r="H116" t="s">
        <v>31</v>
      </c>
      <c r="I116" s="2">
        <v>0</v>
      </c>
    </row>
    <row r="117" spans="1:9" x14ac:dyDescent="0.25">
      <c r="A117">
        <v>116</v>
      </c>
      <c r="B117" t="str">
        <f>IF(ISERROR(VLOOKUP(E117,Nombres!A:D,2,FALSE)),"PROBLEMAAAAAA",VLOOKUP(E117,Nombres!A:D,2,FALSE))</f>
        <v>Sucic</v>
      </c>
      <c r="C117" t="str">
        <f>IF(ISERROR(VLOOKUP(E117,Nombres!A:D,4,FALSE)),"PROBLEMAAAAAA",VLOOKUP(E117,Nombres!A:D,4,FALSE))</f>
        <v>MED</v>
      </c>
      <c r="D117" t="str">
        <f>IF(ISERROR(VLOOKUP(E117,Nombres!A:D,3,FALSE)),"PROBLEMAAAAAA",VLOOKUP(E117,Nombres!A:D,3,FALSE))</f>
        <v>Real Sociedad</v>
      </c>
      <c r="E117" t="s">
        <v>185</v>
      </c>
      <c r="F117" s="1">
        <v>45872</v>
      </c>
      <c r="G117" t="s">
        <v>14</v>
      </c>
      <c r="H117" t="s">
        <v>31</v>
      </c>
      <c r="I117" s="2">
        <v>0</v>
      </c>
    </row>
    <row r="118" spans="1:9" x14ac:dyDescent="0.25">
      <c r="A118">
        <v>117</v>
      </c>
      <c r="B118" t="str">
        <f>IF(ISERROR(VLOOKUP(E118,Nombres!A:D,2,FALSE)),"PROBLEMAAAAAA",VLOOKUP(E118,Nombres!A:D,2,FALSE))</f>
        <v>Terrats</v>
      </c>
      <c r="C118" t="str">
        <f>IF(ISERROR(VLOOKUP(E118,Nombres!A:D,4,FALSE)),"PROBLEMAAAAAA",VLOOKUP(E118,Nombres!A:D,4,FALSE))</f>
        <v>MED</v>
      </c>
      <c r="D118" t="str">
        <f>IF(ISERROR(VLOOKUP(E118,Nombres!A:D,3,FALSE)),"PROBLEMAAAAAA",VLOOKUP(E118,Nombres!A:D,3,FALSE))</f>
        <v>Espanyol</v>
      </c>
      <c r="E118" t="s">
        <v>84</v>
      </c>
      <c r="F118" s="1">
        <v>45872</v>
      </c>
      <c r="G118" t="s">
        <v>6</v>
      </c>
      <c r="H118" t="s">
        <v>31</v>
      </c>
      <c r="I118" s="2">
        <v>0</v>
      </c>
    </row>
    <row r="119" spans="1:9" x14ac:dyDescent="0.25">
      <c r="A119">
        <v>118</v>
      </c>
      <c r="B119" t="str">
        <f>IF(ISERROR(VLOOKUP(E119,Nombres!A:D,2,FALSE)),"PROBLEMAAAAAA",VLOOKUP(E119,Nombres!A:D,2,FALSE))</f>
        <v>Torró</v>
      </c>
      <c r="C119" t="str">
        <f>IF(ISERROR(VLOOKUP(E119,Nombres!A:D,4,FALSE)),"PROBLEMAAAAAA",VLOOKUP(E119,Nombres!A:D,4,FALSE))</f>
        <v>MED</v>
      </c>
      <c r="D119" t="str">
        <f>IF(ISERROR(VLOOKUP(E119,Nombres!A:D,3,FALSE)),"PROBLEMAAAAAA",VLOOKUP(E119,Nombres!A:D,3,FALSE))</f>
        <v>Osasuna</v>
      </c>
      <c r="E119" t="s">
        <v>86</v>
      </c>
      <c r="F119" s="1">
        <v>45872</v>
      </c>
      <c r="G119" t="s">
        <v>6</v>
      </c>
      <c r="H119" t="s">
        <v>31</v>
      </c>
      <c r="I119" s="2">
        <v>0</v>
      </c>
    </row>
    <row r="120" spans="1:9" x14ac:dyDescent="0.25">
      <c r="A120">
        <v>119</v>
      </c>
      <c r="B120" t="str">
        <f>IF(ISERROR(VLOOKUP(E120,Nombres!A:D,2,FALSE)),"PROBLEMAAAAAA",VLOOKUP(E120,Nombres!A:D,2,FALSE))</f>
        <v>Traore</v>
      </c>
      <c r="C120" t="str">
        <f>IF(ISERROR(VLOOKUP(E120,Nombres!A:D,4,FALSE)),"PROBLEMAAAAAA",VLOOKUP(E120,Nombres!A:D,4,FALSE))</f>
        <v>DEF</v>
      </c>
      <c r="D120" t="str">
        <f>IF(ISERROR(VLOOKUP(E120,Nombres!A:D,3,FALSE)),"PROBLEMAAAAAA",VLOOKUP(E120,Nombres!A:D,3,FALSE))</f>
        <v>Real Sociedad</v>
      </c>
      <c r="E120" t="s">
        <v>79</v>
      </c>
      <c r="F120" s="1">
        <v>45872</v>
      </c>
      <c r="G120" t="s">
        <v>6</v>
      </c>
      <c r="H120" t="s">
        <v>31</v>
      </c>
      <c r="I120" s="2">
        <v>0</v>
      </c>
    </row>
    <row r="121" spans="1:9" x14ac:dyDescent="0.25">
      <c r="A121">
        <v>120</v>
      </c>
      <c r="B121" t="str">
        <f>IF(ISERROR(VLOOKUP(E121,Nombres!A:D,2,FALSE)),"PROBLEMAAAAAA",VLOOKUP(E121,Nombres!A:D,2,FALSE))</f>
        <v>Trejo</v>
      </c>
      <c r="C121" t="str">
        <f>IF(ISERROR(VLOOKUP(E121,Nombres!A:D,4,FALSE)),"PROBLEMAAAAAA",VLOOKUP(E121,Nombres!A:D,4,FALSE))</f>
        <v>MED</v>
      </c>
      <c r="D121" t="str">
        <f>IF(ISERROR(VLOOKUP(E121,Nombres!A:D,3,FALSE)),"PROBLEMAAAAAA",VLOOKUP(E121,Nombres!A:D,3,FALSE))</f>
        <v>Rayo</v>
      </c>
      <c r="E121" t="s">
        <v>133</v>
      </c>
      <c r="F121" s="1">
        <v>45872</v>
      </c>
      <c r="G121" t="s">
        <v>9</v>
      </c>
      <c r="H121" t="s">
        <v>31</v>
      </c>
      <c r="I121" s="2">
        <v>0</v>
      </c>
    </row>
    <row r="122" spans="1:9" x14ac:dyDescent="0.25">
      <c r="A122">
        <v>121</v>
      </c>
      <c r="B122" t="str">
        <f>IF(ISERROR(VLOOKUP(E122,Nombres!A:D,2,FALSE)),"PROBLEMAAAAAA",VLOOKUP(E122,Nombres!A:D,2,FALSE))</f>
        <v>Tsygankov</v>
      </c>
      <c r="C122" t="str">
        <f>IF(ISERROR(VLOOKUP(E122,Nombres!A:D,4,FALSE)),"PROBLEMAAAAAA",VLOOKUP(E122,Nombres!A:D,4,FALSE))</f>
        <v>DEL</v>
      </c>
      <c r="D122" t="str">
        <f>IF(ISERROR(VLOOKUP(E122,Nombres!A:D,3,FALSE)),"PROBLEMAAAAAA",VLOOKUP(E122,Nombres!A:D,3,FALSE))</f>
        <v>Girona</v>
      </c>
      <c r="E122" t="s">
        <v>63</v>
      </c>
      <c r="F122" s="1">
        <v>45872</v>
      </c>
      <c r="G122" t="s">
        <v>7</v>
      </c>
      <c r="H122" t="s">
        <v>31</v>
      </c>
      <c r="I122" s="2">
        <v>0</v>
      </c>
    </row>
    <row r="123" spans="1:9" x14ac:dyDescent="0.25">
      <c r="A123">
        <v>122</v>
      </c>
      <c r="B123" t="str">
        <f>IF(ISERROR(VLOOKUP(E123,Nombres!A:D,2,FALSE)),"PROBLEMAAAAAA",VLOOKUP(E123,Nombres!A:D,2,FALSE))</f>
        <v>Uche</v>
      </c>
      <c r="C123" t="str">
        <f>IF(ISERROR(VLOOKUP(E123,Nombres!A:D,4,FALSE)),"PROBLEMAAAAAA",VLOOKUP(E123,Nombres!A:D,4,FALSE))</f>
        <v>MED</v>
      </c>
      <c r="D123" t="str">
        <f>IF(ISERROR(VLOOKUP(E123,Nombres!A:D,3,FALSE)),"PROBLEMAAAAAA",VLOOKUP(E123,Nombres!A:D,3,FALSE))</f>
        <v>Getafe</v>
      </c>
      <c r="E123" t="s">
        <v>333</v>
      </c>
      <c r="F123" s="1">
        <v>45872</v>
      </c>
      <c r="G123" t="s">
        <v>12</v>
      </c>
      <c r="H123" t="s">
        <v>31</v>
      </c>
      <c r="I123" s="2">
        <v>0</v>
      </c>
    </row>
    <row r="124" spans="1:9" x14ac:dyDescent="0.25">
      <c r="A124">
        <v>123</v>
      </c>
      <c r="B124" t="str">
        <f>IF(ISERROR(VLOOKUP(E124,Nombres!A:D,2,FALSE)),"PROBLEMAAAAAA",VLOOKUP(E124,Nombres!A:D,2,FALSE))</f>
        <v>Van de Beek</v>
      </c>
      <c r="C124" t="str">
        <f>IF(ISERROR(VLOOKUP(E124,Nombres!A:D,4,FALSE)),"PROBLEMAAAAAA",VLOOKUP(E124,Nombres!A:D,4,FALSE))</f>
        <v>MED</v>
      </c>
      <c r="D124" t="str">
        <f>IF(ISERROR(VLOOKUP(E124,Nombres!A:D,3,FALSE)),"PROBLEMAAAAAA",VLOOKUP(E124,Nombres!A:D,3,FALSE))</f>
        <v>Girona</v>
      </c>
      <c r="E124" t="s">
        <v>85</v>
      </c>
      <c r="F124" s="1">
        <v>45872</v>
      </c>
      <c r="G124" t="s">
        <v>6</v>
      </c>
      <c r="H124" t="s">
        <v>31</v>
      </c>
      <c r="I124" s="2">
        <v>0</v>
      </c>
    </row>
    <row r="125" spans="1:9" x14ac:dyDescent="0.25">
      <c r="A125">
        <v>124</v>
      </c>
      <c r="B125" t="str">
        <f>IF(ISERROR(VLOOKUP(E125,Nombres!A:D,2,FALSE)),"PROBLEMAAAAAA",VLOOKUP(E125,Nombres!A:D,2,FALSE))</f>
        <v>Yeremy Pino</v>
      </c>
      <c r="C125" t="str">
        <f>IF(ISERROR(VLOOKUP(E125,Nombres!A:D,4,FALSE)),"PROBLEMAAAAAA",VLOOKUP(E125,Nombres!A:D,4,FALSE))</f>
        <v>DEL</v>
      </c>
      <c r="D125" t="str">
        <f>IF(ISERROR(VLOOKUP(E125,Nombres!A:D,3,FALSE)),"PROBLEMAAAAAA",VLOOKUP(E125,Nombres!A:D,3,FALSE))</f>
        <v>Villarreal</v>
      </c>
      <c r="E125" t="s">
        <v>122</v>
      </c>
      <c r="F125" s="1">
        <v>45872</v>
      </c>
      <c r="G125" t="s">
        <v>768</v>
      </c>
      <c r="H125" t="s">
        <v>31</v>
      </c>
      <c r="I125" s="2">
        <v>0</v>
      </c>
    </row>
    <row r="126" spans="1:9" x14ac:dyDescent="0.25">
      <c r="A126">
        <v>125</v>
      </c>
      <c r="B126" t="str">
        <f>IF(ISERROR(VLOOKUP(E126,Nombres!A:D,2,FALSE)),"PROBLEMAAAAAA",VLOOKUP(E126,Nombres!A:D,2,FALSE))</f>
        <v>Yuri</v>
      </c>
      <c r="C126" t="str">
        <f>IF(ISERROR(VLOOKUP(E126,Nombres!A:D,4,FALSE)),"PROBLEMAAAAAA",VLOOKUP(E126,Nombres!A:D,4,FALSE))</f>
        <v>DEF</v>
      </c>
      <c r="D126" t="str">
        <f>IF(ISERROR(VLOOKUP(E126,Nombres!A:D,3,FALSE)),"PROBLEMAAAAAA",VLOOKUP(E126,Nombres!A:D,3,FALSE))</f>
        <v>Athletic</v>
      </c>
      <c r="E126" t="s">
        <v>126</v>
      </c>
      <c r="F126" s="1">
        <v>45872</v>
      </c>
      <c r="G126" t="s">
        <v>9</v>
      </c>
      <c r="H126" t="s">
        <v>31</v>
      </c>
      <c r="I126" s="2">
        <v>0</v>
      </c>
    </row>
    <row r="127" spans="1:9" x14ac:dyDescent="0.25">
      <c r="A127">
        <v>126</v>
      </c>
      <c r="B127" t="str">
        <f>IF(ISERROR(VLOOKUP(E127,Nombres!A:D,2,FALSE)),"PROBLEMAAAAAA",VLOOKUP(E127,Nombres!A:D,2,FALSE))</f>
        <v>Zakharyan</v>
      </c>
      <c r="C127" t="str">
        <f>IF(ISERROR(VLOOKUP(E127,Nombres!A:D,4,FALSE)),"PROBLEMAAAAAA",VLOOKUP(E127,Nombres!A:D,4,FALSE))</f>
        <v>MED</v>
      </c>
      <c r="D127" t="str">
        <f>IF(ISERROR(VLOOKUP(E127,Nombres!A:D,3,FALSE)),"PROBLEMAAAAAA",VLOOKUP(E127,Nombres!A:D,3,FALSE))</f>
        <v>Real Sociedad</v>
      </c>
      <c r="E127" t="s">
        <v>167</v>
      </c>
      <c r="F127" s="1">
        <v>45872</v>
      </c>
      <c r="G127" t="s">
        <v>12</v>
      </c>
      <c r="H127" t="s">
        <v>31</v>
      </c>
      <c r="I127" s="2">
        <v>0</v>
      </c>
    </row>
    <row r="128" spans="1:9" x14ac:dyDescent="0.25">
      <c r="A128">
        <v>127</v>
      </c>
      <c r="B128" t="str">
        <f>IF(ISERROR(VLOOKUP(E128,Nombres!A:D,2,FALSE)),"PROBLEMAAAAAA",VLOOKUP(E128,Nombres!A:D,2,FALSE))</f>
        <v>Zubeldia</v>
      </c>
      <c r="C128" t="str">
        <f>IF(ISERROR(VLOOKUP(E128,Nombres!A:D,4,FALSE)),"PROBLEMAAAAAA",VLOOKUP(E128,Nombres!A:D,4,FALSE))</f>
        <v>DEF</v>
      </c>
      <c r="D128" t="str">
        <f>IF(ISERROR(VLOOKUP(E128,Nombres!A:D,3,FALSE)),"PROBLEMAAAAAA",VLOOKUP(E128,Nombres!A:D,3,FALSE))</f>
        <v>Real Sociedad</v>
      </c>
      <c r="E128" t="s">
        <v>114</v>
      </c>
      <c r="F128" s="1">
        <v>45872</v>
      </c>
      <c r="G128" t="s">
        <v>768</v>
      </c>
      <c r="H128" t="s">
        <v>31</v>
      </c>
      <c r="I128" s="2">
        <v>0</v>
      </c>
    </row>
    <row r="129" spans="1:9" x14ac:dyDescent="0.25">
      <c r="A129">
        <v>128</v>
      </c>
      <c r="B129" t="str">
        <f>IF(ISERROR(VLOOKUP(E129,Nombres!A:D,2,FALSE)),"PROBLEMAAAAAA",VLOOKUP(E129,Nombres!A:D,2,FALSE))</f>
        <v>Almeida</v>
      </c>
      <c r="C129" t="str">
        <f>IF(ISERROR(VLOOKUP(E129,Nombres!A:D,4,FALSE)),"PROBLEMAAAAAA",VLOOKUP(E129,Nombres!A:D,4,FALSE))</f>
        <v>MED</v>
      </c>
      <c r="D129" t="str">
        <f>IF(ISERROR(VLOOKUP(E129,Nombres!A:D,3,FALSE)),"PROBLEMAAAAAA",VLOOKUP(E129,Nombres!A:D,3,FALSE))</f>
        <v>Valencia</v>
      </c>
      <c r="E129" t="s">
        <v>41</v>
      </c>
      <c r="F129" s="1">
        <v>45873</v>
      </c>
      <c r="G129" t="s">
        <v>31</v>
      </c>
      <c r="H129" t="s">
        <v>768</v>
      </c>
      <c r="I129" s="2">
        <v>8942183</v>
      </c>
    </row>
    <row r="130" spans="1:9" x14ac:dyDescent="0.25">
      <c r="A130">
        <v>129</v>
      </c>
      <c r="B130" t="str">
        <f>IF(ISERROR(VLOOKUP(E130,Nombres!A:D,2,FALSE)),"PROBLEMAAAAAA",VLOOKUP(E130,Nombres!A:D,2,FALSE))</f>
        <v>Güler</v>
      </c>
      <c r="C130" t="str">
        <f>IF(ISERROR(VLOOKUP(E130,Nombres!A:D,4,FALSE)),"PROBLEMAAAAAA",VLOOKUP(E130,Nombres!A:D,4,FALSE))</f>
        <v>MED</v>
      </c>
      <c r="D130" t="str">
        <f>IF(ISERROR(VLOOKUP(E130,Nombres!A:D,3,FALSE)),"PROBLEMAAAAAA",VLOOKUP(E130,Nombres!A:D,3,FALSE))</f>
        <v>Real Madrid</v>
      </c>
      <c r="E130" t="s">
        <v>38</v>
      </c>
      <c r="F130" s="1">
        <v>45873</v>
      </c>
      <c r="G130" t="s">
        <v>12</v>
      </c>
      <c r="H130" t="s">
        <v>31</v>
      </c>
      <c r="I130" s="2">
        <v>74101010</v>
      </c>
    </row>
    <row r="131" spans="1:9" x14ac:dyDescent="0.25">
      <c r="A131">
        <v>130</v>
      </c>
      <c r="B131" t="str">
        <f>IF(ISERROR(VLOOKUP(E131,Nombres!A:D,2,FALSE)),"PROBLEMAAAAAA",VLOOKUP(E131,Nombres!A:D,2,FALSE))</f>
        <v>Areso</v>
      </c>
      <c r="C131" t="str">
        <f>IF(ISERROR(VLOOKUP(E131,Nombres!A:D,4,FALSE)),"PROBLEMAAAAAA",VLOOKUP(E131,Nombres!A:D,4,FALSE))</f>
        <v>DEF</v>
      </c>
      <c r="D131" t="str">
        <f>IF(ISERROR(VLOOKUP(E131,Nombres!A:D,3,FALSE)),"PROBLEMAAAAAA",VLOOKUP(E131,Nombres!A:D,3,FALSE))</f>
        <v>Athletic</v>
      </c>
      <c r="E131" t="s">
        <v>34</v>
      </c>
      <c r="F131" s="1">
        <v>45873</v>
      </c>
      <c r="G131" t="s">
        <v>768</v>
      </c>
      <c r="H131" t="s">
        <v>31</v>
      </c>
      <c r="I131" s="2">
        <v>15500000</v>
      </c>
    </row>
    <row r="132" spans="1:9" x14ac:dyDescent="0.25">
      <c r="A132">
        <v>131</v>
      </c>
      <c r="B132" t="str">
        <f>IF(ISERROR(VLOOKUP(E132,Nombres!A:D,2,FALSE)),"PROBLEMAAAAAA",VLOOKUP(E132,Nombres!A:D,2,FALSE))</f>
        <v>A. F. Carreras</v>
      </c>
      <c r="C132" t="str">
        <f>IF(ISERROR(VLOOKUP(E132,Nombres!A:D,4,FALSE)),"PROBLEMAAAAAA",VLOOKUP(E132,Nombres!A:D,4,FALSE))</f>
        <v>DEF</v>
      </c>
      <c r="D132" t="str">
        <f>IF(ISERROR(VLOOKUP(E132,Nombres!A:D,3,FALSE)),"PROBLEMAAAAAA",VLOOKUP(E132,Nombres!A:D,3,FALSE))</f>
        <v>Real Madrid</v>
      </c>
      <c r="E132" t="s">
        <v>36</v>
      </c>
      <c r="F132" s="1">
        <v>45873</v>
      </c>
      <c r="G132" t="s">
        <v>768</v>
      </c>
      <c r="H132" t="s">
        <v>31</v>
      </c>
      <c r="I132" s="2">
        <v>38000000</v>
      </c>
    </row>
    <row r="133" spans="1:9" x14ac:dyDescent="0.25">
      <c r="A133">
        <v>132</v>
      </c>
      <c r="B133" t="str">
        <f>IF(ISERROR(VLOOKUP(E133,Nombres!A:D,2,FALSE)),"PROBLEMAAAAAA",VLOOKUP(E133,Nombres!A:D,2,FALSE))</f>
        <v>Endrick</v>
      </c>
      <c r="C133" t="str">
        <f>IF(ISERROR(VLOOKUP(E133,Nombres!A:D,4,FALSE)),"PROBLEMAAAAAA",VLOOKUP(E133,Nombres!A:D,4,FALSE))</f>
        <v>DEL</v>
      </c>
      <c r="D133" t="str">
        <f>IF(ISERROR(VLOOKUP(E133,Nombres!A:D,3,FALSE)),"PROBLEMAAAAAA",VLOOKUP(E133,Nombres!A:D,3,FALSE))</f>
        <v>Real Madrid</v>
      </c>
      <c r="E133" t="s">
        <v>42</v>
      </c>
      <c r="F133" s="1">
        <v>45873</v>
      </c>
      <c r="G133" t="s">
        <v>31</v>
      </c>
      <c r="H133" t="s">
        <v>13</v>
      </c>
      <c r="I133" s="2">
        <v>8378245</v>
      </c>
    </row>
    <row r="134" spans="1:9" x14ac:dyDescent="0.25">
      <c r="A134">
        <v>133</v>
      </c>
      <c r="B134" t="str">
        <f>IF(ISERROR(VLOOKUP(E134,Nombres!A:D,2,FALSE)),"PROBLEMAAAAAA",VLOOKUP(E134,Nombres!A:D,2,FALSE))</f>
        <v>Juanlu</v>
      </c>
      <c r="C134" t="str">
        <f>IF(ISERROR(VLOOKUP(E134,Nombres!A:D,4,FALSE)),"PROBLEMAAAAAA",VLOOKUP(E134,Nombres!A:D,4,FALSE))</f>
        <v>MED</v>
      </c>
      <c r="D134" t="str">
        <f>IF(ISERROR(VLOOKUP(E134,Nombres!A:D,3,FALSE)),"PROBLEMAAAAAA",VLOOKUP(E134,Nombres!A:D,3,FALSE))</f>
        <v>Sevilla</v>
      </c>
      <c r="E134" t="s">
        <v>33</v>
      </c>
      <c r="F134" s="1">
        <v>45873</v>
      </c>
      <c r="G134" t="s">
        <v>10</v>
      </c>
      <c r="H134" t="s">
        <v>31</v>
      </c>
      <c r="I134" s="2">
        <v>1301279</v>
      </c>
    </row>
    <row r="135" spans="1:9" x14ac:dyDescent="0.25">
      <c r="A135">
        <v>134</v>
      </c>
      <c r="B135" t="str">
        <f>IF(ISERROR(VLOOKUP(E135,Nombres!A:D,2,FALSE)),"PROBLEMAAAAAA",VLOOKUP(E135,Nombres!A:D,2,FALSE))</f>
        <v>Le Normand</v>
      </c>
      <c r="C135" t="str">
        <f>IF(ISERROR(VLOOKUP(E135,Nombres!A:D,4,FALSE)),"PROBLEMAAAAAA",VLOOKUP(E135,Nombres!A:D,4,FALSE))</f>
        <v>DEF</v>
      </c>
      <c r="D135" t="str">
        <f>IF(ISERROR(VLOOKUP(E135,Nombres!A:D,3,FALSE)),"PROBLEMAAAAAA",VLOOKUP(E135,Nombres!A:D,3,FALSE))</f>
        <v>Atlético</v>
      </c>
      <c r="E135" t="s">
        <v>32</v>
      </c>
      <c r="F135" s="1">
        <v>45873</v>
      </c>
      <c r="G135" t="s">
        <v>6</v>
      </c>
      <c r="H135" t="s">
        <v>31</v>
      </c>
      <c r="I135" s="2">
        <v>46001545</v>
      </c>
    </row>
    <row r="136" spans="1:9" x14ac:dyDescent="0.25">
      <c r="A136">
        <v>135</v>
      </c>
      <c r="B136" t="str">
        <f>IF(ISERROR(VLOOKUP(E136,Nombres!A:D,2,FALSE)),"PROBLEMAAAAAA",VLOOKUP(E136,Nombres!A:D,2,FALSE))</f>
        <v>Muriqi</v>
      </c>
      <c r="C136" t="str">
        <f>IF(ISERROR(VLOOKUP(E136,Nombres!A:D,4,FALSE)),"PROBLEMAAAAAA",VLOOKUP(E136,Nombres!A:D,4,FALSE))</f>
        <v>DEL</v>
      </c>
      <c r="D136" t="str">
        <f>IF(ISERROR(VLOOKUP(E136,Nombres!A:D,3,FALSE)),"PROBLEMAAAAAA",VLOOKUP(E136,Nombres!A:D,3,FALSE))</f>
        <v>Mallorca</v>
      </c>
      <c r="E136" t="s">
        <v>35</v>
      </c>
      <c r="F136" s="1">
        <v>45873</v>
      </c>
      <c r="G136" t="s">
        <v>6</v>
      </c>
      <c r="H136" t="s">
        <v>31</v>
      </c>
      <c r="I136" s="2">
        <v>36787048</v>
      </c>
    </row>
    <row r="137" spans="1:9" x14ac:dyDescent="0.25">
      <c r="A137">
        <v>136</v>
      </c>
      <c r="B137" t="str">
        <f>IF(ISERROR(VLOOKUP(E137,Nombres!A:D,2,FALSE)),"PROBLEMAAAAAA",VLOOKUP(E137,Nombres!A:D,2,FALSE))</f>
        <v>Paredes</v>
      </c>
      <c r="C137" t="str">
        <f>IF(ISERROR(VLOOKUP(E137,Nombres!A:D,4,FALSE)),"PROBLEMAAAAAA",VLOOKUP(E137,Nombres!A:D,4,FALSE))</f>
        <v>DEF</v>
      </c>
      <c r="D137" t="str">
        <f>IF(ISERROR(VLOOKUP(E137,Nombres!A:D,3,FALSE)),"PROBLEMAAAAAA",VLOOKUP(E137,Nombres!A:D,3,FALSE))</f>
        <v>Athletic</v>
      </c>
      <c r="E137" t="s">
        <v>43</v>
      </c>
      <c r="F137" s="1">
        <v>45873</v>
      </c>
      <c r="G137" t="s">
        <v>31</v>
      </c>
      <c r="H137" t="s">
        <v>13</v>
      </c>
      <c r="I137" s="2">
        <v>11553769</v>
      </c>
    </row>
    <row r="138" spans="1:9" x14ac:dyDescent="0.25">
      <c r="A138">
        <v>137</v>
      </c>
      <c r="B138" t="str">
        <f>IF(ISERROR(VLOOKUP(E138,Nombres!A:D,2,FALSE)),"PROBLEMAAAAAA",VLOOKUP(E138,Nombres!A:D,2,FALSE))</f>
        <v>Parejo</v>
      </c>
      <c r="C138" t="str">
        <f>IF(ISERROR(VLOOKUP(E138,Nombres!A:D,4,FALSE)),"PROBLEMAAAAAA",VLOOKUP(E138,Nombres!A:D,4,FALSE))</f>
        <v>MED</v>
      </c>
      <c r="D138" t="str">
        <f>IF(ISERROR(VLOOKUP(E138,Nombres!A:D,3,FALSE)),"PROBLEMAAAAAA",VLOOKUP(E138,Nombres!A:D,3,FALSE))</f>
        <v>Villarreal</v>
      </c>
      <c r="E138" t="s">
        <v>40</v>
      </c>
      <c r="F138" s="1">
        <v>45873</v>
      </c>
      <c r="G138" t="s">
        <v>31</v>
      </c>
      <c r="H138" t="s">
        <v>768</v>
      </c>
      <c r="I138" s="2">
        <v>16272690</v>
      </c>
    </row>
    <row r="139" spans="1:9" x14ac:dyDescent="0.25">
      <c r="A139">
        <v>138</v>
      </c>
      <c r="B139" t="str">
        <f>IF(ISERROR(VLOOKUP(E139,Nombres!A:D,2,FALSE)),"PROBLEMAAAAAA",VLOOKUP(E139,Nombres!A:D,2,FALSE))</f>
        <v>Rubén G.</v>
      </c>
      <c r="C139" t="str">
        <f>IF(ISERROR(VLOOKUP(E139,Nombres!A:D,4,FALSE)),"PROBLEMAAAAAA",VLOOKUP(E139,Nombres!A:D,4,FALSE))</f>
        <v>MED</v>
      </c>
      <c r="D139" t="str">
        <f>IF(ISERROR(VLOOKUP(E139,Nombres!A:D,3,FALSE)),"PROBLEMAAAAAA",VLOOKUP(E139,Nombres!A:D,3,FALSE))</f>
        <v>Osasuna</v>
      </c>
      <c r="E139" t="s">
        <v>37</v>
      </c>
      <c r="F139" s="1">
        <v>45873</v>
      </c>
      <c r="G139" t="s">
        <v>14</v>
      </c>
      <c r="H139" t="s">
        <v>31</v>
      </c>
      <c r="I139" s="2">
        <v>15000001</v>
      </c>
    </row>
    <row r="140" spans="1:9" x14ac:dyDescent="0.25">
      <c r="A140">
        <v>139</v>
      </c>
      <c r="B140" t="str">
        <f>IF(ISERROR(VLOOKUP(E140,Nombres!A:D,2,FALSE)),"PROBLEMAAAAAA",VLOOKUP(E140,Nombres!A:D,2,FALSE))</f>
        <v>Rüdiger</v>
      </c>
      <c r="C140" t="str">
        <f>IF(ISERROR(VLOOKUP(E140,Nombres!A:D,4,FALSE)),"PROBLEMAAAAAA",VLOOKUP(E140,Nombres!A:D,4,FALSE))</f>
        <v>DEF</v>
      </c>
      <c r="D140" t="str">
        <f>IF(ISERROR(VLOOKUP(E140,Nombres!A:D,3,FALSE)),"PROBLEMAAAAAA",VLOOKUP(E140,Nombres!A:D,3,FALSE))</f>
        <v>Real Madrid</v>
      </c>
      <c r="E140" t="s">
        <v>39</v>
      </c>
      <c r="F140" s="1">
        <v>45873</v>
      </c>
      <c r="G140" t="s">
        <v>31</v>
      </c>
      <c r="H140" t="s">
        <v>12</v>
      </c>
      <c r="I140" s="2">
        <v>27421205</v>
      </c>
    </row>
    <row r="141" spans="1:9" x14ac:dyDescent="0.25">
      <c r="A141">
        <v>140</v>
      </c>
      <c r="B141" t="str">
        <f>IF(ISERROR(VLOOKUP(E141,Nombres!A:D,2,FALSE)),"PROBLEMAAAAAA",VLOOKUP(E141,Nombres!A:D,2,FALSE))</f>
        <v>Stuani</v>
      </c>
      <c r="C141" t="str">
        <f>IF(ISERROR(VLOOKUP(E141,Nombres!A:D,4,FALSE)),"PROBLEMAAAAAA",VLOOKUP(E141,Nombres!A:D,4,FALSE))</f>
        <v>DEL</v>
      </c>
      <c r="D141" t="str">
        <f>IF(ISERROR(VLOOKUP(E141,Nombres!A:D,3,FALSE)),"PROBLEMAAAAAA",VLOOKUP(E141,Nombres!A:D,3,FALSE))</f>
        <v>Girona</v>
      </c>
      <c r="E141" t="s">
        <v>30</v>
      </c>
      <c r="F141" s="1">
        <v>45873</v>
      </c>
      <c r="G141" t="s">
        <v>6</v>
      </c>
      <c r="H141" t="s">
        <v>31</v>
      </c>
      <c r="I141" s="2">
        <v>8045718</v>
      </c>
    </row>
    <row r="142" spans="1:9" x14ac:dyDescent="0.25">
      <c r="A142">
        <v>141</v>
      </c>
      <c r="B142" t="str">
        <f>IF(ISERROR(VLOOKUP(E142,Nombres!A:D,2,FALSE)),"PROBLEMAAAAAA",VLOOKUP(E142,Nombres!A:D,2,FALSE))</f>
        <v>Barrenetxea</v>
      </c>
      <c r="C142" t="str">
        <f>IF(ISERROR(VLOOKUP(E142,Nombres!A:D,4,FALSE)),"PROBLEMAAAAAA",VLOOKUP(E142,Nombres!A:D,4,FALSE))</f>
        <v>MED</v>
      </c>
      <c r="D142" t="str">
        <f>IF(ISERROR(VLOOKUP(E142,Nombres!A:D,3,FALSE)),"PROBLEMAAAAAA",VLOOKUP(E142,Nombres!A:D,3,FALSE))</f>
        <v>Real Sociedad</v>
      </c>
      <c r="E142" t="s">
        <v>47</v>
      </c>
      <c r="F142" s="1">
        <v>45874</v>
      </c>
      <c r="G142" t="s">
        <v>31</v>
      </c>
      <c r="H142" t="s">
        <v>13</v>
      </c>
      <c r="I142" s="2">
        <v>5672311</v>
      </c>
    </row>
    <row r="143" spans="1:9" x14ac:dyDescent="0.25">
      <c r="A143">
        <v>142</v>
      </c>
      <c r="B143" t="str">
        <f>IF(ISERROR(VLOOKUP(E143,Nombres!A:D,2,FALSE)),"PROBLEMAAAAAA",VLOOKUP(E143,Nombres!A:D,2,FALSE))</f>
        <v>Thierry</v>
      </c>
      <c r="C143" t="str">
        <f>IF(ISERROR(VLOOKUP(E143,Nombres!A:D,4,FALSE)),"PROBLEMAAAAAA",VLOOKUP(E143,Nombres!A:D,4,FALSE))</f>
        <v>DEF</v>
      </c>
      <c r="D143" t="str">
        <f>IF(ISERROR(VLOOKUP(E143,Nombres!A:D,3,FALSE)),"PROBLEMAAAAAA",VLOOKUP(E143,Nombres!A:D,3,FALSE))</f>
        <v>Valencia</v>
      </c>
      <c r="E143" t="s">
        <v>46</v>
      </c>
      <c r="F143" s="1">
        <v>45874</v>
      </c>
      <c r="G143" t="s">
        <v>31</v>
      </c>
      <c r="H143" t="s">
        <v>10</v>
      </c>
      <c r="I143" s="2">
        <v>7913098</v>
      </c>
    </row>
    <row r="144" spans="1:9" x14ac:dyDescent="0.25">
      <c r="A144">
        <v>143</v>
      </c>
      <c r="B144" t="str">
        <f>IF(ISERROR(VLOOKUP(E144,Nombres!A:D,2,FALSE)),"PROBLEMAAAAAA",VLOOKUP(E144,Nombres!A:D,2,FALSE))</f>
        <v>D. Duarte</v>
      </c>
      <c r="C144" t="str">
        <f>IF(ISERROR(VLOOKUP(E144,Nombres!A:D,4,FALSE)),"PROBLEMAAAAAA",VLOOKUP(E144,Nombres!A:D,4,FALSE))</f>
        <v>DEF</v>
      </c>
      <c r="D144" t="str">
        <f>IF(ISERROR(VLOOKUP(E144,Nombres!A:D,3,FALSE)),"PROBLEMAAAAAA",VLOOKUP(E144,Nombres!A:D,3,FALSE))</f>
        <v>Getafe</v>
      </c>
      <c r="E144" t="s">
        <v>108</v>
      </c>
      <c r="F144" s="1">
        <v>45874</v>
      </c>
      <c r="G144" t="s">
        <v>31</v>
      </c>
      <c r="H144" t="s">
        <v>7</v>
      </c>
      <c r="I144" s="2">
        <v>1167041</v>
      </c>
    </row>
    <row r="145" spans="1:9" x14ac:dyDescent="0.25">
      <c r="A145">
        <v>144</v>
      </c>
      <c r="B145" t="str">
        <f>IF(ISERROR(VLOOKUP(E145,Nombres!A:D,2,FALSE)),"PROBLEMAAAAAA",VLOOKUP(E145,Nombres!A:D,2,FALSE))</f>
        <v>P. Gueye</v>
      </c>
      <c r="C145" t="str">
        <f>IF(ISERROR(VLOOKUP(E145,Nombres!A:D,4,FALSE)),"PROBLEMAAAAAA",VLOOKUP(E145,Nombres!A:D,4,FALSE))</f>
        <v>MED</v>
      </c>
      <c r="D145" t="str">
        <f>IF(ISERROR(VLOOKUP(E145,Nombres!A:D,3,FALSE)),"PROBLEMAAAAAA",VLOOKUP(E145,Nombres!A:D,3,FALSE))</f>
        <v>Villarreal</v>
      </c>
      <c r="E145" t="s">
        <v>45</v>
      </c>
      <c r="F145" s="1">
        <v>45874</v>
      </c>
      <c r="G145" t="s">
        <v>10</v>
      </c>
      <c r="H145" t="s">
        <v>31</v>
      </c>
      <c r="I145" s="2">
        <v>8878878</v>
      </c>
    </row>
    <row r="146" spans="1:9" x14ac:dyDescent="0.25">
      <c r="A146">
        <v>145</v>
      </c>
      <c r="B146" t="str">
        <f>IF(ISERROR(VLOOKUP(E146,Nombres!A:D,2,FALSE)),"PROBLEMAAAAAA",VLOOKUP(E146,Nombres!A:D,2,FALSE))</f>
        <v>Mendy</v>
      </c>
      <c r="C146" t="str">
        <f>IF(ISERROR(VLOOKUP(E146,Nombres!A:D,4,FALSE)),"PROBLEMAAAAAA",VLOOKUP(E146,Nombres!A:D,4,FALSE))</f>
        <v>DEF</v>
      </c>
      <c r="D146" t="str">
        <f>IF(ISERROR(VLOOKUP(E146,Nombres!A:D,3,FALSE)),"PROBLEMAAAAAA",VLOOKUP(E146,Nombres!A:D,3,FALSE))</f>
        <v>Rayo</v>
      </c>
      <c r="E146" t="s">
        <v>44</v>
      </c>
      <c r="F146" s="1">
        <v>45874</v>
      </c>
      <c r="G146" t="s">
        <v>31</v>
      </c>
      <c r="H146" t="s">
        <v>9</v>
      </c>
      <c r="I146" s="2">
        <v>10606370</v>
      </c>
    </row>
    <row r="147" spans="1:9" x14ac:dyDescent="0.25">
      <c r="A147">
        <v>146</v>
      </c>
      <c r="B147" t="str">
        <f>IF(ISERROR(VLOOKUP(E147,Nombres!A:D,2,FALSE)),"PROBLEMAAAAAA",VLOOKUP(E147,Nombres!A:D,2,FALSE))</f>
        <v>Aitor</v>
      </c>
      <c r="C147" t="str">
        <f>IF(ISERROR(VLOOKUP(E147,Nombres!A:D,4,FALSE)),"PROBLEMAAAAAA",VLOOKUP(E147,Nombres!A:D,4,FALSE))</f>
        <v>POR</v>
      </c>
      <c r="D147" t="str">
        <f>IF(ISERROR(VLOOKUP(E147,Nombres!A:D,3,FALSE)),"PROBLEMAAAAAA",VLOOKUP(E147,Nombres!A:D,3,FALSE))</f>
        <v>Osasuna</v>
      </c>
      <c r="E147" t="s">
        <v>106</v>
      </c>
      <c r="F147" s="1">
        <v>45875</v>
      </c>
      <c r="G147" t="s">
        <v>8</v>
      </c>
      <c r="H147" t="s">
        <v>31</v>
      </c>
      <c r="I147" s="2">
        <v>0</v>
      </c>
    </row>
    <row r="148" spans="1:9" x14ac:dyDescent="0.25">
      <c r="A148">
        <v>147</v>
      </c>
      <c r="B148" t="str">
        <f>IF(ISERROR(VLOOKUP(E148,Nombres!A:D,2,FALSE)),"PROBLEMAAAAAA",VLOOKUP(E148,Nombres!A:D,2,FALSE))</f>
        <v>Almada</v>
      </c>
      <c r="C148" t="str">
        <f>IF(ISERROR(VLOOKUP(E148,Nombres!A:D,4,FALSE)),"PROBLEMAAAAAA",VLOOKUP(E148,Nombres!A:D,4,FALSE))</f>
        <v>MED</v>
      </c>
      <c r="D148" t="str">
        <f>IF(ISERROR(VLOOKUP(E148,Nombres!A:D,3,FALSE)),"PROBLEMAAAAAA",VLOOKUP(E148,Nombres!A:D,3,FALSE))</f>
        <v>Atlético</v>
      </c>
      <c r="E148" t="s">
        <v>110</v>
      </c>
      <c r="F148" s="1">
        <v>45875</v>
      </c>
      <c r="G148" t="s">
        <v>8</v>
      </c>
      <c r="H148" t="s">
        <v>31</v>
      </c>
      <c r="I148" s="2">
        <v>0</v>
      </c>
    </row>
    <row r="149" spans="1:9" x14ac:dyDescent="0.25">
      <c r="A149">
        <v>148</v>
      </c>
      <c r="B149" t="str">
        <f>IF(ISERROR(VLOOKUP(E149,Nombres!A:D,2,FALSE)),"PROBLEMAAAAAA",VLOOKUP(E149,Nombres!A:D,2,FALSE))</f>
        <v>Almeida</v>
      </c>
      <c r="C149" t="str">
        <f>IF(ISERROR(VLOOKUP(E149,Nombres!A:D,4,FALSE)),"PROBLEMAAAAAA",VLOOKUP(E149,Nombres!A:D,4,FALSE))</f>
        <v>MED</v>
      </c>
      <c r="D149" t="str">
        <f>IF(ISERROR(VLOOKUP(E149,Nombres!A:D,3,FALSE)),"PROBLEMAAAAAA",VLOOKUP(E149,Nombres!A:D,3,FALSE))</f>
        <v>Valencia</v>
      </c>
      <c r="E149" t="s">
        <v>41</v>
      </c>
      <c r="F149" s="1">
        <v>45875</v>
      </c>
      <c r="G149" t="s">
        <v>8</v>
      </c>
      <c r="H149" t="s">
        <v>31</v>
      </c>
      <c r="I149" s="2">
        <v>0</v>
      </c>
    </row>
    <row r="150" spans="1:9" x14ac:dyDescent="0.25">
      <c r="A150">
        <v>149</v>
      </c>
      <c r="B150" t="str">
        <f>IF(ISERROR(VLOOKUP(E150,Nombres!A:D,2,FALSE)),"PROBLEMAAAAAA",VLOOKUP(E150,Nombres!A:D,2,FALSE))</f>
        <v>Álvaro García</v>
      </c>
      <c r="C150" t="str">
        <f>IF(ISERROR(VLOOKUP(E150,Nombres!A:D,4,FALSE)),"PROBLEMAAAAAA",VLOOKUP(E150,Nombres!A:D,4,FALSE))</f>
        <v>MED</v>
      </c>
      <c r="D150" t="str">
        <f>IF(ISERROR(VLOOKUP(E150,Nombres!A:D,3,FALSE)),"PROBLEMAAAAAA",VLOOKUP(E150,Nombres!A:D,3,FALSE))</f>
        <v>Rayo</v>
      </c>
      <c r="E150" t="s">
        <v>60</v>
      </c>
      <c r="F150" s="1">
        <v>45875</v>
      </c>
      <c r="G150" t="s">
        <v>31</v>
      </c>
      <c r="H150" t="s">
        <v>14</v>
      </c>
      <c r="I150" s="2">
        <v>11915702</v>
      </c>
    </row>
    <row r="151" spans="1:9" x14ac:dyDescent="0.25">
      <c r="A151">
        <v>150</v>
      </c>
      <c r="B151" t="str">
        <f>IF(ISERROR(VLOOKUP(E151,Nombres!A:D,2,FALSE)),"PROBLEMAAAAAA",VLOOKUP(E151,Nombres!A:D,2,FALSE))</f>
        <v>Asencio</v>
      </c>
      <c r="C151" t="str">
        <f>IF(ISERROR(VLOOKUP(E151,Nombres!A:D,4,FALSE)),"PROBLEMAAAAAA",VLOOKUP(E151,Nombres!A:D,4,FALSE))</f>
        <v>DEF</v>
      </c>
      <c r="D151" t="str">
        <f>IF(ISERROR(VLOOKUP(E151,Nombres!A:D,3,FALSE)),"PROBLEMAAAAAA",VLOOKUP(E151,Nombres!A:D,3,FALSE))</f>
        <v>Real Madrid</v>
      </c>
      <c r="E151" t="s">
        <v>57</v>
      </c>
      <c r="F151" s="1">
        <v>45875</v>
      </c>
      <c r="G151" t="s">
        <v>31</v>
      </c>
      <c r="H151" t="s">
        <v>14</v>
      </c>
      <c r="I151" s="2">
        <v>14535398</v>
      </c>
    </row>
    <row r="152" spans="1:9" x14ac:dyDescent="0.25">
      <c r="A152">
        <v>151</v>
      </c>
      <c r="B152" t="str">
        <f>IF(ISERROR(VLOOKUP(E152,Nombres!A:D,2,FALSE)),"PROBLEMAAAAAA",VLOOKUP(E152,Nombres!A:D,2,FALSE))</f>
        <v>Becker</v>
      </c>
      <c r="C152" t="str">
        <f>IF(ISERROR(VLOOKUP(E152,Nombres!A:D,4,FALSE)),"PROBLEMAAAAAA",VLOOKUP(E152,Nombres!A:D,4,FALSE))</f>
        <v>MED</v>
      </c>
      <c r="D152" t="str">
        <f>IF(ISERROR(VLOOKUP(E152,Nombres!A:D,3,FALSE)),"PROBLEMAAAAAA",VLOOKUP(E152,Nombres!A:D,3,FALSE))</f>
        <v>Osasuna</v>
      </c>
      <c r="E152" t="s">
        <v>59</v>
      </c>
      <c r="F152" s="1">
        <v>45875</v>
      </c>
      <c r="G152" t="s">
        <v>31</v>
      </c>
      <c r="H152" t="s">
        <v>14</v>
      </c>
      <c r="I152" s="2">
        <v>7802523</v>
      </c>
    </row>
    <row r="153" spans="1:9" x14ac:dyDescent="0.25">
      <c r="A153">
        <v>152</v>
      </c>
      <c r="B153" t="str">
        <f>IF(ISERROR(VLOOKUP(E153,Nombres!A:D,2,FALSE)),"PROBLEMAAAAAA",VLOOKUP(E153,Nombres!A:D,2,FALSE))</f>
        <v>Casadó</v>
      </c>
      <c r="C153" t="str">
        <f>IF(ISERROR(VLOOKUP(E153,Nombres!A:D,4,FALSE)),"PROBLEMAAAAAA",VLOOKUP(E153,Nombres!A:D,4,FALSE))</f>
        <v>MED</v>
      </c>
      <c r="D153" t="str">
        <f>IF(ISERROR(VLOOKUP(E153,Nombres!A:D,3,FALSE)),"PROBLEMAAAAAA",VLOOKUP(E153,Nombres!A:D,3,FALSE))</f>
        <v>Barcelona</v>
      </c>
      <c r="E153" t="s">
        <v>48</v>
      </c>
      <c r="F153" s="1">
        <v>45875</v>
      </c>
      <c r="G153" t="s">
        <v>31</v>
      </c>
      <c r="H153" t="s">
        <v>12</v>
      </c>
      <c r="I153" s="2">
        <v>11013284</v>
      </c>
    </row>
    <row r="154" spans="1:9" x14ac:dyDescent="0.25">
      <c r="A154">
        <v>153</v>
      </c>
      <c r="B154" t="str">
        <f>IF(ISERROR(VLOOKUP(E154,Nombres!A:D,2,FALSE)),"PROBLEMAAAAAA",VLOOKUP(E154,Nombres!A:D,2,FALSE))</f>
        <v>D. Duarte</v>
      </c>
      <c r="C154" t="str">
        <f>IF(ISERROR(VLOOKUP(E154,Nombres!A:D,4,FALSE)),"PROBLEMAAAAAA",VLOOKUP(E154,Nombres!A:D,4,FALSE))</f>
        <v>DEF</v>
      </c>
      <c r="D154" t="str">
        <f>IF(ISERROR(VLOOKUP(E154,Nombres!A:D,3,FALSE)),"PROBLEMAAAAAA",VLOOKUP(E154,Nombres!A:D,3,FALSE))</f>
        <v>Getafe</v>
      </c>
      <c r="E154" t="s">
        <v>108</v>
      </c>
      <c r="F154" s="1">
        <v>45875</v>
      </c>
      <c r="G154" t="s">
        <v>8</v>
      </c>
      <c r="H154" t="s">
        <v>31</v>
      </c>
      <c r="I154" s="2">
        <v>0</v>
      </c>
    </row>
    <row r="155" spans="1:9" x14ac:dyDescent="0.25">
      <c r="A155">
        <v>154</v>
      </c>
      <c r="B155" t="str">
        <f>IF(ISERROR(VLOOKUP(E155,Nombres!A:D,2,FALSE)),"PROBLEMAAAAAA",VLOOKUP(E155,Nombres!A:D,2,FALSE))</f>
        <v>Endrick</v>
      </c>
      <c r="C155" t="str">
        <f>IF(ISERROR(VLOOKUP(E155,Nombres!A:D,4,FALSE)),"PROBLEMAAAAAA",VLOOKUP(E155,Nombres!A:D,4,FALSE))</f>
        <v>DEL</v>
      </c>
      <c r="D155" t="str">
        <f>IF(ISERROR(VLOOKUP(E155,Nombres!A:D,3,FALSE)),"PROBLEMAAAAAA",VLOOKUP(E155,Nombres!A:D,3,FALSE))</f>
        <v>Real Madrid</v>
      </c>
      <c r="E155" t="s">
        <v>42</v>
      </c>
      <c r="F155" s="1">
        <v>45875</v>
      </c>
      <c r="G155" t="s">
        <v>8</v>
      </c>
      <c r="H155" t="s">
        <v>31</v>
      </c>
      <c r="I155" s="2">
        <v>0</v>
      </c>
    </row>
    <row r="156" spans="1:9" x14ac:dyDescent="0.25">
      <c r="A156">
        <v>155</v>
      </c>
      <c r="B156" t="str">
        <f>IF(ISERROR(VLOOKUP(E156,Nombres!A:D,2,FALSE)),"PROBLEMAAAAAA",VLOOKUP(E156,Nombres!A:D,2,FALSE))</f>
        <v>Gallagher</v>
      </c>
      <c r="C156" t="str">
        <f>IF(ISERROR(VLOOKUP(E156,Nombres!A:D,4,FALSE)),"PROBLEMAAAAAA",VLOOKUP(E156,Nombres!A:D,4,FALSE))</f>
        <v>MED</v>
      </c>
      <c r="D156" t="str">
        <f>IF(ISERROR(VLOOKUP(E156,Nombres!A:D,3,FALSE)),"PROBLEMAAAAAA",VLOOKUP(E156,Nombres!A:D,3,FALSE))</f>
        <v>Atlético</v>
      </c>
      <c r="E156" t="s">
        <v>58</v>
      </c>
      <c r="F156" s="1">
        <v>45875</v>
      </c>
      <c r="G156" t="s">
        <v>31</v>
      </c>
      <c r="H156" t="s">
        <v>14</v>
      </c>
      <c r="I156" s="2">
        <v>16196589</v>
      </c>
    </row>
    <row r="157" spans="1:9" x14ac:dyDescent="0.25">
      <c r="A157">
        <v>156</v>
      </c>
      <c r="B157" t="str">
        <f>IF(ISERROR(VLOOKUP(E157,Nombres!A:D,2,FALSE)),"PROBLEMAAAAAA",VLOOKUP(E157,Nombres!A:D,2,FALSE))</f>
        <v>Gorosabel</v>
      </c>
      <c r="C157" t="str">
        <f>IF(ISERROR(VLOOKUP(E157,Nombres!A:D,4,FALSE)),"PROBLEMAAAAAA",VLOOKUP(E157,Nombres!A:D,4,FALSE))</f>
        <v>DEF</v>
      </c>
      <c r="D157" t="str">
        <f>IF(ISERROR(VLOOKUP(E157,Nombres!A:D,3,FALSE)),"PROBLEMAAAAAA",VLOOKUP(E157,Nombres!A:D,3,FALSE))</f>
        <v>Athletic</v>
      </c>
      <c r="E157" t="s">
        <v>55</v>
      </c>
      <c r="F157" s="1">
        <v>45875</v>
      </c>
      <c r="G157" t="s">
        <v>7</v>
      </c>
      <c r="H157" t="s">
        <v>31</v>
      </c>
      <c r="I157" s="2">
        <v>6685883</v>
      </c>
    </row>
    <row r="158" spans="1:9" x14ac:dyDescent="0.25">
      <c r="A158">
        <v>157</v>
      </c>
      <c r="B158" t="str">
        <f>IF(ISERROR(VLOOKUP(E158,Nombres!A:D,2,FALSE)),"PROBLEMAAAAAA",VLOOKUP(E158,Nombres!A:D,2,FALSE))</f>
        <v>Gudelj</v>
      </c>
      <c r="C158" t="str">
        <f>IF(ISERROR(VLOOKUP(E158,Nombres!A:D,4,FALSE)),"PROBLEMAAAAAA",VLOOKUP(E158,Nombres!A:D,4,FALSE))</f>
        <v>MED</v>
      </c>
      <c r="D158" t="str">
        <f>IF(ISERROR(VLOOKUP(E158,Nombres!A:D,3,FALSE)),"PROBLEMAAAAAA",VLOOKUP(E158,Nombres!A:D,3,FALSE))</f>
        <v>Sevilla</v>
      </c>
      <c r="E158" t="s">
        <v>52</v>
      </c>
      <c r="F158" s="1">
        <v>45875</v>
      </c>
      <c r="G158" t="s">
        <v>13</v>
      </c>
      <c r="H158" t="s">
        <v>31</v>
      </c>
      <c r="I158" s="2">
        <v>7900000</v>
      </c>
    </row>
    <row r="159" spans="1:9" x14ac:dyDescent="0.25">
      <c r="A159">
        <v>158</v>
      </c>
      <c r="B159" t="str">
        <f>IF(ISERROR(VLOOKUP(E159,Nombres!A:D,2,FALSE)),"PROBLEMAAAAAA",VLOOKUP(E159,Nombres!A:D,2,FALSE))</f>
        <v>Hancko</v>
      </c>
      <c r="C159" t="str">
        <f>IF(ISERROR(VLOOKUP(E159,Nombres!A:D,4,FALSE)),"PROBLEMAAAAAA",VLOOKUP(E159,Nombres!A:D,4,FALSE))</f>
        <v>DEF</v>
      </c>
      <c r="D159" t="str">
        <f>IF(ISERROR(VLOOKUP(E159,Nombres!A:D,3,FALSE)),"PROBLEMAAAAAA",VLOOKUP(E159,Nombres!A:D,3,FALSE))</f>
        <v>Atlético</v>
      </c>
      <c r="E159" t="s">
        <v>107</v>
      </c>
      <c r="F159" s="1">
        <v>45875</v>
      </c>
      <c r="G159" t="s">
        <v>8</v>
      </c>
      <c r="H159" t="s">
        <v>31</v>
      </c>
      <c r="I159" s="2">
        <v>0</v>
      </c>
    </row>
    <row r="160" spans="1:9" x14ac:dyDescent="0.25">
      <c r="A160">
        <v>159</v>
      </c>
      <c r="B160" t="str">
        <f>IF(ISERROR(VLOOKUP(E160,Nombres!A:D,2,FALSE)),"PROBLEMAAAAAA",VLOOKUP(E160,Nombres!A:D,2,FALSE))</f>
        <v>Miguel</v>
      </c>
      <c r="C160" t="str">
        <f>IF(ISERROR(VLOOKUP(E160,Nombres!A:D,4,FALSE)),"PROBLEMAAAAAA",VLOOKUP(E160,Nombres!A:D,4,FALSE))</f>
        <v>DEF</v>
      </c>
      <c r="D160" t="str">
        <f>IF(ISERROR(VLOOKUP(E160,Nombres!A:D,3,FALSE)),"PROBLEMAAAAAA",VLOOKUP(E160,Nombres!A:D,3,FALSE))</f>
        <v>Girona</v>
      </c>
      <c r="E160" t="s">
        <v>49</v>
      </c>
      <c r="F160" s="1">
        <v>45875</v>
      </c>
      <c r="G160" t="s">
        <v>31</v>
      </c>
      <c r="H160" t="s">
        <v>12</v>
      </c>
      <c r="I160" s="2">
        <v>11013284</v>
      </c>
    </row>
    <row r="161" spans="1:9" x14ac:dyDescent="0.25">
      <c r="A161">
        <v>160</v>
      </c>
      <c r="B161" t="str">
        <f>IF(ISERROR(VLOOKUP(E161,Nombres!A:D,2,FALSE)),"PROBLEMAAAAAA",VLOOKUP(E161,Nombres!A:D,2,FALSE))</f>
        <v>Miguel</v>
      </c>
      <c r="C161" t="str">
        <f>IF(ISERROR(VLOOKUP(E161,Nombres!A:D,4,FALSE)),"PROBLEMAAAAAA",VLOOKUP(E161,Nombres!A:D,4,FALSE))</f>
        <v>DEF</v>
      </c>
      <c r="D161" t="str">
        <f>IF(ISERROR(VLOOKUP(E161,Nombres!A:D,3,FALSE)),"PROBLEMAAAAAA",VLOOKUP(E161,Nombres!A:D,3,FALSE))</f>
        <v>Girona</v>
      </c>
      <c r="E161" t="s">
        <v>49</v>
      </c>
      <c r="F161" s="1">
        <v>45875</v>
      </c>
      <c r="G161" t="s">
        <v>8</v>
      </c>
      <c r="H161" t="s">
        <v>31</v>
      </c>
      <c r="I161" s="2">
        <v>0</v>
      </c>
    </row>
    <row r="162" spans="1:9" x14ac:dyDescent="0.25">
      <c r="A162">
        <v>161</v>
      </c>
      <c r="B162" t="str">
        <f>IF(ISERROR(VLOOKUP(E162,Nombres!A:D,2,FALSE)),"PROBLEMAAAAAA",VLOOKUP(E162,Nombres!A:D,2,FALSE))</f>
        <v>Moleiro</v>
      </c>
      <c r="C162" t="str">
        <f>IF(ISERROR(VLOOKUP(E162,Nombres!A:D,4,FALSE)),"PROBLEMAAAAAA",VLOOKUP(E162,Nombres!A:D,4,FALSE))</f>
        <v>MED</v>
      </c>
      <c r="D162" t="str">
        <f>IF(ISERROR(VLOOKUP(E162,Nombres!A:D,3,FALSE)),"PROBLEMAAAAAA",VLOOKUP(E162,Nombres!A:D,3,FALSE))</f>
        <v>Villarreal</v>
      </c>
      <c r="E162" t="s">
        <v>111</v>
      </c>
      <c r="F162" s="1">
        <v>45875</v>
      </c>
      <c r="G162" t="s">
        <v>8</v>
      </c>
      <c r="H162" t="s">
        <v>31</v>
      </c>
      <c r="I162" s="2">
        <v>0</v>
      </c>
    </row>
    <row r="163" spans="1:9" x14ac:dyDescent="0.25">
      <c r="A163">
        <v>162</v>
      </c>
      <c r="B163" t="str">
        <f>IF(ISERROR(VLOOKUP(E163,Nombres!A:D,2,FALSE)),"PROBLEMAAAAAA",VLOOKUP(E163,Nombres!A:D,2,FALSE))</f>
        <v>Oblak</v>
      </c>
      <c r="C163" t="str">
        <f>IF(ISERROR(VLOOKUP(E163,Nombres!A:D,4,FALSE)),"PROBLEMAAAAAA",VLOOKUP(E163,Nombres!A:D,4,FALSE))</f>
        <v>POR</v>
      </c>
      <c r="D163" t="str">
        <f>IF(ISERROR(VLOOKUP(E163,Nombres!A:D,3,FALSE)),"PROBLEMAAAAAA",VLOOKUP(E163,Nombres!A:D,3,FALSE))</f>
        <v>Atlético</v>
      </c>
      <c r="E163" t="s">
        <v>54</v>
      </c>
      <c r="F163" s="1">
        <v>45875</v>
      </c>
      <c r="G163" t="s">
        <v>7</v>
      </c>
      <c r="H163" t="s">
        <v>31</v>
      </c>
      <c r="I163" s="2">
        <v>53700052</v>
      </c>
    </row>
    <row r="164" spans="1:9" x14ac:dyDescent="0.25">
      <c r="A164">
        <v>163</v>
      </c>
      <c r="B164" t="str">
        <f>IF(ISERROR(VLOOKUP(E164,Nombres!A:D,2,FALSE)),"PROBLEMAAAAAA",VLOOKUP(E164,Nombres!A:D,2,FALSE))</f>
        <v>Durán</v>
      </c>
      <c r="C164" t="str">
        <f>IF(ISERROR(VLOOKUP(E164,Nombres!A:D,4,FALSE)),"PROBLEMAAAAAA",VLOOKUP(E164,Nombres!A:D,4,FALSE))</f>
        <v>DEL</v>
      </c>
      <c r="D164" t="str">
        <f>IF(ISERROR(VLOOKUP(E164,Nombres!A:D,3,FALSE)),"PROBLEMAAAAAA",VLOOKUP(E164,Nombres!A:D,3,FALSE))</f>
        <v>Celta</v>
      </c>
      <c r="E164" t="s">
        <v>51</v>
      </c>
      <c r="F164" s="1">
        <v>45875</v>
      </c>
      <c r="G164" t="s">
        <v>13</v>
      </c>
      <c r="H164" t="s">
        <v>31</v>
      </c>
      <c r="I164" s="2">
        <v>1600000</v>
      </c>
    </row>
    <row r="165" spans="1:9" x14ac:dyDescent="0.25">
      <c r="A165">
        <v>164</v>
      </c>
      <c r="B165" t="str">
        <f>IF(ISERROR(VLOOKUP(E165,Nombres!A:D,2,FALSE)),"PROBLEMAAAAAA",VLOOKUP(E165,Nombres!A:D,2,FALSE))</f>
        <v>Espino</v>
      </c>
      <c r="C165" t="str">
        <f>IF(ISERROR(VLOOKUP(E165,Nombres!A:D,4,FALSE)),"PROBLEMAAAAAA",VLOOKUP(E165,Nombres!A:D,4,FALSE))</f>
        <v>DEF</v>
      </c>
      <c r="D165" t="str">
        <f>IF(ISERROR(VLOOKUP(E165,Nombres!A:D,3,FALSE)),"PROBLEMAAAAAA",VLOOKUP(E165,Nombres!A:D,3,FALSE))</f>
        <v>Rayo</v>
      </c>
      <c r="E165" t="s">
        <v>56</v>
      </c>
      <c r="F165" s="1">
        <v>45875</v>
      </c>
      <c r="G165" t="s">
        <v>8</v>
      </c>
      <c r="H165" t="s">
        <v>31</v>
      </c>
      <c r="I165" s="2">
        <v>3896588</v>
      </c>
    </row>
    <row r="166" spans="1:9" x14ac:dyDescent="0.25">
      <c r="A166">
        <v>165</v>
      </c>
      <c r="B166" t="str">
        <f>IF(ISERROR(VLOOKUP(E166,Nombres!A:D,2,FALSE)),"PROBLEMAAAAAA",VLOOKUP(E166,Nombres!A:D,2,FALSE))</f>
        <v>Paredes</v>
      </c>
      <c r="C166" t="str">
        <f>IF(ISERROR(VLOOKUP(E166,Nombres!A:D,4,FALSE)),"PROBLEMAAAAAA",VLOOKUP(E166,Nombres!A:D,4,FALSE))</f>
        <v>DEF</v>
      </c>
      <c r="D166" t="str">
        <f>IF(ISERROR(VLOOKUP(E166,Nombres!A:D,3,FALSE)),"PROBLEMAAAAAA",VLOOKUP(E166,Nombres!A:D,3,FALSE))</f>
        <v>Athletic</v>
      </c>
      <c r="E166" t="s">
        <v>43</v>
      </c>
      <c r="F166" s="1">
        <v>45875</v>
      </c>
      <c r="G166" t="s">
        <v>8</v>
      </c>
      <c r="H166" t="s">
        <v>31</v>
      </c>
      <c r="I166" s="2">
        <v>0</v>
      </c>
    </row>
    <row r="167" spans="1:9" x14ac:dyDescent="0.25">
      <c r="A167">
        <v>166</v>
      </c>
      <c r="B167" t="str">
        <f>IF(ISERROR(VLOOKUP(E167,Nombres!A:D,2,FALSE)),"PROBLEMAAAAAA",VLOOKUP(E167,Nombres!A:D,2,FALSE))</f>
        <v>Parejo</v>
      </c>
      <c r="C167" t="str">
        <f>IF(ISERROR(VLOOKUP(E167,Nombres!A:D,4,FALSE)),"PROBLEMAAAAAA",VLOOKUP(E167,Nombres!A:D,4,FALSE))</f>
        <v>MED</v>
      </c>
      <c r="D167" t="str">
        <f>IF(ISERROR(VLOOKUP(E167,Nombres!A:D,3,FALSE)),"PROBLEMAAAAAA",VLOOKUP(E167,Nombres!A:D,3,FALSE))</f>
        <v>Villarreal</v>
      </c>
      <c r="E167" t="s">
        <v>40</v>
      </c>
      <c r="F167" s="1">
        <v>45875</v>
      </c>
      <c r="G167" t="s">
        <v>8</v>
      </c>
      <c r="H167" t="s">
        <v>31</v>
      </c>
      <c r="I167" s="2">
        <v>0</v>
      </c>
    </row>
    <row r="168" spans="1:9" x14ac:dyDescent="0.25">
      <c r="A168">
        <v>167</v>
      </c>
      <c r="B168" t="str">
        <f>IF(ISERROR(VLOOKUP(E168,Nombres!A:D,2,FALSE)),"PROBLEMAAAAAA",VLOOKUP(E168,Nombres!A:D,2,FALSE))</f>
        <v>Raba</v>
      </c>
      <c r="C168" t="str">
        <f>IF(ISERROR(VLOOKUP(E168,Nombres!A:D,4,FALSE)),"PROBLEMAAAAAA",VLOOKUP(E168,Nombres!A:D,4,FALSE))</f>
        <v>DEL</v>
      </c>
      <c r="D168" t="str">
        <f>IF(ISERROR(VLOOKUP(E168,Nombres!A:D,3,FALSE)),"PROBLEMAAAAAA",VLOOKUP(E168,Nombres!A:D,3,FALSE))</f>
        <v>Valencia</v>
      </c>
      <c r="E168" t="s">
        <v>112</v>
      </c>
      <c r="F168" s="1">
        <v>45875</v>
      </c>
      <c r="G168" t="s">
        <v>8</v>
      </c>
      <c r="H168" t="s">
        <v>31</v>
      </c>
      <c r="I168" s="2">
        <v>0</v>
      </c>
    </row>
    <row r="169" spans="1:9" x14ac:dyDescent="0.25">
      <c r="A169">
        <v>168</v>
      </c>
      <c r="B169" t="str">
        <f>IF(ISERROR(VLOOKUP(E169,Nombres!A:D,2,FALSE)),"PROBLEMAAAAAA",VLOOKUP(E169,Nombres!A:D,2,FALSE))</f>
        <v>Riquelme</v>
      </c>
      <c r="C169" t="str">
        <f>IF(ISERROR(VLOOKUP(E169,Nombres!A:D,4,FALSE)),"PROBLEMAAAAAA",VLOOKUP(E169,Nombres!A:D,4,FALSE))</f>
        <v>MED</v>
      </c>
      <c r="D169" t="str">
        <f>IF(ISERROR(VLOOKUP(E169,Nombres!A:D,3,FALSE)),"PROBLEMAAAAAA",VLOOKUP(E169,Nombres!A:D,3,FALSE))</f>
        <v>Betis</v>
      </c>
      <c r="E169" t="s">
        <v>109</v>
      </c>
      <c r="F169" s="1">
        <v>45875</v>
      </c>
      <c r="G169" t="s">
        <v>8</v>
      </c>
      <c r="H169" t="s">
        <v>31</v>
      </c>
      <c r="I169" s="2">
        <v>0</v>
      </c>
    </row>
    <row r="170" spans="1:9" x14ac:dyDescent="0.25">
      <c r="A170">
        <v>169</v>
      </c>
      <c r="B170" t="str">
        <f>IF(ISERROR(VLOOKUP(E170,Nombres!A:D,2,FALSE)),"PROBLEMAAAAAA",VLOOKUP(E170,Nombres!A:D,2,FALSE))</f>
        <v>Rodrygo</v>
      </c>
      <c r="C170" t="str">
        <f>IF(ISERROR(VLOOKUP(E170,Nombres!A:D,4,FALSE)),"PROBLEMAAAAAA",VLOOKUP(E170,Nombres!A:D,4,FALSE))</f>
        <v>DEL</v>
      </c>
      <c r="D170" t="str">
        <f>IF(ISERROR(VLOOKUP(E170,Nombres!A:D,3,FALSE)),"PROBLEMAAAAAA",VLOOKUP(E170,Nombres!A:D,3,FALSE))</f>
        <v>Real Madrid</v>
      </c>
      <c r="E170" t="s">
        <v>50</v>
      </c>
      <c r="F170" s="1">
        <v>45875</v>
      </c>
      <c r="G170" t="s">
        <v>31</v>
      </c>
      <c r="H170" t="s">
        <v>13</v>
      </c>
      <c r="I170" s="2">
        <v>25325866</v>
      </c>
    </row>
    <row r="171" spans="1:9" x14ac:dyDescent="0.25">
      <c r="A171">
        <v>170</v>
      </c>
      <c r="B171" t="str">
        <f>IF(ISERROR(VLOOKUP(E171,Nombres!A:D,2,FALSE)),"PROBLEMAAAAAA",VLOOKUP(E171,Nombres!A:D,2,FALSE))</f>
        <v>Rodrygo</v>
      </c>
      <c r="C171" t="str">
        <f>IF(ISERROR(VLOOKUP(E171,Nombres!A:D,4,FALSE)),"PROBLEMAAAAAA",VLOOKUP(E171,Nombres!A:D,4,FALSE))</f>
        <v>DEL</v>
      </c>
      <c r="D171" t="str">
        <f>IF(ISERROR(VLOOKUP(E171,Nombres!A:D,3,FALSE)),"PROBLEMAAAAAA",VLOOKUP(E171,Nombres!A:D,3,FALSE))</f>
        <v>Real Madrid</v>
      </c>
      <c r="E171" t="s">
        <v>50</v>
      </c>
      <c r="F171" s="1">
        <v>45875</v>
      </c>
      <c r="G171" t="s">
        <v>8</v>
      </c>
      <c r="H171" t="s">
        <v>31</v>
      </c>
      <c r="I171" s="2">
        <v>0</v>
      </c>
    </row>
    <row r="172" spans="1:9" x14ac:dyDescent="0.25">
      <c r="A172">
        <v>171</v>
      </c>
      <c r="B172" t="str">
        <f>IF(ISERROR(VLOOKUP(E172,Nombres!A:D,2,FALSE)),"PROBLEMAAAAAA",VLOOKUP(E172,Nombres!A:D,2,FALSE))</f>
        <v>Rüdiger</v>
      </c>
      <c r="C172" t="str">
        <f>IF(ISERROR(VLOOKUP(E172,Nombres!A:D,4,FALSE)),"PROBLEMAAAAAA",VLOOKUP(E172,Nombres!A:D,4,FALSE))</f>
        <v>DEF</v>
      </c>
      <c r="D172" t="str">
        <f>IF(ISERROR(VLOOKUP(E172,Nombres!A:D,3,FALSE)),"PROBLEMAAAAAA",VLOOKUP(E172,Nombres!A:D,3,FALSE))</f>
        <v>Real Madrid</v>
      </c>
      <c r="E172" t="s">
        <v>39</v>
      </c>
      <c r="F172" s="1">
        <v>45875</v>
      </c>
      <c r="G172" t="s">
        <v>8</v>
      </c>
      <c r="H172" t="s">
        <v>31</v>
      </c>
      <c r="I172" s="2">
        <v>0</v>
      </c>
    </row>
    <row r="173" spans="1:9" x14ac:dyDescent="0.25">
      <c r="A173">
        <v>172</v>
      </c>
      <c r="B173" t="str">
        <f>IF(ISERROR(VLOOKUP(E173,Nombres!A:D,2,FALSE)),"PROBLEMAAAAAA",VLOOKUP(E173,Nombres!A:D,2,FALSE))</f>
        <v>Starfelt</v>
      </c>
      <c r="C173" t="str">
        <f>IF(ISERROR(VLOOKUP(E173,Nombres!A:D,4,FALSE)),"PROBLEMAAAAAA",VLOOKUP(E173,Nombres!A:D,4,FALSE))</f>
        <v>DEF</v>
      </c>
      <c r="D173" t="str">
        <f>IF(ISERROR(VLOOKUP(E173,Nombres!A:D,3,FALSE)),"PROBLEMAAAAAA",VLOOKUP(E173,Nombres!A:D,3,FALSE))</f>
        <v>Celta</v>
      </c>
      <c r="E173" t="s">
        <v>53</v>
      </c>
      <c r="F173" s="1">
        <v>45875</v>
      </c>
      <c r="G173" t="s">
        <v>12</v>
      </c>
      <c r="H173" t="s">
        <v>31</v>
      </c>
      <c r="I173" s="2">
        <v>11010100</v>
      </c>
    </row>
    <row r="174" spans="1:9" x14ac:dyDescent="0.25">
      <c r="A174">
        <v>173</v>
      </c>
      <c r="B174" t="str">
        <f>IF(ISERROR(VLOOKUP(E174,Nombres!A:D,2,FALSE)),"PROBLEMAAAAAA",VLOOKUP(E174,Nombres!A:D,2,FALSE))</f>
        <v>Andrei</v>
      </c>
      <c r="C174" t="str">
        <f>IF(ISERROR(VLOOKUP(E174,Nombres!A:D,4,FALSE)),"PROBLEMAAAAAA",VLOOKUP(E174,Nombres!A:D,4,FALSE))</f>
        <v>DEF</v>
      </c>
      <c r="D174" t="str">
        <f>IF(ISERROR(VLOOKUP(E174,Nombres!A:D,3,FALSE)),"PROBLEMAAAAAA",VLOOKUP(E174,Nombres!A:D,3,FALSE))</f>
        <v>Rayo</v>
      </c>
      <c r="E174" t="s">
        <v>61</v>
      </c>
      <c r="F174" s="1">
        <v>45876</v>
      </c>
      <c r="G174" t="s">
        <v>13</v>
      </c>
      <c r="H174" t="s">
        <v>7</v>
      </c>
      <c r="I174" s="2">
        <v>14500000</v>
      </c>
    </row>
    <row r="175" spans="1:9" x14ac:dyDescent="0.25">
      <c r="A175">
        <v>174</v>
      </c>
      <c r="B175" t="str">
        <f>IF(ISERROR(VLOOKUP(E175,Nombres!A:D,2,FALSE)),"PROBLEMAAAAAA",VLOOKUP(E175,Nombres!A:D,2,FALSE))</f>
        <v>Brahim</v>
      </c>
      <c r="C175" t="str">
        <f>IF(ISERROR(VLOOKUP(E175,Nombres!A:D,4,FALSE)),"PROBLEMAAAAAA",VLOOKUP(E175,Nombres!A:D,4,FALSE))</f>
        <v>MED</v>
      </c>
      <c r="D175" t="str">
        <f>IF(ISERROR(VLOOKUP(E175,Nombres!A:D,3,FALSE)),"PROBLEMAAAAAA",VLOOKUP(E175,Nombres!A:D,3,FALSE))</f>
        <v>Real Madrid</v>
      </c>
      <c r="E175" t="s">
        <v>62</v>
      </c>
      <c r="F175" s="1">
        <v>45876</v>
      </c>
      <c r="G175" t="s">
        <v>31</v>
      </c>
      <c r="H175" t="s">
        <v>13</v>
      </c>
      <c r="I175" s="2">
        <v>20221672</v>
      </c>
    </row>
    <row r="176" spans="1:9" x14ac:dyDescent="0.25">
      <c r="A176">
        <v>175</v>
      </c>
      <c r="B176" t="str">
        <f>IF(ISERROR(VLOOKUP(E176,Nombres!A:D,2,FALSE)),"PROBLEMAAAAAA",VLOOKUP(E176,Nombres!A:D,2,FALSE))</f>
        <v>Bretones</v>
      </c>
      <c r="C176" t="str">
        <f>IF(ISERROR(VLOOKUP(E176,Nombres!A:D,4,FALSE)),"PROBLEMAAAAAA",VLOOKUP(E176,Nombres!A:D,4,FALSE))</f>
        <v>DEF</v>
      </c>
      <c r="D176" t="str">
        <f>IF(ISERROR(VLOOKUP(E176,Nombres!A:D,3,FALSE)),"PROBLEMAAAAAA",VLOOKUP(E176,Nombres!A:D,3,FALSE))</f>
        <v>Osasuna</v>
      </c>
      <c r="E176" t="s">
        <v>67</v>
      </c>
      <c r="F176" s="1">
        <v>45877</v>
      </c>
      <c r="G176" t="s">
        <v>8</v>
      </c>
      <c r="H176" t="s">
        <v>31</v>
      </c>
      <c r="I176" s="2">
        <v>3373737</v>
      </c>
    </row>
    <row r="177" spans="1:9" x14ac:dyDescent="0.25">
      <c r="A177">
        <v>176</v>
      </c>
      <c r="B177" t="str">
        <f>IF(ISERROR(VLOOKUP(E177,Nombres!A:D,2,FALSE)),"PROBLEMAAAAAA",VLOOKUP(E177,Nombres!A:D,2,FALSE))</f>
        <v>Agoume</v>
      </c>
      <c r="C177" t="str">
        <f>IF(ISERROR(VLOOKUP(E177,Nombres!A:D,4,FALSE)),"PROBLEMAAAAAA",VLOOKUP(E177,Nombres!A:D,4,FALSE))</f>
        <v>MED</v>
      </c>
      <c r="D177" t="str">
        <f>IF(ISERROR(VLOOKUP(E177,Nombres!A:D,3,FALSE)),"PROBLEMAAAAAA",VLOOKUP(E177,Nombres!A:D,3,FALSE))</f>
        <v>Sevilla</v>
      </c>
      <c r="E177" t="s">
        <v>68</v>
      </c>
      <c r="F177" s="1">
        <v>45877</v>
      </c>
      <c r="G177" t="s">
        <v>8</v>
      </c>
      <c r="H177" t="s">
        <v>31</v>
      </c>
      <c r="I177" s="2">
        <v>7238909</v>
      </c>
    </row>
    <row r="178" spans="1:9" x14ac:dyDescent="0.25">
      <c r="A178">
        <v>177</v>
      </c>
      <c r="B178" t="str">
        <f>IF(ISERROR(VLOOKUP(E178,Nombres!A:D,2,FALSE)),"PROBLEMAAAAAA",VLOOKUP(E178,Nombres!A:D,2,FALSE))</f>
        <v>Aleñá</v>
      </c>
      <c r="C178" t="str">
        <f>IF(ISERROR(VLOOKUP(E178,Nombres!A:D,4,FALSE)),"PROBLEMAAAAAA",VLOOKUP(E178,Nombres!A:D,4,FALSE))</f>
        <v>MED</v>
      </c>
      <c r="D178" t="str">
        <f>IF(ISERROR(VLOOKUP(E178,Nombres!A:D,3,FALSE)),"PROBLEMAAAAAA",VLOOKUP(E178,Nombres!A:D,3,FALSE))</f>
        <v>Alavés</v>
      </c>
      <c r="E178" t="s">
        <v>198</v>
      </c>
      <c r="F178" s="1">
        <v>45877</v>
      </c>
      <c r="G178" t="s">
        <v>11</v>
      </c>
      <c r="H178" t="s">
        <v>31</v>
      </c>
      <c r="I178" s="2">
        <v>6100000</v>
      </c>
    </row>
    <row r="179" spans="1:9" x14ac:dyDescent="0.25">
      <c r="A179">
        <v>178</v>
      </c>
      <c r="B179" t="str">
        <f>IF(ISERROR(VLOOKUP(E179,Nombres!A:D,2,FALSE)),"PROBLEMAAAAAA",VLOOKUP(E179,Nombres!A:D,2,FALSE))</f>
        <v>Antonio</v>
      </c>
      <c r="C179" t="str">
        <f>IF(ISERROR(VLOOKUP(E179,Nombres!A:D,4,FALSE)),"PROBLEMAAAAAA",VLOOKUP(E179,Nombres!A:D,4,FALSE))</f>
        <v>MED</v>
      </c>
      <c r="D179" t="str">
        <f>IF(ISERROR(VLOOKUP(E179,Nombres!A:D,3,FALSE)),"PROBLEMAAAAAA",VLOOKUP(E179,Nombres!A:D,3,FALSE))</f>
        <v>Mallorca</v>
      </c>
      <c r="E179" t="s">
        <v>64</v>
      </c>
      <c r="F179" s="1">
        <v>45877</v>
      </c>
      <c r="G179" t="s">
        <v>8</v>
      </c>
      <c r="H179" t="s">
        <v>31</v>
      </c>
      <c r="I179" s="2">
        <v>2668055</v>
      </c>
    </row>
    <row r="180" spans="1:9" x14ac:dyDescent="0.25">
      <c r="A180">
        <v>179</v>
      </c>
      <c r="B180" t="str">
        <f>IF(ISERROR(VLOOKUP(E180,Nombres!A:D,2,FALSE)),"PROBLEMAAAAAA",VLOOKUP(E180,Nombres!A:D,2,FALSE))</f>
        <v>Arambarri</v>
      </c>
      <c r="C180" t="str">
        <f>IF(ISERROR(VLOOKUP(E180,Nombres!A:D,4,FALSE)),"PROBLEMAAAAAA",VLOOKUP(E180,Nombres!A:D,4,FALSE))</f>
        <v>MED</v>
      </c>
      <c r="D180" t="str">
        <f>IF(ISERROR(VLOOKUP(E180,Nombres!A:D,3,FALSE)),"PROBLEMAAAAAA",VLOOKUP(E180,Nombres!A:D,3,FALSE))</f>
        <v>Getafe</v>
      </c>
      <c r="E180" t="s">
        <v>73</v>
      </c>
      <c r="F180" s="1">
        <v>45877</v>
      </c>
      <c r="G180" t="s">
        <v>13</v>
      </c>
      <c r="H180" t="s">
        <v>9</v>
      </c>
      <c r="I180" s="2">
        <v>12000000</v>
      </c>
    </row>
    <row r="181" spans="1:9" x14ac:dyDescent="0.25">
      <c r="A181">
        <v>180</v>
      </c>
      <c r="B181" t="str">
        <f>IF(ISERROR(VLOOKUP(E181,Nombres!A:D,2,FALSE)),"PROBLEMAAAAAA",VLOOKUP(E181,Nombres!A:D,2,FALSE))</f>
        <v>Araújo</v>
      </c>
      <c r="C181" t="str">
        <f>IF(ISERROR(VLOOKUP(E181,Nombres!A:D,4,FALSE)),"PROBLEMAAAAAA",VLOOKUP(E181,Nombres!A:D,4,FALSE))</f>
        <v>DEF</v>
      </c>
      <c r="D181" t="str">
        <f>IF(ISERROR(VLOOKUP(E181,Nombres!A:D,3,FALSE)),"PROBLEMAAAAAA",VLOOKUP(E181,Nombres!A:D,3,FALSE))</f>
        <v>Barcelona</v>
      </c>
      <c r="E181" t="s">
        <v>72</v>
      </c>
      <c r="F181" s="1">
        <v>45877</v>
      </c>
      <c r="G181" t="s">
        <v>31</v>
      </c>
      <c r="H181" t="s">
        <v>12</v>
      </c>
      <c r="I181" s="2">
        <v>18411107</v>
      </c>
    </row>
    <row r="182" spans="1:9" x14ac:dyDescent="0.25">
      <c r="A182">
        <v>181</v>
      </c>
      <c r="B182" t="str">
        <f>IF(ISERROR(VLOOKUP(E182,Nombres!A:D,2,FALSE)),"PROBLEMAAAAAA",VLOOKUP(E182,Nombres!A:D,2,FALSE))</f>
        <v>Budimir</v>
      </c>
      <c r="C182" t="str">
        <f>IF(ISERROR(VLOOKUP(E182,Nombres!A:D,4,FALSE)),"PROBLEMAAAAAA",VLOOKUP(E182,Nombres!A:D,4,FALSE))</f>
        <v>DEL</v>
      </c>
      <c r="D182" t="str">
        <f>IF(ISERROR(VLOOKUP(E182,Nombres!A:D,3,FALSE)),"PROBLEMAAAAAA",VLOOKUP(E182,Nombres!A:D,3,FALSE))</f>
        <v>Osasuna</v>
      </c>
      <c r="E182" t="s">
        <v>195</v>
      </c>
      <c r="F182" s="1">
        <v>45877</v>
      </c>
      <c r="G182" t="s">
        <v>14</v>
      </c>
      <c r="H182" t="s">
        <v>31</v>
      </c>
      <c r="I182" s="2">
        <v>55000001</v>
      </c>
    </row>
    <row r="183" spans="1:9" x14ac:dyDescent="0.25">
      <c r="A183">
        <v>182</v>
      </c>
      <c r="B183" t="str">
        <f>IF(ISERROR(VLOOKUP(E183,Nombres!A:D,2,FALSE)),"PROBLEMAAAAAA",VLOOKUP(E183,Nombres!A:D,2,FALSE))</f>
        <v>Coba</v>
      </c>
      <c r="C183" t="str">
        <f>IF(ISERROR(VLOOKUP(E183,Nombres!A:D,4,FALSE)),"PROBLEMAAAAAA",VLOOKUP(E183,Nombres!A:D,4,FALSE))</f>
        <v>MED</v>
      </c>
      <c r="D183" t="str">
        <f>IF(ISERROR(VLOOKUP(E183,Nombres!A:D,3,FALSE)),"PROBLEMAAAAAA",VLOOKUP(E183,Nombres!A:D,3,FALSE))</f>
        <v>Getafe</v>
      </c>
      <c r="E183" t="s">
        <v>65</v>
      </c>
      <c r="F183" s="1">
        <v>45877</v>
      </c>
      <c r="G183" t="s">
        <v>6</v>
      </c>
      <c r="H183" t="s">
        <v>31</v>
      </c>
      <c r="I183" s="2">
        <v>1200000</v>
      </c>
    </row>
    <row r="184" spans="1:9" x14ac:dyDescent="0.25">
      <c r="A184">
        <v>183</v>
      </c>
      <c r="B184" t="str">
        <f>IF(ISERROR(VLOOKUP(E184,Nombres!A:D,2,FALSE)),"PROBLEMAAAAAA",VLOOKUP(E184,Nombres!A:D,2,FALSE))</f>
        <v>F. de Jong</v>
      </c>
      <c r="C184" t="str">
        <f>IF(ISERROR(VLOOKUP(E184,Nombres!A:D,4,FALSE)),"PROBLEMAAAAAA",VLOOKUP(E184,Nombres!A:D,4,FALSE))</f>
        <v>MED</v>
      </c>
      <c r="D184" t="str">
        <f>IF(ISERROR(VLOOKUP(E184,Nombres!A:D,3,FALSE)),"PROBLEMAAAAAA",VLOOKUP(E184,Nombres!A:D,3,FALSE))</f>
        <v>Barcelona</v>
      </c>
      <c r="E184" t="s">
        <v>66</v>
      </c>
      <c r="F184" s="1">
        <v>45877</v>
      </c>
      <c r="G184" t="s">
        <v>6</v>
      </c>
      <c r="H184" t="s">
        <v>31</v>
      </c>
      <c r="I184" s="2">
        <v>52000000</v>
      </c>
    </row>
    <row r="185" spans="1:9" x14ac:dyDescent="0.25">
      <c r="A185">
        <v>184</v>
      </c>
      <c r="B185" t="str">
        <f>IF(ISERROR(VLOOKUP(E185,Nombres!A:D,2,FALSE)),"PROBLEMAAAAAA",VLOOKUP(E185,Nombres!A:D,2,FALSE))</f>
        <v>Juanlu</v>
      </c>
      <c r="C185" t="str">
        <f>IF(ISERROR(VLOOKUP(E185,Nombres!A:D,4,FALSE)),"PROBLEMAAAAAA",VLOOKUP(E185,Nombres!A:D,4,FALSE))</f>
        <v>MED</v>
      </c>
      <c r="D185" t="str">
        <f>IF(ISERROR(VLOOKUP(E185,Nombres!A:D,3,FALSE)),"PROBLEMAAAAAA",VLOOKUP(E185,Nombres!A:D,3,FALSE))</f>
        <v>Sevilla</v>
      </c>
      <c r="E185" t="s">
        <v>33</v>
      </c>
      <c r="F185" s="1">
        <v>45877</v>
      </c>
      <c r="G185" t="s">
        <v>31</v>
      </c>
      <c r="H185" t="s">
        <v>10</v>
      </c>
      <c r="I185" s="2">
        <v>1250129</v>
      </c>
    </row>
    <row r="186" spans="1:9" x14ac:dyDescent="0.25">
      <c r="A186">
        <v>185</v>
      </c>
      <c r="B186" t="str">
        <f>IF(ISERROR(VLOOKUP(E186,Nombres!A:D,2,FALSE)),"PROBLEMAAAAAA",VLOOKUP(E186,Nombres!A:D,2,FALSE))</f>
        <v>Lenglet</v>
      </c>
      <c r="C186" t="str">
        <f>IF(ISERROR(VLOOKUP(E186,Nombres!A:D,4,FALSE)),"PROBLEMAAAAAA",VLOOKUP(E186,Nombres!A:D,4,FALSE))</f>
        <v>DEF</v>
      </c>
      <c r="D186" t="str">
        <f>IF(ISERROR(VLOOKUP(E186,Nombres!A:D,3,FALSE)),"PROBLEMAAAAAA",VLOOKUP(E186,Nombres!A:D,3,FALSE))</f>
        <v>Atlético</v>
      </c>
      <c r="E186" t="s">
        <v>174</v>
      </c>
      <c r="F186" s="1">
        <v>45877</v>
      </c>
      <c r="G186" t="s">
        <v>31</v>
      </c>
      <c r="H186" t="s">
        <v>13</v>
      </c>
      <c r="I186" s="2">
        <v>6883495</v>
      </c>
    </row>
    <row r="187" spans="1:9" x14ac:dyDescent="0.25">
      <c r="A187">
        <v>186</v>
      </c>
      <c r="B187" t="str">
        <f>IF(ISERROR(VLOOKUP(E187,Nombres!A:D,2,FALSE)),"PROBLEMAAAAAA",VLOOKUP(E187,Nombres!A:D,2,FALSE))</f>
        <v>Luiz Felipe</v>
      </c>
      <c r="C187" t="str">
        <f>IF(ISERROR(VLOOKUP(E187,Nombres!A:D,4,FALSE)),"PROBLEMAAAAAA",VLOOKUP(E187,Nombres!A:D,4,FALSE))</f>
        <v>DEF</v>
      </c>
      <c r="D187" t="str">
        <f>IF(ISERROR(VLOOKUP(E187,Nombres!A:D,3,FALSE)),"PROBLEMAAAAAA",VLOOKUP(E187,Nombres!A:D,3,FALSE))</f>
        <v>Rayo</v>
      </c>
      <c r="E187" t="s">
        <v>69</v>
      </c>
      <c r="F187" s="1">
        <v>45877</v>
      </c>
      <c r="G187" t="s">
        <v>10</v>
      </c>
      <c r="H187" t="s">
        <v>31</v>
      </c>
      <c r="I187" s="2">
        <v>10878878</v>
      </c>
    </row>
    <row r="188" spans="1:9" x14ac:dyDescent="0.25">
      <c r="A188">
        <v>187</v>
      </c>
      <c r="B188" t="str">
        <f>IF(ISERROR(VLOOKUP(E188,Nombres!A:D,2,FALSE)),"PROBLEMAAAAAA",VLOOKUP(E188,Nombres!A:D,2,FALSE))</f>
        <v>Sannadi</v>
      </c>
      <c r="C188" t="str">
        <f>IF(ISERROR(VLOOKUP(E188,Nombres!A:D,4,FALSE)),"PROBLEMAAAAAA",VLOOKUP(E188,Nombres!A:D,4,FALSE))</f>
        <v>DEL</v>
      </c>
      <c r="D188" t="str">
        <f>IF(ISERROR(VLOOKUP(E188,Nombres!A:D,3,FALSE)),"PROBLEMAAAAAA",VLOOKUP(E188,Nombres!A:D,3,FALSE))</f>
        <v>Athletic</v>
      </c>
      <c r="E188" t="s">
        <v>194</v>
      </c>
      <c r="F188" s="1">
        <v>45877</v>
      </c>
      <c r="G188" t="s">
        <v>9</v>
      </c>
      <c r="H188" t="s">
        <v>31</v>
      </c>
      <c r="I188" s="2">
        <v>5000000</v>
      </c>
    </row>
    <row r="189" spans="1:9" x14ac:dyDescent="0.25">
      <c r="A189">
        <v>188</v>
      </c>
      <c r="B189" t="str">
        <f>IF(ISERROR(VLOOKUP(E189,Nombres!A:D,2,FALSE)),"PROBLEMAAAAAA",VLOOKUP(E189,Nombres!A:D,2,FALSE))</f>
        <v>Mouriño</v>
      </c>
      <c r="C189" t="str">
        <f>IF(ISERROR(VLOOKUP(E189,Nombres!A:D,4,FALSE)),"PROBLEMAAAAAA",VLOOKUP(E189,Nombres!A:D,4,FALSE))</f>
        <v>DEF</v>
      </c>
      <c r="D189" t="str">
        <f>IF(ISERROR(VLOOKUP(E189,Nombres!A:D,3,FALSE)),"PROBLEMAAAAAA",VLOOKUP(E189,Nombres!A:D,3,FALSE))</f>
        <v>Villarreal</v>
      </c>
      <c r="E189" t="s">
        <v>70</v>
      </c>
      <c r="F189" s="1">
        <v>45877</v>
      </c>
      <c r="G189" t="s">
        <v>13</v>
      </c>
      <c r="H189" t="s">
        <v>31</v>
      </c>
      <c r="I189" s="2">
        <v>10430000</v>
      </c>
    </row>
    <row r="190" spans="1:9" x14ac:dyDescent="0.25">
      <c r="A190">
        <v>189</v>
      </c>
      <c r="B190" t="str">
        <f>IF(ISERROR(VLOOKUP(E190,Nombres!A:D,2,FALSE)),"PROBLEMAAAAAA",VLOOKUP(E190,Nombres!A:D,2,FALSE))</f>
        <v>Pablo Torre</v>
      </c>
      <c r="C190" t="str">
        <f>IF(ISERROR(VLOOKUP(E190,Nombres!A:D,4,FALSE)),"PROBLEMAAAAAA",VLOOKUP(E190,Nombres!A:D,4,FALSE))</f>
        <v>MED</v>
      </c>
      <c r="D190" t="str">
        <f>IF(ISERROR(VLOOKUP(E190,Nombres!A:D,3,FALSE)),"PROBLEMAAAAAA",VLOOKUP(E190,Nombres!A:D,3,FALSE))</f>
        <v>Mallorca</v>
      </c>
      <c r="E190" t="s">
        <v>74</v>
      </c>
      <c r="F190" s="1">
        <v>45877</v>
      </c>
      <c r="G190" t="s">
        <v>9</v>
      </c>
      <c r="H190" t="s">
        <v>7</v>
      </c>
      <c r="I190" s="2">
        <v>10000000</v>
      </c>
    </row>
    <row r="191" spans="1:9" x14ac:dyDescent="0.25">
      <c r="A191">
        <v>190</v>
      </c>
      <c r="B191" t="str">
        <f>IF(ISERROR(VLOOKUP(E191,Nombres!A:D,2,FALSE)),"PROBLEMAAAAAA",VLOOKUP(E191,Nombres!A:D,2,FALSE))</f>
        <v>Portu</v>
      </c>
      <c r="C191" t="str">
        <f>IF(ISERROR(VLOOKUP(E191,Nombres!A:D,4,FALSE)),"PROBLEMAAAAAA",VLOOKUP(E191,Nombres!A:D,4,FALSE))</f>
        <v>DEL</v>
      </c>
      <c r="D191" t="str">
        <f>IF(ISERROR(VLOOKUP(E191,Nombres!A:D,3,FALSE)),"PROBLEMAAAAAA",VLOOKUP(E191,Nombres!A:D,3,FALSE))</f>
        <v>Girona</v>
      </c>
      <c r="E191" t="s">
        <v>199</v>
      </c>
      <c r="F191" s="1">
        <v>45877</v>
      </c>
      <c r="G191" t="s">
        <v>7</v>
      </c>
      <c r="H191" t="s">
        <v>31</v>
      </c>
      <c r="I191" s="2">
        <v>3212503</v>
      </c>
    </row>
    <row r="192" spans="1:9" x14ac:dyDescent="0.25">
      <c r="A192">
        <v>191</v>
      </c>
      <c r="B192" t="str">
        <f>IF(ISERROR(VLOOKUP(E192,Nombres!A:D,2,FALSE)),"PROBLEMAAAAAA",VLOOKUP(E192,Nombres!A:D,2,FALSE))</f>
        <v>Raúl García</v>
      </c>
      <c r="C192" t="str">
        <f>IF(ISERROR(VLOOKUP(E192,Nombres!A:D,4,FALSE)),"PROBLEMAAAAAA",VLOOKUP(E192,Nombres!A:D,4,FALSE))</f>
        <v>DEL</v>
      </c>
      <c r="D192" t="str">
        <f>IF(ISERROR(VLOOKUP(E192,Nombres!A:D,3,FALSE)),"PROBLEMAAAAAA",VLOOKUP(E192,Nombres!A:D,3,FALSE))</f>
        <v>Osasuna</v>
      </c>
      <c r="E192" t="s">
        <v>71</v>
      </c>
      <c r="F192" s="1">
        <v>45877</v>
      </c>
      <c r="G192" t="s">
        <v>8</v>
      </c>
      <c r="H192" t="s">
        <v>31</v>
      </c>
      <c r="I192" s="2">
        <v>4605484</v>
      </c>
    </row>
    <row r="193" spans="1:9" x14ac:dyDescent="0.25">
      <c r="A193">
        <v>192</v>
      </c>
      <c r="B193" t="str">
        <f>IF(ISERROR(VLOOKUP(E193,Nombres!A:D,2,FALSE)),"PROBLEMAAAAAA",VLOOKUP(E193,Nombres!A:D,2,FALSE))</f>
        <v>Diego Rico</v>
      </c>
      <c r="C193" t="str">
        <f>IF(ISERROR(VLOOKUP(E193,Nombres!A:D,4,FALSE)),"PROBLEMAAAAAA",VLOOKUP(E193,Nombres!A:D,4,FALSE))</f>
        <v>DEF</v>
      </c>
      <c r="D193" t="str">
        <f>IF(ISERROR(VLOOKUP(E193,Nombres!A:D,3,FALSE)),"PROBLEMAAAAAA",VLOOKUP(E193,Nombres!A:D,3,FALSE))</f>
        <v>Getafe</v>
      </c>
      <c r="E193" t="s">
        <v>192</v>
      </c>
      <c r="F193" s="1">
        <v>45877</v>
      </c>
      <c r="G193" t="s">
        <v>13</v>
      </c>
      <c r="H193" t="s">
        <v>31</v>
      </c>
      <c r="I193" s="2">
        <v>7300000</v>
      </c>
    </row>
    <row r="194" spans="1:9" x14ac:dyDescent="0.25">
      <c r="A194">
        <v>193</v>
      </c>
      <c r="B194" t="str">
        <f>IF(ISERROR(VLOOKUP(E194,Nombres!A:D,2,FALSE)),"PROBLEMAAAAAA",VLOOKUP(E194,Nombres!A:D,2,FALSE))</f>
        <v>Tchouaméni</v>
      </c>
      <c r="C194" t="str">
        <f>IF(ISERROR(VLOOKUP(E194,Nombres!A:D,4,FALSE)),"PROBLEMAAAAAA",VLOOKUP(E194,Nombres!A:D,4,FALSE))</f>
        <v>MED</v>
      </c>
      <c r="D194" t="str">
        <f>IF(ISERROR(VLOOKUP(E194,Nombres!A:D,3,FALSE)),"PROBLEMAAAAAA",VLOOKUP(E194,Nombres!A:D,3,FALSE))</f>
        <v>Real Madrid</v>
      </c>
      <c r="E194" t="s">
        <v>196</v>
      </c>
      <c r="F194" s="1">
        <v>45877</v>
      </c>
      <c r="G194" t="s">
        <v>9</v>
      </c>
      <c r="H194" t="s">
        <v>31</v>
      </c>
      <c r="I194" s="2">
        <v>41882338</v>
      </c>
    </row>
    <row r="195" spans="1:9" x14ac:dyDescent="0.25">
      <c r="A195">
        <v>194</v>
      </c>
      <c r="B195" t="str">
        <f>IF(ISERROR(VLOOKUP(E195,Nombres!A:D,2,FALSE)),"PROBLEMAAAAAA",VLOOKUP(E195,Nombres!A:D,2,FALSE))</f>
        <v>Trejo</v>
      </c>
      <c r="C195" t="str">
        <f>IF(ISERROR(VLOOKUP(E195,Nombres!A:D,4,FALSE)),"PROBLEMAAAAAA",VLOOKUP(E195,Nombres!A:D,4,FALSE))</f>
        <v>MED</v>
      </c>
      <c r="D195" t="str">
        <f>IF(ISERROR(VLOOKUP(E195,Nombres!A:D,3,FALSE)),"PROBLEMAAAAAA",VLOOKUP(E195,Nombres!A:D,3,FALSE))</f>
        <v>Rayo</v>
      </c>
      <c r="E195" t="s">
        <v>133</v>
      </c>
      <c r="F195" s="1">
        <v>45877</v>
      </c>
      <c r="G195" t="s">
        <v>31</v>
      </c>
      <c r="H195" t="s">
        <v>9</v>
      </c>
      <c r="I195" s="2">
        <v>5811350</v>
      </c>
    </row>
    <row r="196" spans="1:9" x14ac:dyDescent="0.25">
      <c r="A196">
        <v>195</v>
      </c>
      <c r="B196" t="str">
        <f>IF(ISERROR(VLOOKUP(E196,Nombres!A:D,2,FALSE)),"PROBLEMAAAAAA",VLOOKUP(E196,Nombres!A:D,2,FALSE))</f>
        <v>Tsygankov</v>
      </c>
      <c r="C196" t="str">
        <f>IF(ISERROR(VLOOKUP(E196,Nombres!A:D,4,FALSE)),"PROBLEMAAAAAA",VLOOKUP(E196,Nombres!A:D,4,FALSE))</f>
        <v>DEL</v>
      </c>
      <c r="D196" t="str">
        <f>IF(ISERROR(VLOOKUP(E196,Nombres!A:D,3,FALSE)),"PROBLEMAAAAAA",VLOOKUP(E196,Nombres!A:D,3,FALSE))</f>
        <v>Girona</v>
      </c>
      <c r="E196" t="s">
        <v>63</v>
      </c>
      <c r="F196" s="1">
        <v>45877</v>
      </c>
      <c r="G196" t="s">
        <v>31</v>
      </c>
      <c r="H196" t="s">
        <v>7</v>
      </c>
      <c r="I196" s="2">
        <v>18143367</v>
      </c>
    </row>
    <row r="197" spans="1:9" x14ac:dyDescent="0.25">
      <c r="A197">
        <v>196</v>
      </c>
      <c r="B197" t="str">
        <f>IF(ISERROR(VLOOKUP(E197,Nombres!A:D,2,FALSE)),"PROBLEMAAAAAA",VLOOKUP(E197,Nombres!A:D,2,FALSE))</f>
        <v>Valjent</v>
      </c>
      <c r="C197" t="str">
        <f>IF(ISERROR(VLOOKUP(E197,Nombres!A:D,4,FALSE)),"PROBLEMAAAAAA",VLOOKUP(E197,Nombres!A:D,4,FALSE))</f>
        <v>DEF</v>
      </c>
      <c r="D197" t="str">
        <f>IF(ISERROR(VLOOKUP(E197,Nombres!A:D,3,FALSE)),"PROBLEMAAAAAA",VLOOKUP(E197,Nombres!A:D,3,FALSE))</f>
        <v>Mallorca</v>
      </c>
      <c r="E197" t="s">
        <v>197</v>
      </c>
      <c r="F197" s="1">
        <v>45877</v>
      </c>
      <c r="G197" t="s">
        <v>12</v>
      </c>
      <c r="H197" t="s">
        <v>31</v>
      </c>
      <c r="I197" s="2">
        <v>16101010</v>
      </c>
    </row>
    <row r="198" spans="1:9" x14ac:dyDescent="0.25">
      <c r="A198">
        <v>197</v>
      </c>
      <c r="B198" t="str">
        <f>IF(ISERROR(VLOOKUP(E198,Nombres!A:D,2,FALSE)),"PROBLEMAAAAAA",VLOOKUP(E198,Nombres!A:D,2,FALSE))</f>
        <v>Swedberg</v>
      </c>
      <c r="C198" t="str">
        <f>IF(ISERROR(VLOOKUP(E198,Nombres!A:D,4,FALSE)),"PROBLEMAAAAAA",VLOOKUP(E198,Nombres!A:D,4,FALSE))</f>
        <v>MED</v>
      </c>
      <c r="D198" t="str">
        <f>IF(ISERROR(VLOOKUP(E198,Nombres!A:D,3,FALSE)),"PROBLEMAAAAAA",VLOOKUP(E198,Nombres!A:D,3,FALSE))</f>
        <v>Celta</v>
      </c>
      <c r="E198" t="s">
        <v>193</v>
      </c>
      <c r="F198" s="1">
        <v>45877</v>
      </c>
      <c r="G198" t="s">
        <v>13</v>
      </c>
      <c r="H198" t="s">
        <v>31</v>
      </c>
      <c r="I198" s="2">
        <v>3800000</v>
      </c>
    </row>
    <row r="199" spans="1:9" x14ac:dyDescent="0.25">
      <c r="A199">
        <v>198</v>
      </c>
      <c r="B199" t="str">
        <f>IF(ISERROR(VLOOKUP(E199,Nombres!A:D,2,FALSE)),"PROBLEMAAAAAA",VLOOKUP(E199,Nombres!A:D,2,FALSE))</f>
        <v>Zakharyan</v>
      </c>
      <c r="C199" t="str">
        <f>IF(ISERROR(VLOOKUP(E199,Nombres!A:D,4,FALSE)),"PROBLEMAAAAAA",VLOOKUP(E199,Nombres!A:D,4,FALSE))</f>
        <v>MED</v>
      </c>
      <c r="D199" t="str">
        <f>IF(ISERROR(VLOOKUP(E199,Nombres!A:D,3,FALSE)),"PROBLEMAAAAAA",VLOOKUP(E199,Nombres!A:D,3,FALSE))</f>
        <v>Real Sociedad</v>
      </c>
      <c r="E199" t="s">
        <v>167</v>
      </c>
      <c r="F199" s="1">
        <v>45877</v>
      </c>
      <c r="G199" t="s">
        <v>31</v>
      </c>
      <c r="H199" t="s">
        <v>12</v>
      </c>
      <c r="I199" s="2">
        <v>4959924</v>
      </c>
    </row>
    <row r="200" spans="1:9" x14ac:dyDescent="0.25">
      <c r="A200">
        <v>199</v>
      </c>
      <c r="B200" t="str">
        <f>IF(ISERROR(VLOOKUP(E200,Nombres!A:D,2,FALSE)),"PROBLEMAAAAAA",VLOOKUP(E200,Nombres!A:D,2,FALSE))</f>
        <v>Baena</v>
      </c>
      <c r="C200" t="str">
        <f>IF(ISERROR(VLOOKUP(E200,Nombres!A:D,4,FALSE)),"PROBLEMAAAAAA",VLOOKUP(E200,Nombres!A:D,4,FALSE))</f>
        <v>MED</v>
      </c>
      <c r="D200" t="str">
        <f>IF(ISERROR(VLOOKUP(E200,Nombres!A:D,3,FALSE)),"PROBLEMAAAAAA",VLOOKUP(E200,Nombres!A:D,3,FALSE))</f>
        <v>Atlético</v>
      </c>
      <c r="E200" t="s">
        <v>204</v>
      </c>
      <c r="F200" s="1">
        <v>45878</v>
      </c>
      <c r="G200" t="s">
        <v>12</v>
      </c>
      <c r="H200" t="s">
        <v>31</v>
      </c>
      <c r="I200" s="2">
        <v>85210000</v>
      </c>
    </row>
    <row r="201" spans="1:9" x14ac:dyDescent="0.25">
      <c r="A201">
        <v>200</v>
      </c>
      <c r="B201" t="str">
        <f>IF(ISERROR(VLOOKUP(E201,Nombres!A:D,2,FALSE)),"PROBLEMAAAAAA",VLOOKUP(E201,Nombres!A:D,2,FALSE))</f>
        <v>Cabrera</v>
      </c>
      <c r="C201" t="str">
        <f>IF(ISERROR(VLOOKUP(E201,Nombres!A:D,4,FALSE)),"PROBLEMAAAAAA",VLOOKUP(E201,Nombres!A:D,4,FALSE))</f>
        <v>DEF</v>
      </c>
      <c r="D201" t="str">
        <f>IF(ISERROR(VLOOKUP(E201,Nombres!A:D,3,FALSE)),"PROBLEMAAAAAA",VLOOKUP(E201,Nombres!A:D,3,FALSE))</f>
        <v>Espanyol</v>
      </c>
      <c r="E201" t="s">
        <v>200</v>
      </c>
      <c r="F201" s="1">
        <v>45878</v>
      </c>
      <c r="G201" t="s">
        <v>12</v>
      </c>
      <c r="H201" t="s">
        <v>31</v>
      </c>
      <c r="I201" s="2">
        <v>11010001</v>
      </c>
    </row>
    <row r="202" spans="1:9" x14ac:dyDescent="0.25">
      <c r="A202">
        <v>201</v>
      </c>
      <c r="B202" t="str">
        <f>IF(ISERROR(VLOOKUP(E202,Nombres!A:D,2,FALSE)),"PROBLEMAAAAAA",VLOOKUP(E202,Nombres!A:D,2,FALSE))</f>
        <v>Carvajal</v>
      </c>
      <c r="C202" t="str">
        <f>IF(ISERROR(VLOOKUP(E202,Nombres!A:D,4,FALSE)),"PROBLEMAAAAAA",VLOOKUP(E202,Nombres!A:D,4,FALSE))</f>
        <v>DEF</v>
      </c>
      <c r="D202" t="str">
        <f>IF(ISERROR(VLOOKUP(E202,Nombres!A:D,3,FALSE)),"PROBLEMAAAAAA",VLOOKUP(E202,Nombres!A:D,3,FALSE))</f>
        <v>Real Madrid</v>
      </c>
      <c r="E202" t="s">
        <v>81</v>
      </c>
      <c r="F202" s="1">
        <v>45878</v>
      </c>
      <c r="G202" t="s">
        <v>31</v>
      </c>
      <c r="H202" t="s">
        <v>6</v>
      </c>
      <c r="I202" s="2">
        <v>27257064</v>
      </c>
    </row>
    <row r="203" spans="1:9" x14ac:dyDescent="0.25">
      <c r="A203">
        <v>202</v>
      </c>
      <c r="B203" t="str">
        <f>IF(ISERROR(VLOOKUP(E203,Nombres!A:D,2,FALSE)),"PROBLEMAAAAAA",VLOOKUP(E203,Nombres!A:D,2,FALSE))</f>
        <v>Olmo</v>
      </c>
      <c r="C203" t="str">
        <f>IF(ISERROR(VLOOKUP(E203,Nombres!A:D,4,FALSE)),"PROBLEMAAAAAA",VLOOKUP(E203,Nombres!A:D,4,FALSE))</f>
        <v>MED</v>
      </c>
      <c r="D203" t="str">
        <f>IF(ISERROR(VLOOKUP(E203,Nombres!A:D,3,FALSE)),"PROBLEMAAAAAA",VLOOKUP(E203,Nombres!A:D,3,FALSE))</f>
        <v>Barcelona</v>
      </c>
      <c r="E203" t="s">
        <v>203</v>
      </c>
      <c r="F203" s="1">
        <v>45878</v>
      </c>
      <c r="G203" t="s">
        <v>10</v>
      </c>
      <c r="H203" t="s">
        <v>31</v>
      </c>
      <c r="I203" s="2">
        <v>53310169</v>
      </c>
    </row>
    <row r="204" spans="1:9" x14ac:dyDescent="0.25">
      <c r="A204">
        <v>203</v>
      </c>
      <c r="B204" t="str">
        <f>IF(ISERROR(VLOOKUP(E204,Nombres!A:D,2,FALSE)),"PROBLEMAAAAAA",VLOOKUP(E204,Nombres!A:D,2,FALSE))</f>
        <v>Giménez</v>
      </c>
      <c r="C204" t="str">
        <f>IF(ISERROR(VLOOKUP(E204,Nombres!A:D,4,FALSE)),"PROBLEMAAAAAA",VLOOKUP(E204,Nombres!A:D,4,FALSE))</f>
        <v>DEF</v>
      </c>
      <c r="D204" t="str">
        <f>IF(ISERROR(VLOOKUP(E204,Nombres!A:D,3,FALSE)),"PROBLEMAAAAAA",VLOOKUP(E204,Nombres!A:D,3,FALSE))</f>
        <v>Atlético</v>
      </c>
      <c r="E204" t="s">
        <v>163</v>
      </c>
      <c r="F204" s="1">
        <v>45878</v>
      </c>
      <c r="G204" t="s">
        <v>31</v>
      </c>
      <c r="H204" t="s">
        <v>12</v>
      </c>
      <c r="I204" s="2">
        <v>10886133</v>
      </c>
    </row>
    <row r="205" spans="1:9" x14ac:dyDescent="0.25">
      <c r="A205">
        <v>204</v>
      </c>
      <c r="B205" t="str">
        <f>IF(ISERROR(VLOOKUP(E205,Nombres!A:D,2,FALSE)),"PROBLEMAAAAAA",VLOOKUP(E205,Nombres!A:D,2,FALSE))</f>
        <v>Hassan</v>
      </c>
      <c r="C205" t="str">
        <f>IF(ISERROR(VLOOKUP(E205,Nombres!A:D,4,FALSE)),"PROBLEMAAAAAA",VLOOKUP(E205,Nombres!A:D,4,FALSE))</f>
        <v>MED</v>
      </c>
      <c r="D205" t="str">
        <f>IF(ISERROR(VLOOKUP(E205,Nombres!A:D,3,FALSE)),"PROBLEMAAAAAA",VLOOKUP(E205,Nombres!A:D,3,FALSE))</f>
        <v>Real Oviedo</v>
      </c>
      <c r="E205" t="s">
        <v>201</v>
      </c>
      <c r="F205" s="1">
        <v>45878</v>
      </c>
      <c r="G205" t="s">
        <v>13</v>
      </c>
      <c r="H205" t="s">
        <v>31</v>
      </c>
      <c r="I205" s="2">
        <v>4005000</v>
      </c>
    </row>
    <row r="206" spans="1:9" x14ac:dyDescent="0.25">
      <c r="A206">
        <v>205</v>
      </c>
      <c r="B206" t="str">
        <f>IF(ISERROR(VLOOKUP(E206,Nombres!A:D,2,FALSE)),"PROBLEMAAAAAA",VLOOKUP(E206,Nombres!A:D,2,FALSE))</f>
        <v>D. Llorente</v>
      </c>
      <c r="C206" t="str">
        <f>IF(ISERROR(VLOOKUP(E206,Nombres!A:D,4,FALSE)),"PROBLEMAAAAAA",VLOOKUP(E206,Nombres!A:D,4,FALSE))</f>
        <v>DEF</v>
      </c>
      <c r="D206" t="str">
        <f>IF(ISERROR(VLOOKUP(E206,Nombres!A:D,3,FALSE)),"PROBLEMAAAAAA",VLOOKUP(E206,Nombres!A:D,3,FALSE))</f>
        <v>Betis</v>
      </c>
      <c r="E206" t="s">
        <v>83</v>
      </c>
      <c r="F206" s="1">
        <v>45878</v>
      </c>
      <c r="G206" t="s">
        <v>31</v>
      </c>
      <c r="H206" t="s">
        <v>6</v>
      </c>
      <c r="I206" s="2">
        <v>8482120</v>
      </c>
    </row>
    <row r="207" spans="1:9" x14ac:dyDescent="0.25">
      <c r="A207">
        <v>206</v>
      </c>
      <c r="B207" t="str">
        <f>IF(ISERROR(VLOOKUP(E207,Nombres!A:D,2,FALSE)),"PROBLEMAAAAAA",VLOOKUP(E207,Nombres!A:D,2,FALSE))</f>
        <v>Lunin</v>
      </c>
      <c r="C207" t="str">
        <f>IF(ISERROR(VLOOKUP(E207,Nombres!A:D,4,FALSE)),"PROBLEMAAAAAA",VLOOKUP(E207,Nombres!A:D,4,FALSE))</f>
        <v>POR</v>
      </c>
      <c r="D207" t="str">
        <f>IF(ISERROR(VLOOKUP(E207,Nombres!A:D,3,FALSE)),"PROBLEMAAAAAA",VLOOKUP(E207,Nombres!A:D,3,FALSE))</f>
        <v>Real Madrid</v>
      </c>
      <c r="E207" t="s">
        <v>162</v>
      </c>
      <c r="F207" s="1">
        <v>45878</v>
      </c>
      <c r="G207" t="s">
        <v>31</v>
      </c>
      <c r="H207" t="s">
        <v>12</v>
      </c>
      <c r="I207" s="2">
        <v>5280074</v>
      </c>
    </row>
    <row r="208" spans="1:9" x14ac:dyDescent="0.25">
      <c r="A208">
        <v>207</v>
      </c>
      <c r="B208" t="str">
        <f>IF(ISERROR(VLOOKUP(E208,Nombres!A:D,2,FALSE)),"PROBLEMAAAAAA",VLOOKUP(E208,Nombres!A:D,2,FALSE))</f>
        <v>Militão</v>
      </c>
      <c r="C208" t="str">
        <f>IF(ISERROR(VLOOKUP(E208,Nombres!A:D,4,FALSE)),"PROBLEMAAAAAA",VLOOKUP(E208,Nombres!A:D,4,FALSE))</f>
        <v>DEF</v>
      </c>
      <c r="D208" t="str">
        <f>IF(ISERROR(VLOOKUP(E208,Nombres!A:D,3,FALSE)),"PROBLEMAAAAAA",VLOOKUP(E208,Nombres!A:D,3,FALSE))</f>
        <v>Real Madrid</v>
      </c>
      <c r="E208" t="s">
        <v>164</v>
      </c>
      <c r="F208" s="1">
        <v>45878</v>
      </c>
      <c r="G208" t="s">
        <v>31</v>
      </c>
      <c r="H208" t="s">
        <v>12</v>
      </c>
      <c r="I208" s="2">
        <v>25750396</v>
      </c>
    </row>
    <row r="209" spans="1:9" x14ac:dyDescent="0.25">
      <c r="A209">
        <v>208</v>
      </c>
      <c r="B209" t="str">
        <f>IF(ISERROR(VLOOKUP(E209,Nombres!A:D,2,FALSE)),"PROBLEMAAAAAA",VLOOKUP(E209,Nombres!A:D,2,FALSE))</f>
        <v>Mojica</v>
      </c>
      <c r="C209" t="str">
        <f>IF(ISERROR(VLOOKUP(E209,Nombres!A:D,4,FALSE)),"PROBLEMAAAAAA",VLOOKUP(E209,Nombres!A:D,4,FALSE))</f>
        <v>DEF</v>
      </c>
      <c r="D209" t="str">
        <f>IF(ISERROR(VLOOKUP(E209,Nombres!A:D,3,FALSE)),"PROBLEMAAAAAA",VLOOKUP(E209,Nombres!A:D,3,FALSE))</f>
        <v>Mallorca</v>
      </c>
      <c r="E209" t="s">
        <v>173</v>
      </c>
      <c r="F209" s="1">
        <v>45878</v>
      </c>
      <c r="G209" t="s">
        <v>31</v>
      </c>
      <c r="H209" t="s">
        <v>13</v>
      </c>
      <c r="I209" s="2">
        <v>15508519</v>
      </c>
    </row>
    <row r="210" spans="1:9" x14ac:dyDescent="0.25">
      <c r="A210">
        <v>209</v>
      </c>
      <c r="B210" t="str">
        <f>IF(ISERROR(VLOOKUP(E210,Nombres!A:D,2,FALSE)),"PROBLEMAAAAAA",VLOOKUP(E210,Nombres!A:D,2,FALSE))</f>
        <v>N. Williams</v>
      </c>
      <c r="C210" t="str">
        <f>IF(ISERROR(VLOOKUP(E210,Nombres!A:D,4,FALSE)),"PROBLEMAAAAAA",VLOOKUP(E210,Nombres!A:D,4,FALSE))</f>
        <v>DEL</v>
      </c>
      <c r="D210" t="str">
        <f>IF(ISERROR(VLOOKUP(E210,Nombres!A:D,3,FALSE)),"PROBLEMAAAAAA",VLOOKUP(E210,Nombres!A:D,3,FALSE))</f>
        <v>Athletic</v>
      </c>
      <c r="E210" t="s">
        <v>205</v>
      </c>
      <c r="F210" s="1">
        <v>45878</v>
      </c>
      <c r="G210" t="s">
        <v>13</v>
      </c>
      <c r="H210" t="s">
        <v>31</v>
      </c>
      <c r="I210" s="2">
        <v>87000000</v>
      </c>
    </row>
    <row r="211" spans="1:9" x14ac:dyDescent="0.25">
      <c r="A211">
        <v>210</v>
      </c>
      <c r="B211" t="str">
        <f>IF(ISERROR(VLOOKUP(E211,Nombres!A:D,2,FALSE)),"PROBLEMAAAAAA",VLOOKUP(E211,Nombres!A:D,2,FALSE))</f>
        <v>Sibo</v>
      </c>
      <c r="C211" t="str">
        <f>IF(ISERROR(VLOOKUP(E211,Nombres!A:D,4,FALSE)),"PROBLEMAAAAAA",VLOOKUP(E211,Nombres!A:D,4,FALSE))</f>
        <v>MED</v>
      </c>
      <c r="D211" t="str">
        <f>IF(ISERROR(VLOOKUP(E211,Nombres!A:D,3,FALSE)),"PROBLEMAAAAAA",VLOOKUP(E211,Nombres!A:D,3,FALSE))</f>
        <v>Real Oviedo</v>
      </c>
      <c r="E211" t="s">
        <v>206</v>
      </c>
      <c r="F211" s="1">
        <v>45878</v>
      </c>
      <c r="G211" t="s">
        <v>13</v>
      </c>
      <c r="H211" t="s">
        <v>31</v>
      </c>
      <c r="I211" s="2">
        <v>4000000</v>
      </c>
    </row>
    <row r="212" spans="1:9" x14ac:dyDescent="0.25">
      <c r="A212">
        <v>211</v>
      </c>
      <c r="B212" t="str">
        <f>IF(ISERROR(VLOOKUP(E212,Nombres!A:D,2,FALSE)),"PROBLEMAAAAAA",VLOOKUP(E212,Nombres!A:D,2,FALSE))</f>
        <v>Tárrega</v>
      </c>
      <c r="C212" t="str">
        <f>IF(ISERROR(VLOOKUP(E212,Nombres!A:D,4,FALSE)),"PROBLEMAAAAAA",VLOOKUP(E212,Nombres!A:D,4,FALSE))</f>
        <v>DEF</v>
      </c>
      <c r="D212" t="str">
        <f>IF(ISERROR(VLOOKUP(E212,Nombres!A:D,3,FALSE)),"PROBLEMAAAAAA",VLOOKUP(E212,Nombres!A:D,3,FALSE))</f>
        <v>Valencia</v>
      </c>
      <c r="E212" t="s">
        <v>202</v>
      </c>
      <c r="F212" s="1">
        <v>45878</v>
      </c>
      <c r="G212" t="s">
        <v>13</v>
      </c>
      <c r="H212" t="s">
        <v>31</v>
      </c>
      <c r="I212" s="2">
        <v>21000358</v>
      </c>
    </row>
    <row r="213" spans="1:9" x14ac:dyDescent="0.25">
      <c r="A213">
        <v>212</v>
      </c>
      <c r="B213" t="str">
        <f>IF(ISERROR(VLOOKUP(E213,Nombres!A:D,2,FALSE)),"PROBLEMAAAAAA",VLOOKUP(E213,Nombres!A:D,2,FALSE))</f>
        <v>Adrián</v>
      </c>
      <c r="C213" t="str">
        <f>IF(ISERROR(VLOOKUP(E213,Nombres!A:D,4,FALSE)),"PROBLEMAAAAAA",VLOOKUP(E213,Nombres!A:D,4,FALSE))</f>
        <v>POR</v>
      </c>
      <c r="D213" t="str">
        <f>IF(ISERROR(VLOOKUP(E213,Nombres!A:D,3,FALSE)),"PROBLEMAAAAAA",VLOOKUP(E213,Nombres!A:D,3,FALSE))</f>
        <v>Betis</v>
      </c>
      <c r="E213" t="s">
        <v>211</v>
      </c>
      <c r="F213" s="1">
        <v>45879</v>
      </c>
      <c r="G213" t="s">
        <v>14</v>
      </c>
      <c r="H213" t="s">
        <v>31</v>
      </c>
      <c r="I213" s="2">
        <v>1354393</v>
      </c>
    </row>
    <row r="214" spans="1:9" x14ac:dyDescent="0.25">
      <c r="A214">
        <v>213</v>
      </c>
      <c r="B214" t="str">
        <f>IF(ISERROR(VLOOKUP(E214,Nombres!A:D,2,FALSE)),"PROBLEMAAAAAA",VLOOKUP(E214,Nombres!A:D,2,FALSE))</f>
        <v>Alderete</v>
      </c>
      <c r="C214" t="str">
        <f>IF(ISERROR(VLOOKUP(E214,Nombres!A:D,4,FALSE)),"PROBLEMAAAAAA",VLOOKUP(E214,Nombres!A:D,4,FALSE))</f>
        <v>DEF</v>
      </c>
      <c r="D214" t="str">
        <f>IF(ISERROR(VLOOKUP(E214,Nombres!A:D,3,FALSE)),"PROBLEMAAAAAA",VLOOKUP(E214,Nombres!A:D,3,FALSE))</f>
        <v>Getafe</v>
      </c>
      <c r="E214" t="s">
        <v>82</v>
      </c>
      <c r="F214" s="1">
        <v>45879</v>
      </c>
      <c r="G214" t="s">
        <v>31</v>
      </c>
      <c r="H214" t="s">
        <v>6</v>
      </c>
      <c r="I214" s="2">
        <v>10527479</v>
      </c>
    </row>
    <row r="215" spans="1:9" x14ac:dyDescent="0.25">
      <c r="A215">
        <v>214</v>
      </c>
      <c r="B215" t="str">
        <f>IF(ISERROR(VLOOKUP(E215,Nombres!A:D,2,FALSE)),"PROBLEMAAAAAA",VLOOKUP(E215,Nombres!A:D,2,FALSE))</f>
        <v>Balliu</v>
      </c>
      <c r="C215" t="str">
        <f>IF(ISERROR(VLOOKUP(E215,Nombres!A:D,4,FALSE)),"PROBLEMAAAAAA",VLOOKUP(E215,Nombres!A:D,4,FALSE))</f>
        <v>DEF</v>
      </c>
      <c r="D215" t="str">
        <f>IF(ISERROR(VLOOKUP(E215,Nombres!A:D,3,FALSE)),"PROBLEMAAAAAA",VLOOKUP(E215,Nombres!A:D,3,FALSE))</f>
        <v>Rayo</v>
      </c>
      <c r="E215" t="s">
        <v>210</v>
      </c>
      <c r="F215" s="1">
        <v>45879</v>
      </c>
      <c r="G215" t="s">
        <v>6</v>
      </c>
      <c r="H215" t="s">
        <v>31</v>
      </c>
      <c r="I215" s="2">
        <v>9500010</v>
      </c>
    </row>
    <row r="216" spans="1:9" x14ac:dyDescent="0.25">
      <c r="A216">
        <v>215</v>
      </c>
      <c r="B216" t="str">
        <f>IF(ISERROR(VLOOKUP(E216,Nombres!A:D,2,FALSE)),"PROBLEMAAAAAA",VLOOKUP(E216,Nombres!A:D,2,FALSE))</f>
        <v>Barrenetxea</v>
      </c>
      <c r="C216" t="str">
        <f>IF(ISERROR(VLOOKUP(E216,Nombres!A:D,4,FALSE)),"PROBLEMAAAAAA",VLOOKUP(E216,Nombres!A:D,4,FALSE))</f>
        <v>MED</v>
      </c>
      <c r="D216" t="str">
        <f>IF(ISERROR(VLOOKUP(E216,Nombres!A:D,3,FALSE)),"PROBLEMAAAAAA",VLOOKUP(E216,Nombres!A:D,3,FALSE))</f>
        <v>Real Sociedad</v>
      </c>
      <c r="E216" t="s">
        <v>47</v>
      </c>
      <c r="F216" s="1">
        <v>45879</v>
      </c>
      <c r="G216" t="s">
        <v>14</v>
      </c>
      <c r="H216" t="s">
        <v>31</v>
      </c>
      <c r="I216" s="2">
        <v>5678911</v>
      </c>
    </row>
    <row r="217" spans="1:9" x14ac:dyDescent="0.25">
      <c r="A217">
        <v>216</v>
      </c>
      <c r="B217" t="str">
        <f>IF(ISERROR(VLOOKUP(E217,Nombres!A:D,2,FALSE)),"PROBLEMAAAAAA",VLOOKUP(E217,Nombres!A:D,2,FALSE))</f>
        <v>Bellerín</v>
      </c>
      <c r="C217" t="str">
        <f>IF(ISERROR(VLOOKUP(E217,Nombres!A:D,4,FALSE)),"PROBLEMAAAAAA",VLOOKUP(E217,Nombres!A:D,4,FALSE))</f>
        <v>DEF</v>
      </c>
      <c r="D217" t="str">
        <f>IF(ISERROR(VLOOKUP(E217,Nombres!A:D,3,FALSE)),"PROBLEMAAAAAA",VLOOKUP(E217,Nombres!A:D,3,FALSE))</f>
        <v>Betis</v>
      </c>
      <c r="E217" t="s">
        <v>208</v>
      </c>
      <c r="F217" s="1">
        <v>45879</v>
      </c>
      <c r="G217" t="s">
        <v>11</v>
      </c>
      <c r="H217" t="s">
        <v>31</v>
      </c>
      <c r="I217" s="2">
        <v>5000000</v>
      </c>
    </row>
    <row r="218" spans="1:9" x14ac:dyDescent="0.25">
      <c r="A218">
        <v>217</v>
      </c>
      <c r="B218" t="str">
        <f>IF(ISERROR(VLOOKUP(E218,Nombres!A:D,2,FALSE)),"PROBLEMAAAAAA",VLOOKUP(E218,Nombres!A:D,2,FALSE))</f>
        <v>Dimitrievski</v>
      </c>
      <c r="C218" t="str">
        <f>IF(ISERROR(VLOOKUP(E218,Nombres!A:D,4,FALSE)),"PROBLEMAAAAAA",VLOOKUP(E218,Nombres!A:D,4,FALSE))</f>
        <v>POR</v>
      </c>
      <c r="D218" t="str">
        <f>IF(ISERROR(VLOOKUP(E218,Nombres!A:D,3,FALSE)),"PROBLEMAAAAAA",VLOOKUP(E218,Nombres!A:D,3,FALSE))</f>
        <v>Valencia</v>
      </c>
      <c r="E218" t="s">
        <v>97</v>
      </c>
      <c r="F218" s="1">
        <v>45879</v>
      </c>
      <c r="G218" t="s">
        <v>31</v>
      </c>
      <c r="H218" t="s">
        <v>7</v>
      </c>
      <c r="I218" s="2">
        <v>6540521</v>
      </c>
    </row>
    <row r="219" spans="1:9" x14ac:dyDescent="0.25">
      <c r="A219">
        <v>218</v>
      </c>
      <c r="B219" t="str">
        <f>IF(ISERROR(VLOOKUP(E219,Nombres!A:D,2,FALSE)),"PROBLEMAAAAAA",VLOOKUP(E219,Nombres!A:D,2,FALSE))</f>
        <v>Greif</v>
      </c>
      <c r="C219" t="str">
        <f>IF(ISERROR(VLOOKUP(E219,Nombres!A:D,4,FALSE)),"PROBLEMAAAAAA",VLOOKUP(E219,Nombres!A:D,4,FALSE))</f>
        <v>POR</v>
      </c>
      <c r="D219" t="str">
        <f>IF(ISERROR(VLOOKUP(E219,Nombres!A:D,3,FALSE)),"PROBLEMAAAAAA",VLOOKUP(E219,Nombres!A:D,3,FALSE))</f>
        <v>Mallorca</v>
      </c>
      <c r="E219" t="s">
        <v>209</v>
      </c>
      <c r="F219" s="1">
        <v>45879</v>
      </c>
      <c r="G219" t="s">
        <v>14</v>
      </c>
      <c r="H219" t="s">
        <v>31</v>
      </c>
      <c r="I219" s="2">
        <v>1635041</v>
      </c>
    </row>
    <row r="220" spans="1:9" x14ac:dyDescent="0.25">
      <c r="A220">
        <v>219</v>
      </c>
      <c r="B220" t="str">
        <f>IF(ISERROR(VLOOKUP(E220,Nombres!A:D,2,FALSE)),"PROBLEMAAAAAA",VLOOKUP(E220,Nombres!A:D,2,FALSE))</f>
        <v>Marc Roca</v>
      </c>
      <c r="C220" t="str">
        <f>IF(ISERROR(VLOOKUP(E220,Nombres!A:D,4,FALSE)),"PROBLEMAAAAAA",VLOOKUP(E220,Nombres!A:D,4,FALSE))</f>
        <v>MED</v>
      </c>
      <c r="D220" t="str">
        <f>IF(ISERROR(VLOOKUP(E220,Nombres!A:D,3,FALSE)),"PROBLEMAAAAAA",VLOOKUP(E220,Nombres!A:D,3,FALSE))</f>
        <v>Betis</v>
      </c>
      <c r="E220" t="s">
        <v>166</v>
      </c>
      <c r="F220" s="1">
        <v>45879</v>
      </c>
      <c r="G220" t="s">
        <v>31</v>
      </c>
      <c r="H220" t="s">
        <v>12</v>
      </c>
      <c r="I220" s="2">
        <v>4918387</v>
      </c>
    </row>
    <row r="221" spans="1:9" x14ac:dyDescent="0.25">
      <c r="A221">
        <v>220</v>
      </c>
      <c r="B221" t="str">
        <f>IF(ISERROR(VLOOKUP(E221,Nombres!A:D,2,FALSE)),"PROBLEMAAAAAA",VLOOKUP(E221,Nombres!A:D,2,FALSE))</f>
        <v>Moi Gómez</v>
      </c>
      <c r="C221" t="str">
        <f>IF(ISERROR(VLOOKUP(E221,Nombres!A:D,4,FALSE)),"PROBLEMAAAAAA",VLOOKUP(E221,Nombres!A:D,4,FALSE))</f>
        <v>MED</v>
      </c>
      <c r="D221" t="str">
        <f>IF(ISERROR(VLOOKUP(E221,Nombres!A:D,3,FALSE)),"PROBLEMAAAAAA",VLOOKUP(E221,Nombres!A:D,3,FALSE))</f>
        <v>Osasuna</v>
      </c>
      <c r="E221" t="s">
        <v>102</v>
      </c>
      <c r="F221" s="1">
        <v>45879</v>
      </c>
      <c r="G221" t="s">
        <v>31</v>
      </c>
      <c r="H221" t="s">
        <v>7</v>
      </c>
      <c r="I221" s="2">
        <v>5807847</v>
      </c>
    </row>
    <row r="222" spans="1:9" x14ac:dyDescent="0.25">
      <c r="A222">
        <v>221</v>
      </c>
      <c r="B222" t="str">
        <f>IF(ISERROR(VLOOKUP(E222,Nombres!A:D,2,FALSE)),"PROBLEMAAAAAA",VLOOKUP(E222,Nombres!A:D,2,FALSE))</f>
        <v>Alhassane</v>
      </c>
      <c r="C222" t="str">
        <f>IF(ISERROR(VLOOKUP(E222,Nombres!A:D,4,FALSE)),"PROBLEMAAAAAA",VLOOKUP(E222,Nombres!A:D,4,FALSE))</f>
        <v>DEF</v>
      </c>
      <c r="D222" t="str">
        <f>IF(ISERROR(VLOOKUP(E222,Nombres!A:D,3,FALSE)),"PROBLEMAAAAAA",VLOOKUP(E222,Nombres!A:D,3,FALSE))</f>
        <v>Real Oviedo</v>
      </c>
      <c r="E222" t="s">
        <v>207</v>
      </c>
      <c r="F222" s="1">
        <v>45879</v>
      </c>
      <c r="G222" t="s">
        <v>6</v>
      </c>
      <c r="H222" t="s">
        <v>31</v>
      </c>
      <c r="I222" s="2">
        <v>5884101</v>
      </c>
    </row>
    <row r="223" spans="1:9" x14ac:dyDescent="0.25">
      <c r="A223">
        <v>222</v>
      </c>
      <c r="B223" t="str">
        <f>IF(ISERROR(VLOOKUP(E223,Nombres!A:D,2,FALSE)),"PROBLEMAAAAAA",VLOOKUP(E223,Nombres!A:D,2,FALSE))</f>
        <v>Raphinha</v>
      </c>
      <c r="C223" t="str">
        <f>IF(ISERROR(VLOOKUP(E223,Nombres!A:D,4,FALSE)),"PROBLEMAAAAAA",VLOOKUP(E223,Nombres!A:D,4,FALSE))</f>
        <v>DEL</v>
      </c>
      <c r="D223" t="str">
        <f>IF(ISERROR(VLOOKUP(E223,Nombres!A:D,3,FALSE)),"PROBLEMAAAAAA",VLOOKUP(E223,Nombres!A:D,3,FALSE))</f>
        <v>Barcelona</v>
      </c>
      <c r="E223" t="s">
        <v>212</v>
      </c>
      <c r="F223" s="1">
        <v>45879</v>
      </c>
      <c r="G223" t="s">
        <v>11</v>
      </c>
      <c r="H223" t="s">
        <v>31</v>
      </c>
      <c r="I223" s="2">
        <v>112301685</v>
      </c>
    </row>
    <row r="224" spans="1:9" x14ac:dyDescent="0.25">
      <c r="A224">
        <v>223</v>
      </c>
      <c r="B224" t="str">
        <f>IF(ISERROR(VLOOKUP(E224,Nombres!A:D,2,FALSE)),"PROBLEMAAAAAA",VLOOKUP(E224,Nombres!A:D,2,FALSE))</f>
        <v>Sergio Gómez</v>
      </c>
      <c r="C224" t="str">
        <f>IF(ISERROR(VLOOKUP(E224,Nombres!A:D,4,FALSE)),"PROBLEMAAAAAA",VLOOKUP(E224,Nombres!A:D,4,FALSE))</f>
        <v>DEF</v>
      </c>
      <c r="D224" t="str">
        <f>IF(ISERROR(VLOOKUP(E224,Nombres!A:D,3,FALSE)),"PROBLEMAAAAAA",VLOOKUP(E224,Nombres!A:D,3,FALSE))</f>
        <v>Real Sociedad</v>
      </c>
      <c r="E224" t="s">
        <v>160</v>
      </c>
      <c r="F224" s="1">
        <v>45879</v>
      </c>
      <c r="G224" t="s">
        <v>31</v>
      </c>
      <c r="H224" t="s">
        <v>11</v>
      </c>
      <c r="I224" s="2">
        <v>14355279</v>
      </c>
    </row>
    <row r="225" spans="1:9" x14ac:dyDescent="0.25">
      <c r="A225">
        <v>224</v>
      </c>
      <c r="B225" t="str">
        <f>IF(ISERROR(VLOOKUP(E225,Nombres!A:D,2,FALSE)),"PROBLEMAAAAAA",VLOOKUP(E225,Nombres!A:D,2,FALSE))</f>
        <v>Van de Beek</v>
      </c>
      <c r="C225" t="str">
        <f>IF(ISERROR(VLOOKUP(E225,Nombres!A:D,4,FALSE)),"PROBLEMAAAAAA",VLOOKUP(E225,Nombres!A:D,4,FALSE))</f>
        <v>MED</v>
      </c>
      <c r="D225" t="str">
        <f>IF(ISERROR(VLOOKUP(E225,Nombres!A:D,3,FALSE)),"PROBLEMAAAAAA",VLOOKUP(E225,Nombres!A:D,3,FALSE))</f>
        <v>Girona</v>
      </c>
      <c r="E225" t="s">
        <v>85</v>
      </c>
      <c r="F225" s="1">
        <v>45879</v>
      </c>
      <c r="G225" t="s">
        <v>31</v>
      </c>
      <c r="H225" t="s">
        <v>6</v>
      </c>
      <c r="I225" s="2">
        <v>3909069</v>
      </c>
    </row>
    <row r="226" spans="1:9" x14ac:dyDescent="0.25">
      <c r="A226">
        <v>225</v>
      </c>
      <c r="B226" t="str">
        <f>IF(ISERROR(VLOOKUP(E226,Nombres!A:D,2,FALSE)),"PROBLEMAAAAAA",VLOOKUP(E226,Nombres!A:D,2,FALSE))</f>
        <v>Vivian</v>
      </c>
      <c r="C226" t="str">
        <f>IF(ISERROR(VLOOKUP(E226,Nombres!A:D,4,FALSE)),"PROBLEMAAAAAA",VLOOKUP(E226,Nombres!A:D,4,FALSE))</f>
        <v>DEF</v>
      </c>
      <c r="D226" t="str">
        <f>IF(ISERROR(VLOOKUP(E226,Nombres!A:D,3,FALSE)),"PROBLEMAAAAAA",VLOOKUP(E226,Nombres!A:D,3,FALSE))</f>
        <v>Athletic</v>
      </c>
      <c r="E226" t="s">
        <v>213</v>
      </c>
      <c r="F226" s="1">
        <v>45879</v>
      </c>
      <c r="G226" t="s">
        <v>768</v>
      </c>
      <c r="H226" t="s">
        <v>31</v>
      </c>
      <c r="I226" s="2">
        <v>53000000</v>
      </c>
    </row>
    <row r="227" spans="1:9" x14ac:dyDescent="0.25">
      <c r="A227">
        <v>226</v>
      </c>
      <c r="B227" t="str">
        <f>IF(ISERROR(VLOOKUP(E227,Nombres!A:D,2,FALSE)),"PROBLEMAAAAAA",VLOOKUP(E227,Nombres!A:D,2,FALSE))</f>
        <v>Cárdenas</v>
      </c>
      <c r="C227" t="str">
        <f>IF(ISERROR(VLOOKUP(E227,Nombres!A:D,4,FALSE)),"PROBLEMAAAAAA",VLOOKUP(E227,Nombres!A:D,4,FALSE))</f>
        <v>POR</v>
      </c>
      <c r="D227" t="str">
        <f>IF(ISERROR(VLOOKUP(E227,Nombres!A:D,3,FALSE)),"PROBLEMAAAAAA",VLOOKUP(E227,Nombres!A:D,3,FALSE))</f>
        <v>Rayo</v>
      </c>
      <c r="E227" t="s">
        <v>217</v>
      </c>
      <c r="F227" s="1">
        <v>45880</v>
      </c>
      <c r="G227" t="s">
        <v>12</v>
      </c>
      <c r="H227" t="s">
        <v>31</v>
      </c>
      <c r="I227" s="2">
        <v>776655</v>
      </c>
    </row>
    <row r="228" spans="1:9" x14ac:dyDescent="0.25">
      <c r="A228">
        <v>227</v>
      </c>
      <c r="B228" t="str">
        <f>IF(ISERROR(VLOOKUP(E228,Nombres!A:D,2,FALSE)),"PROBLEMAAAAAA",VLOOKUP(E228,Nombres!A:D,2,FALSE))</f>
        <v>Chimy</v>
      </c>
      <c r="C228" t="str">
        <f>IF(ISERROR(VLOOKUP(E228,Nombres!A:D,4,FALSE)),"PROBLEMAAAAAA",VLOOKUP(E228,Nombres!A:D,4,FALSE))</f>
        <v>DEL</v>
      </c>
      <c r="D228" t="str">
        <f>IF(ISERROR(VLOOKUP(E228,Nombres!A:D,3,FALSE)),"PROBLEMAAAAAA",VLOOKUP(E228,Nombres!A:D,3,FALSE))</f>
        <v>Betis</v>
      </c>
      <c r="E228" t="s">
        <v>169</v>
      </c>
      <c r="F228" s="1">
        <v>45880</v>
      </c>
      <c r="G228" t="s">
        <v>31</v>
      </c>
      <c r="H228" t="s">
        <v>12</v>
      </c>
      <c r="I228" s="2">
        <v>4043910</v>
      </c>
    </row>
    <row r="229" spans="1:9" x14ac:dyDescent="0.25">
      <c r="A229">
        <v>228</v>
      </c>
      <c r="B229" t="str">
        <f>IF(ISERROR(VLOOKUP(E229,Nombres!A:D,2,FALSE)),"PROBLEMAAAAAA",VLOOKUP(E229,Nombres!A:D,2,FALSE))</f>
        <v>Olmo</v>
      </c>
      <c r="C229" t="str">
        <f>IF(ISERROR(VLOOKUP(E229,Nombres!A:D,4,FALSE)),"PROBLEMAAAAAA",VLOOKUP(E229,Nombres!A:D,4,FALSE))</f>
        <v>MED</v>
      </c>
      <c r="D229" t="str">
        <f>IF(ISERROR(VLOOKUP(E229,Nombres!A:D,3,FALSE)),"PROBLEMAAAAAA",VLOOKUP(E229,Nombres!A:D,3,FALSE))</f>
        <v>Barcelona</v>
      </c>
      <c r="E229" t="s">
        <v>203</v>
      </c>
      <c r="F229" s="1">
        <v>45880</v>
      </c>
      <c r="G229" t="s">
        <v>31</v>
      </c>
      <c r="H229" t="s">
        <v>10</v>
      </c>
      <c r="I229" s="2">
        <v>57538379</v>
      </c>
    </row>
    <row r="230" spans="1:9" x14ac:dyDescent="0.25">
      <c r="A230">
        <v>229</v>
      </c>
      <c r="B230" t="str">
        <f>IF(ISERROR(VLOOKUP(E230,Nombres!A:D,2,FALSE)),"PROBLEMAAAAAA",VLOOKUP(E230,Nombres!A:D,2,FALSE))</f>
        <v>Eric García</v>
      </c>
      <c r="C230" t="str">
        <f>IF(ISERROR(VLOOKUP(E230,Nombres!A:D,4,FALSE)),"PROBLEMAAAAAA",VLOOKUP(E230,Nombres!A:D,4,FALSE))</f>
        <v>DEF</v>
      </c>
      <c r="D230" t="str">
        <f>IF(ISERROR(VLOOKUP(E230,Nombres!A:D,3,FALSE)),"PROBLEMAAAAAA",VLOOKUP(E230,Nombres!A:D,3,FALSE))</f>
        <v>Barcelona</v>
      </c>
      <c r="E230" t="s">
        <v>152</v>
      </c>
      <c r="F230" s="1">
        <v>45880</v>
      </c>
      <c r="G230" t="s">
        <v>31</v>
      </c>
      <c r="H230" t="s">
        <v>11</v>
      </c>
      <c r="I230" s="2">
        <v>12302286</v>
      </c>
    </row>
    <row r="231" spans="1:9" x14ac:dyDescent="0.25">
      <c r="A231">
        <v>230</v>
      </c>
      <c r="B231" t="str">
        <f>IF(ISERROR(VLOOKUP(E231,Nombres!A:D,2,FALSE)),"PROBLEMAAAAAA",VLOOKUP(E231,Nombres!A:D,2,FALSE))</f>
        <v>Febas</v>
      </c>
      <c r="C231" t="str">
        <f>IF(ISERROR(VLOOKUP(E231,Nombres!A:D,4,FALSE)),"PROBLEMAAAAAA",VLOOKUP(E231,Nombres!A:D,4,FALSE))</f>
        <v>MED</v>
      </c>
      <c r="D231" t="str">
        <f>IF(ISERROR(VLOOKUP(E231,Nombres!A:D,3,FALSE)),"PROBLEMAAAAAA",VLOOKUP(E231,Nombres!A:D,3,FALSE))</f>
        <v>Elche</v>
      </c>
      <c r="E231" t="s">
        <v>216</v>
      </c>
      <c r="F231" s="1">
        <v>45880</v>
      </c>
      <c r="G231" t="s">
        <v>12</v>
      </c>
      <c r="H231" t="s">
        <v>31</v>
      </c>
      <c r="I231" s="2">
        <v>4210100</v>
      </c>
    </row>
    <row r="232" spans="1:9" x14ac:dyDescent="0.25">
      <c r="A232">
        <v>231</v>
      </c>
      <c r="B232" t="str">
        <f>IF(ISERROR(VLOOKUP(E232,Nombres!A:D,2,FALSE)),"PROBLEMAAAAAA",VLOOKUP(E232,Nombres!A:D,2,FALSE))</f>
        <v>Iglesias</v>
      </c>
      <c r="C232" t="str">
        <f>IF(ISERROR(VLOOKUP(E232,Nombres!A:D,4,FALSE)),"PROBLEMAAAAAA",VLOOKUP(E232,Nombres!A:D,4,FALSE))</f>
        <v>DEF</v>
      </c>
      <c r="D232" t="str">
        <f>IF(ISERROR(VLOOKUP(E232,Nombres!A:D,3,FALSE)),"PROBLEMAAAAAA",VLOOKUP(E232,Nombres!A:D,3,FALSE))</f>
        <v>Getafe</v>
      </c>
      <c r="E232" t="s">
        <v>215</v>
      </c>
      <c r="F232" s="1">
        <v>45880</v>
      </c>
      <c r="G232" t="s">
        <v>8</v>
      </c>
      <c r="H232" t="s">
        <v>31</v>
      </c>
      <c r="I232" s="2">
        <v>2100858</v>
      </c>
    </row>
    <row r="233" spans="1:9" x14ac:dyDescent="0.25">
      <c r="A233">
        <v>232</v>
      </c>
      <c r="B233" t="str">
        <f>IF(ISERROR(VLOOKUP(E233,Nombres!A:D,2,FALSE)),"PROBLEMAAAAAA",VLOOKUP(E233,Nombres!A:D,2,FALSE))</f>
        <v>Lozano</v>
      </c>
      <c r="C233" t="str">
        <f>IF(ISERROR(VLOOKUP(E233,Nombres!A:D,4,FALSE)),"PROBLEMAAAAAA",VLOOKUP(E233,Nombres!A:D,4,FALSE))</f>
        <v>MED</v>
      </c>
      <c r="D233" t="str">
        <f>IF(ISERROR(VLOOKUP(E233,Nombres!A:D,3,FALSE)),"PROBLEMAAAAAA",VLOOKUP(E233,Nombres!A:D,3,FALSE))</f>
        <v>Espanyol</v>
      </c>
      <c r="E233" t="s">
        <v>218</v>
      </c>
      <c r="F233" s="1">
        <v>45880</v>
      </c>
      <c r="G233" t="s">
        <v>12</v>
      </c>
      <c r="H233" t="s">
        <v>31</v>
      </c>
      <c r="I233" s="2">
        <v>3210000</v>
      </c>
    </row>
    <row r="234" spans="1:9" x14ac:dyDescent="0.25">
      <c r="A234">
        <v>233</v>
      </c>
      <c r="B234" t="str">
        <f>IF(ISERROR(VLOOKUP(E234,Nombres!A:D,2,FALSE)),"PROBLEMAAAAAA",VLOOKUP(E234,Nombres!A:D,2,FALSE))</f>
        <v>Rincón</v>
      </c>
      <c r="C234" t="str">
        <f>IF(ISERROR(VLOOKUP(E234,Nombres!A:D,4,FALSE)),"PROBLEMAAAAAA",VLOOKUP(E234,Nombres!A:D,4,FALSE))</f>
        <v>DEF</v>
      </c>
      <c r="D234" t="str">
        <f>IF(ISERROR(VLOOKUP(E234,Nombres!A:D,3,FALSE)),"PROBLEMAAAAAA",VLOOKUP(E234,Nombres!A:D,3,FALSE))</f>
        <v>Girona</v>
      </c>
      <c r="E234" t="s">
        <v>214</v>
      </c>
      <c r="F234" s="1">
        <v>45880</v>
      </c>
      <c r="G234" t="s">
        <v>9</v>
      </c>
      <c r="H234" t="s">
        <v>31</v>
      </c>
      <c r="I234" s="2">
        <v>2500000</v>
      </c>
    </row>
    <row r="235" spans="1:9" x14ac:dyDescent="0.25">
      <c r="A235">
        <v>234</v>
      </c>
      <c r="B235" t="str">
        <f>IF(ISERROR(VLOOKUP(E235,Nombres!A:D,2,FALSE)),"PROBLEMAAAAAA",VLOOKUP(E235,Nombres!A:D,2,FALSE))</f>
        <v>Balde</v>
      </c>
      <c r="C235" t="str">
        <f>IF(ISERROR(VLOOKUP(E235,Nombres!A:D,4,FALSE)),"PROBLEMAAAAAA",VLOOKUP(E235,Nombres!A:D,4,FALSE))</f>
        <v>DEF</v>
      </c>
      <c r="D235" t="str">
        <f>IF(ISERROR(VLOOKUP(E235,Nombres!A:D,3,FALSE)),"PROBLEMAAAAAA",VLOOKUP(E235,Nombres!A:D,3,FALSE))</f>
        <v>Barcelona</v>
      </c>
      <c r="E235" t="s">
        <v>224</v>
      </c>
      <c r="F235" s="1">
        <v>45881</v>
      </c>
      <c r="G235" t="s">
        <v>10</v>
      </c>
      <c r="H235" t="s">
        <v>31</v>
      </c>
      <c r="I235" s="2">
        <v>64987987</v>
      </c>
    </row>
    <row r="236" spans="1:9" x14ac:dyDescent="0.25">
      <c r="A236">
        <v>235</v>
      </c>
      <c r="B236" t="str">
        <f>IF(ISERROR(VLOOKUP(E236,Nombres!A:D,2,FALSE)),"PROBLEMAAAAAA",VLOOKUP(E236,Nombres!A:D,2,FALSE))</f>
        <v>Araújo</v>
      </c>
      <c r="C236" t="str">
        <f>IF(ISERROR(VLOOKUP(E236,Nombres!A:D,4,FALSE)),"PROBLEMAAAAAA",VLOOKUP(E236,Nombres!A:D,4,FALSE))</f>
        <v>DEF</v>
      </c>
      <c r="D236" t="str">
        <f>IF(ISERROR(VLOOKUP(E236,Nombres!A:D,3,FALSE)),"PROBLEMAAAAAA",VLOOKUP(E236,Nombres!A:D,3,FALSE))</f>
        <v>Barcelona</v>
      </c>
      <c r="E236" t="s">
        <v>72</v>
      </c>
      <c r="F236" s="1">
        <v>45881</v>
      </c>
      <c r="G236" t="s">
        <v>6</v>
      </c>
      <c r="H236" t="s">
        <v>31</v>
      </c>
      <c r="I236" s="2">
        <v>32174441</v>
      </c>
    </row>
    <row r="237" spans="1:9" x14ac:dyDescent="0.25">
      <c r="A237">
        <v>236</v>
      </c>
      <c r="B237" t="str">
        <f>IF(ISERROR(VLOOKUP(E237,Nombres!A:D,2,FALSE)),"PROBLEMAAAAAA",VLOOKUP(E237,Nombres!A:D,2,FALSE))</f>
        <v>Barrios</v>
      </c>
      <c r="C237" t="str">
        <f>IF(ISERROR(VLOOKUP(E237,Nombres!A:D,4,FALSE)),"PROBLEMAAAAAA",VLOOKUP(E237,Nombres!A:D,4,FALSE))</f>
        <v>MED</v>
      </c>
      <c r="D237" t="str">
        <f>IF(ISERROR(VLOOKUP(E237,Nombres!A:D,3,FALSE)),"PROBLEMAAAAAA",VLOOKUP(E237,Nombres!A:D,3,FALSE))</f>
        <v>Atlético</v>
      </c>
      <c r="E237" t="s">
        <v>225</v>
      </c>
      <c r="F237" s="1">
        <v>45881</v>
      </c>
      <c r="G237" t="s">
        <v>9</v>
      </c>
      <c r="H237" t="s">
        <v>31</v>
      </c>
      <c r="I237" s="2">
        <v>44211971</v>
      </c>
    </row>
    <row r="238" spans="1:9" x14ac:dyDescent="0.25">
      <c r="A238">
        <v>237</v>
      </c>
      <c r="B238" t="str">
        <f>IF(ISERROR(VLOOKUP(E238,Nombres!A:D,2,FALSE)),"PROBLEMAAAAAA",VLOOKUP(E238,Nombres!A:D,2,FALSE))</f>
        <v>Camavinga</v>
      </c>
      <c r="C238" t="str">
        <f>IF(ISERROR(VLOOKUP(E238,Nombres!A:D,4,FALSE)),"PROBLEMAAAAAA",VLOOKUP(E238,Nombres!A:D,4,FALSE))</f>
        <v>MED</v>
      </c>
      <c r="D238" t="str">
        <f>IF(ISERROR(VLOOKUP(E238,Nombres!A:D,3,FALSE)),"PROBLEMAAAAAA",VLOOKUP(E238,Nombres!A:D,3,FALSE))</f>
        <v>Real Madrid</v>
      </c>
      <c r="E238" t="s">
        <v>131</v>
      </c>
      <c r="F238" s="1">
        <v>45881</v>
      </c>
      <c r="G238" t="s">
        <v>31</v>
      </c>
      <c r="H238" t="s">
        <v>9</v>
      </c>
      <c r="I238" s="2">
        <v>20024014</v>
      </c>
    </row>
    <row r="239" spans="1:9" x14ac:dyDescent="0.25">
      <c r="A239">
        <v>238</v>
      </c>
      <c r="B239" t="str">
        <f>IF(ISERROR(VLOOKUP(E239,Nombres!A:D,2,FALSE)),"PROBLEMAAAAAA",VLOOKUP(E239,Nombres!A:D,2,FALSE))</f>
        <v>Ejuke</v>
      </c>
      <c r="C239" t="str">
        <f>IF(ISERROR(VLOOKUP(E239,Nombres!A:D,4,FALSE)),"PROBLEMAAAAAA",VLOOKUP(E239,Nombres!A:D,4,FALSE))</f>
        <v>DEL</v>
      </c>
      <c r="D239" t="str">
        <f>IF(ISERROR(VLOOKUP(E239,Nombres!A:D,3,FALSE)),"PROBLEMAAAAAA",VLOOKUP(E239,Nombres!A:D,3,FALSE))</f>
        <v>Sevilla</v>
      </c>
      <c r="E239" t="s">
        <v>92</v>
      </c>
      <c r="F239" s="1">
        <v>45881</v>
      </c>
      <c r="G239" t="s">
        <v>8</v>
      </c>
      <c r="H239" t="s">
        <v>6</v>
      </c>
      <c r="I239" s="2">
        <v>4000000</v>
      </c>
    </row>
    <row r="240" spans="1:9" x14ac:dyDescent="0.25">
      <c r="A240">
        <v>239</v>
      </c>
      <c r="B240" t="str">
        <f>IF(ISERROR(VLOOKUP(E240,Nombres!A:D,2,FALSE)),"PROBLEMAAAAAA",VLOOKUP(E240,Nombres!A:D,2,FALSE))</f>
        <v>Endrick</v>
      </c>
      <c r="C240" t="str">
        <f>IF(ISERROR(VLOOKUP(E240,Nombres!A:D,4,FALSE)),"PROBLEMAAAAAA",VLOOKUP(E240,Nombres!A:D,4,FALSE))</f>
        <v>DEL</v>
      </c>
      <c r="D240" t="str">
        <f>IF(ISERROR(VLOOKUP(E240,Nombres!A:D,3,FALSE)),"PROBLEMAAAAAA",VLOOKUP(E240,Nombres!A:D,3,FALSE))</f>
        <v>Real Madrid</v>
      </c>
      <c r="E240" t="s">
        <v>42</v>
      </c>
      <c r="F240" s="1">
        <v>45881</v>
      </c>
      <c r="G240" t="s">
        <v>31</v>
      </c>
      <c r="H240" t="s">
        <v>8</v>
      </c>
      <c r="I240" s="2">
        <v>6324142</v>
      </c>
    </row>
    <row r="241" spans="1:9" x14ac:dyDescent="0.25">
      <c r="A241">
        <v>240</v>
      </c>
      <c r="B241" t="str">
        <f>IF(ISERROR(VLOOKUP(E241,Nombres!A:D,2,FALSE)),"PROBLEMAAAAAA",VLOOKUP(E241,Nombres!A:D,2,FALSE))</f>
        <v>Gavi</v>
      </c>
      <c r="C241" t="str">
        <f>IF(ISERROR(VLOOKUP(E241,Nombres!A:D,4,FALSE)),"PROBLEMAAAAAA",VLOOKUP(E241,Nombres!A:D,4,FALSE))</f>
        <v>MED</v>
      </c>
      <c r="D241" t="str">
        <f>IF(ISERROR(VLOOKUP(E241,Nombres!A:D,3,FALSE)),"PROBLEMAAAAAA",VLOOKUP(E241,Nombres!A:D,3,FALSE))</f>
        <v>Barcelona</v>
      </c>
      <c r="E241" t="s">
        <v>177</v>
      </c>
      <c r="F241" s="1">
        <v>45881</v>
      </c>
      <c r="G241" t="s">
        <v>31</v>
      </c>
      <c r="H241" t="s">
        <v>13</v>
      </c>
      <c r="I241" s="2">
        <v>19786242</v>
      </c>
    </row>
    <row r="242" spans="1:9" x14ac:dyDescent="0.25">
      <c r="A242">
        <v>241</v>
      </c>
      <c r="B242" t="str">
        <f>IF(ISERROR(VLOOKUP(E242,Nombres!A:D,2,FALSE)),"PROBLEMAAAAAA",VLOOKUP(E242,Nombres!A:D,2,FALSE))</f>
        <v>Greif</v>
      </c>
      <c r="C242" t="str">
        <f>IF(ISERROR(VLOOKUP(E242,Nombres!A:D,4,FALSE)),"PROBLEMAAAAAA",VLOOKUP(E242,Nombres!A:D,4,FALSE))</f>
        <v>POR</v>
      </c>
      <c r="D242" t="str">
        <f>IF(ISERROR(VLOOKUP(E242,Nombres!A:D,3,FALSE)),"PROBLEMAAAAAA",VLOOKUP(E242,Nombres!A:D,3,FALSE))</f>
        <v>Mallorca</v>
      </c>
      <c r="E242" t="s">
        <v>209</v>
      </c>
      <c r="F242" s="1">
        <v>45881</v>
      </c>
      <c r="G242" t="s">
        <v>31</v>
      </c>
      <c r="H242" t="s">
        <v>14</v>
      </c>
      <c r="I242" s="2">
        <v>1437484</v>
      </c>
    </row>
    <row r="243" spans="1:9" x14ac:dyDescent="0.25">
      <c r="A243">
        <v>242</v>
      </c>
      <c r="B243" t="str">
        <f>IF(ISERROR(VLOOKUP(E243,Nombres!A:D,2,FALSE)),"PROBLEMAAAAAA",VLOOKUP(E243,Nombres!A:D,2,FALSE))</f>
        <v>Luengo</v>
      </c>
      <c r="C243" t="str">
        <f>IF(ISERROR(VLOOKUP(E243,Nombres!A:D,4,FALSE)),"PROBLEMAAAAAA",VLOOKUP(E243,Nombres!A:D,4,FALSE))</f>
        <v>DEF</v>
      </c>
      <c r="D243" t="str">
        <f>IF(ISERROR(VLOOKUP(E243,Nombres!A:D,3,FALSE)),"PROBLEMAAAAAA",VLOOKUP(E243,Nombres!A:D,3,FALSE))</f>
        <v>Real Oviedo</v>
      </c>
      <c r="E243" t="s">
        <v>220</v>
      </c>
      <c r="F243" s="1">
        <v>45881</v>
      </c>
      <c r="G243" t="s">
        <v>6</v>
      </c>
      <c r="H243" t="s">
        <v>31</v>
      </c>
      <c r="I243" s="2">
        <v>3808442</v>
      </c>
    </row>
    <row r="244" spans="1:9" x14ac:dyDescent="0.25">
      <c r="A244">
        <v>243</v>
      </c>
      <c r="B244" t="str">
        <f>IF(ISERROR(VLOOKUP(E244,Nombres!A:D,2,FALSE)),"PROBLEMAAAAAA",VLOOKUP(E244,Nombres!A:D,2,FALSE))</f>
        <v>Lukebakio</v>
      </c>
      <c r="C244" t="str">
        <f>IF(ISERROR(VLOOKUP(E244,Nombres!A:D,4,FALSE)),"PROBLEMAAAAAA",VLOOKUP(E244,Nombres!A:D,4,FALSE))</f>
        <v>DEL</v>
      </c>
      <c r="D244" t="str">
        <f>IF(ISERROR(VLOOKUP(E244,Nombres!A:D,3,FALSE)),"PROBLEMAAAAAA",VLOOKUP(E244,Nombres!A:D,3,FALSE))</f>
        <v>Sevilla</v>
      </c>
      <c r="E244" t="s">
        <v>221</v>
      </c>
      <c r="F244" s="1">
        <v>45881</v>
      </c>
      <c r="G244" t="s">
        <v>13</v>
      </c>
      <c r="H244" t="s">
        <v>31</v>
      </c>
      <c r="I244" s="2">
        <v>60000000</v>
      </c>
    </row>
    <row r="245" spans="1:9" x14ac:dyDescent="0.25">
      <c r="A245">
        <v>244</v>
      </c>
      <c r="B245" t="str">
        <f>IF(ISERROR(VLOOKUP(E245,Nombres!A:D,2,FALSE)),"PROBLEMAAAAAA",VLOOKUP(E245,Nombres!A:D,2,FALSE))</f>
        <v>Miguel</v>
      </c>
      <c r="C245" t="str">
        <f>IF(ISERROR(VLOOKUP(E245,Nombres!A:D,4,FALSE)),"PROBLEMAAAAAA",VLOOKUP(E245,Nombres!A:D,4,FALSE))</f>
        <v>DEF</v>
      </c>
      <c r="D245" t="str">
        <f>IF(ISERROR(VLOOKUP(E245,Nombres!A:D,3,FALSE)),"PROBLEMAAAAAA",VLOOKUP(E245,Nombres!A:D,3,FALSE))</f>
        <v>Girona</v>
      </c>
      <c r="E245" t="s">
        <v>49</v>
      </c>
      <c r="F245" s="1">
        <v>45881</v>
      </c>
      <c r="G245" t="s">
        <v>31</v>
      </c>
      <c r="H245" t="s">
        <v>8</v>
      </c>
      <c r="I245" s="2">
        <v>9729339</v>
      </c>
    </row>
    <row r="246" spans="1:9" x14ac:dyDescent="0.25">
      <c r="A246">
        <v>245</v>
      </c>
      <c r="B246" t="str">
        <f>IF(ISERROR(VLOOKUP(E246,Nombres!A:D,2,FALSE)),"PROBLEMAAAAAA",VLOOKUP(E246,Nombres!A:D,2,FALSE))</f>
        <v>Musso</v>
      </c>
      <c r="C246" t="str">
        <f>IF(ISERROR(VLOOKUP(E246,Nombres!A:D,4,FALSE)),"PROBLEMAAAAAA",VLOOKUP(E246,Nombres!A:D,4,FALSE))</f>
        <v>POR</v>
      </c>
      <c r="D246" t="str">
        <f>IF(ISERROR(VLOOKUP(E246,Nombres!A:D,3,FALSE)),"PROBLEMAAAAAA",VLOOKUP(E246,Nombres!A:D,3,FALSE))</f>
        <v>Atlético</v>
      </c>
      <c r="E246" t="s">
        <v>222</v>
      </c>
      <c r="F246" s="1">
        <v>45881</v>
      </c>
      <c r="G246" t="s">
        <v>7</v>
      </c>
      <c r="H246" t="s">
        <v>31</v>
      </c>
      <c r="I246" s="2">
        <v>1153801</v>
      </c>
    </row>
    <row r="247" spans="1:9" x14ac:dyDescent="0.25">
      <c r="A247">
        <v>246</v>
      </c>
      <c r="B247" t="str">
        <f>IF(ISERROR(VLOOKUP(E247,Nombres!A:D,2,FALSE)),"PROBLEMAAAAAA",VLOOKUP(E247,Nombres!A:D,2,FALSE))</f>
        <v>Rodrygo</v>
      </c>
      <c r="C247" t="str">
        <f>IF(ISERROR(VLOOKUP(E247,Nombres!A:D,4,FALSE)),"PROBLEMAAAAAA",VLOOKUP(E247,Nombres!A:D,4,FALSE))</f>
        <v>DEL</v>
      </c>
      <c r="D247" t="str">
        <f>IF(ISERROR(VLOOKUP(E247,Nombres!A:D,3,FALSE)),"PROBLEMAAAAAA",VLOOKUP(E247,Nombres!A:D,3,FALSE))</f>
        <v>Real Madrid</v>
      </c>
      <c r="E247" t="s">
        <v>50</v>
      </c>
      <c r="F247" s="1">
        <v>45881</v>
      </c>
      <c r="G247" t="s">
        <v>31</v>
      </c>
      <c r="H247" t="s">
        <v>8</v>
      </c>
      <c r="I247" s="2">
        <v>20644625</v>
      </c>
    </row>
    <row r="248" spans="1:9" x14ac:dyDescent="0.25">
      <c r="A248">
        <v>247</v>
      </c>
      <c r="B248" t="str">
        <f>IF(ISERROR(VLOOKUP(E248,Nombres!A:D,2,FALSE)),"PROBLEMAAAAAA",VLOOKUP(E248,Nombres!A:D,2,FALSE))</f>
        <v>Thomas</v>
      </c>
      <c r="C248" t="str">
        <f>IF(ISERROR(VLOOKUP(E248,Nombres!A:D,4,FALSE)),"PROBLEMAAAAAA",VLOOKUP(E248,Nombres!A:D,4,FALSE))</f>
        <v>MED</v>
      </c>
      <c r="D248" t="str">
        <f>IF(ISERROR(VLOOKUP(E248,Nombres!A:D,3,FALSE)),"PROBLEMAAAAAA",VLOOKUP(E248,Nombres!A:D,3,FALSE))</f>
        <v>Villarreal</v>
      </c>
      <c r="E248" t="s">
        <v>223</v>
      </c>
      <c r="F248" s="1">
        <v>45881</v>
      </c>
      <c r="G248" t="s">
        <v>6</v>
      </c>
      <c r="H248" t="s">
        <v>31</v>
      </c>
      <c r="I248" s="2">
        <v>20000001</v>
      </c>
    </row>
    <row r="249" spans="1:9" x14ac:dyDescent="0.25">
      <c r="A249">
        <v>248</v>
      </c>
      <c r="B249" t="str">
        <f>IF(ISERROR(VLOOKUP(E249,Nombres!A:D,2,FALSE)),"PROBLEMAAAAAA",VLOOKUP(E249,Nombres!A:D,2,FALSE))</f>
        <v>Andrei</v>
      </c>
      <c r="C249" t="str">
        <f>IF(ISERROR(VLOOKUP(E249,Nombres!A:D,4,FALSE)),"PROBLEMAAAAAA",VLOOKUP(E249,Nombres!A:D,4,FALSE))</f>
        <v>DEF</v>
      </c>
      <c r="D249" t="str">
        <f>IF(ISERROR(VLOOKUP(E249,Nombres!A:D,3,FALSE)),"PROBLEMAAAAAA",VLOOKUP(E249,Nombres!A:D,3,FALSE))</f>
        <v>Rayo</v>
      </c>
      <c r="E249" t="s">
        <v>61</v>
      </c>
      <c r="F249" s="1">
        <v>45882</v>
      </c>
      <c r="G249" t="s">
        <v>31</v>
      </c>
      <c r="H249" t="s">
        <v>13</v>
      </c>
      <c r="I249" s="2">
        <v>14907854</v>
      </c>
    </row>
    <row r="250" spans="1:9" x14ac:dyDescent="0.25">
      <c r="A250">
        <v>249</v>
      </c>
      <c r="B250" t="str">
        <f>IF(ISERROR(VLOOKUP(E250,Nombres!A:D,2,FALSE)),"PROBLEMAAAAAA",VLOOKUP(E250,Nombres!A:D,2,FALSE))</f>
        <v>Pep Chavarría</v>
      </c>
      <c r="C250" t="str">
        <f>IF(ISERROR(VLOOKUP(E250,Nombres!A:D,4,FALSE)),"PROBLEMAAAAAA",VLOOKUP(E250,Nombres!A:D,4,FALSE))</f>
        <v>DEF</v>
      </c>
      <c r="D250" t="str">
        <f>IF(ISERROR(VLOOKUP(E250,Nombres!A:D,3,FALSE)),"PROBLEMAAAAAA",VLOOKUP(E250,Nombres!A:D,3,FALSE))</f>
        <v>Rayo</v>
      </c>
      <c r="E250" t="s">
        <v>226</v>
      </c>
      <c r="F250" s="1">
        <v>45882</v>
      </c>
      <c r="G250" t="s">
        <v>12</v>
      </c>
      <c r="H250" t="s">
        <v>31</v>
      </c>
      <c r="I250" s="2">
        <v>5100010</v>
      </c>
    </row>
    <row r="251" spans="1:9" x14ac:dyDescent="0.25">
      <c r="A251">
        <v>250</v>
      </c>
      <c r="B251" t="str">
        <f>IF(ISERROR(VLOOKUP(E251,Nombres!A:D,2,FALSE)),"PROBLEMAAAAAA",VLOOKUP(E251,Nombres!A:D,2,FALSE))</f>
        <v>Koundé</v>
      </c>
      <c r="C251" t="str">
        <f>IF(ISERROR(VLOOKUP(E251,Nombres!A:D,4,FALSE)),"PROBLEMAAAAAA",VLOOKUP(E251,Nombres!A:D,4,FALSE))</f>
        <v>DEF</v>
      </c>
      <c r="D251" t="str">
        <f>IF(ISERROR(VLOOKUP(E251,Nombres!A:D,3,FALSE)),"PROBLEMAAAAAA",VLOOKUP(E251,Nombres!A:D,3,FALSE))</f>
        <v>Barcelona</v>
      </c>
      <c r="E251" t="s">
        <v>227</v>
      </c>
      <c r="F251" s="1">
        <v>45882</v>
      </c>
      <c r="G251" t="s">
        <v>7</v>
      </c>
      <c r="H251" t="s">
        <v>31</v>
      </c>
      <c r="I251" s="2">
        <v>63323263</v>
      </c>
    </row>
    <row r="252" spans="1:9" x14ac:dyDescent="0.25">
      <c r="A252">
        <v>251</v>
      </c>
      <c r="B252" t="str">
        <f>IF(ISERROR(VLOOKUP(E252,Nombres!A:D,2,FALSE)),"PROBLEMAAAAAA",VLOOKUP(E252,Nombres!A:D,2,FALSE))</f>
        <v>Lukebakio</v>
      </c>
      <c r="C252" t="str">
        <f>IF(ISERROR(VLOOKUP(E252,Nombres!A:D,4,FALSE)),"PROBLEMAAAAAA",VLOOKUP(E252,Nombres!A:D,4,FALSE))</f>
        <v>DEL</v>
      </c>
      <c r="D252" t="str">
        <f>IF(ISERROR(VLOOKUP(E252,Nombres!A:D,3,FALSE)),"PROBLEMAAAAAA",VLOOKUP(E252,Nombres!A:D,3,FALSE))</f>
        <v>Sevilla</v>
      </c>
      <c r="E252" t="s">
        <v>221</v>
      </c>
      <c r="F252" s="1">
        <v>45882</v>
      </c>
      <c r="G252" t="s">
        <v>31</v>
      </c>
      <c r="H252" t="s">
        <v>13</v>
      </c>
      <c r="I252" s="2">
        <v>63271385</v>
      </c>
    </row>
    <row r="253" spans="1:9" x14ac:dyDescent="0.25">
      <c r="A253">
        <v>252</v>
      </c>
      <c r="B253" t="str">
        <f>IF(ISERROR(VLOOKUP(E253,Nombres!A:D,2,FALSE)),"PROBLEMAAAAAA",VLOOKUP(E253,Nombres!A:D,2,FALSE))</f>
        <v>Navarro</v>
      </c>
      <c r="C253" t="str">
        <f>IF(ISERROR(VLOOKUP(E253,Nombres!A:D,4,FALSE)),"PROBLEMAAAAAA",VLOOKUP(E253,Nombres!A:D,4,FALSE))</f>
        <v>MED</v>
      </c>
      <c r="D253" t="str">
        <f>IF(ISERROR(VLOOKUP(E253,Nombres!A:D,3,FALSE)),"PROBLEMAAAAAA",VLOOKUP(E253,Nombres!A:D,3,FALSE))</f>
        <v>Athletic</v>
      </c>
      <c r="E253" t="s">
        <v>230</v>
      </c>
      <c r="F253" s="1">
        <v>45882</v>
      </c>
      <c r="G253" t="s">
        <v>10</v>
      </c>
      <c r="H253" t="s">
        <v>31</v>
      </c>
      <c r="I253" s="2">
        <v>4723653</v>
      </c>
    </row>
    <row r="254" spans="1:9" x14ac:dyDescent="0.25">
      <c r="A254">
        <v>253</v>
      </c>
      <c r="B254" t="str">
        <f>IF(ISERROR(VLOOKUP(E254,Nombres!A:D,2,FALSE)),"PROBLEMAAAAAA",VLOOKUP(E254,Nombres!A:D,2,FALSE))</f>
        <v>Pathé Ciss</v>
      </c>
      <c r="C254" t="str">
        <f>IF(ISERROR(VLOOKUP(E254,Nombres!A:D,4,FALSE)),"PROBLEMAAAAAA",VLOOKUP(E254,Nombres!A:D,4,FALSE))</f>
        <v>MED</v>
      </c>
      <c r="D254" t="str">
        <f>IF(ISERROR(VLOOKUP(E254,Nombres!A:D,3,FALSE)),"PROBLEMAAAAAA",VLOOKUP(E254,Nombres!A:D,3,FALSE))</f>
        <v>Rayo</v>
      </c>
      <c r="E254" t="s">
        <v>231</v>
      </c>
      <c r="F254" s="1">
        <v>45882</v>
      </c>
      <c r="G254" t="s">
        <v>14</v>
      </c>
      <c r="H254" t="s">
        <v>31</v>
      </c>
      <c r="I254" s="2">
        <v>5000010</v>
      </c>
    </row>
    <row r="255" spans="1:9" x14ac:dyDescent="0.25">
      <c r="A255">
        <v>254</v>
      </c>
      <c r="B255" t="str">
        <f>IF(ISERROR(VLOOKUP(E255,Nombres!A:D,2,FALSE)),"PROBLEMAAAAAA",VLOOKUP(E255,Nombres!A:D,2,FALSE))</f>
        <v>Unai Simón</v>
      </c>
      <c r="C255" t="str">
        <f>IF(ISERROR(VLOOKUP(E255,Nombres!A:D,4,FALSE)),"PROBLEMAAAAAA",VLOOKUP(E255,Nombres!A:D,4,FALSE))</f>
        <v>POR</v>
      </c>
      <c r="D255" t="str">
        <f>IF(ISERROR(VLOOKUP(E255,Nombres!A:D,3,FALSE)),"PROBLEMAAAAAA",VLOOKUP(E255,Nombres!A:D,3,FALSE))</f>
        <v>Athletic</v>
      </c>
      <c r="E255" t="s">
        <v>229</v>
      </c>
      <c r="F255" s="1">
        <v>45882</v>
      </c>
      <c r="G255" t="s">
        <v>14</v>
      </c>
      <c r="H255" t="s">
        <v>31</v>
      </c>
      <c r="I255" s="2">
        <v>57000001</v>
      </c>
    </row>
    <row r="256" spans="1:9" x14ac:dyDescent="0.25">
      <c r="A256">
        <v>255</v>
      </c>
      <c r="B256" t="str">
        <f>IF(ISERROR(VLOOKUP(E256,Nombres!A:D,2,FALSE)),"PROBLEMAAAAAA",VLOOKUP(E256,Nombres!A:D,2,FALSE))</f>
        <v>Valles</v>
      </c>
      <c r="C256" t="str">
        <f>IF(ISERROR(VLOOKUP(E256,Nombres!A:D,4,FALSE)),"PROBLEMAAAAAA",VLOOKUP(E256,Nombres!A:D,4,FALSE))</f>
        <v>POR</v>
      </c>
      <c r="D256" t="str">
        <f>IF(ISERROR(VLOOKUP(E256,Nombres!A:D,3,FALSE)),"PROBLEMAAAAAA",VLOOKUP(E256,Nombres!A:D,3,FALSE))</f>
        <v>Betis</v>
      </c>
      <c r="E256" t="s">
        <v>228</v>
      </c>
      <c r="F256" s="1">
        <v>45882</v>
      </c>
      <c r="G256" t="s">
        <v>10</v>
      </c>
      <c r="H256" t="s">
        <v>31</v>
      </c>
      <c r="I256" s="2">
        <v>17987875</v>
      </c>
    </row>
    <row r="257" spans="1:9" x14ac:dyDescent="0.25">
      <c r="A257">
        <v>256</v>
      </c>
      <c r="B257" t="str">
        <f>IF(ISERROR(VLOOKUP(E257,Nombres!A:D,2,FALSE)),"PROBLEMAAAAAA",VLOOKUP(E257,Nombres!A:D,2,FALSE))</f>
        <v>Affengruber</v>
      </c>
      <c r="C257" t="str">
        <f>IF(ISERROR(VLOOKUP(E257,Nombres!A:D,4,FALSE)),"PROBLEMAAAAAA",VLOOKUP(E257,Nombres!A:D,4,FALSE))</f>
        <v>DEF</v>
      </c>
      <c r="D257" t="str">
        <f>IF(ISERROR(VLOOKUP(E257,Nombres!A:D,3,FALSE)),"PROBLEMAAAAAA",VLOOKUP(E257,Nombres!A:D,3,FALSE))</f>
        <v>Elche</v>
      </c>
      <c r="E257" t="s">
        <v>233</v>
      </c>
      <c r="F257" s="1">
        <v>45883</v>
      </c>
      <c r="G257" t="s">
        <v>10</v>
      </c>
      <c r="H257" t="s">
        <v>31</v>
      </c>
      <c r="I257" s="2">
        <v>6879879</v>
      </c>
    </row>
    <row r="258" spans="1:9" x14ac:dyDescent="0.25">
      <c r="A258">
        <v>257</v>
      </c>
      <c r="B258" t="str">
        <f>IF(ISERROR(VLOOKUP(E258,Nombres!A:D,2,FALSE)),"PROBLEMAAAAAA",VLOOKUP(E258,Nombres!A:D,2,FALSE))</f>
        <v>Bakambu</v>
      </c>
      <c r="C258" t="str">
        <f>IF(ISERROR(VLOOKUP(E258,Nombres!A:D,4,FALSE)),"PROBLEMAAAAAA",VLOOKUP(E258,Nombres!A:D,4,FALSE))</f>
        <v>DEL</v>
      </c>
      <c r="D258" t="str">
        <f>IF(ISERROR(VLOOKUP(E258,Nombres!A:D,3,FALSE)),"PROBLEMAAAAAA",VLOOKUP(E258,Nombres!A:D,3,FALSE))</f>
        <v>Betis</v>
      </c>
      <c r="E258" t="s">
        <v>91</v>
      </c>
      <c r="F258" s="1">
        <v>45883</v>
      </c>
      <c r="G258" t="s">
        <v>31</v>
      </c>
      <c r="H258" t="s">
        <v>6</v>
      </c>
      <c r="I258" s="2">
        <v>3345761</v>
      </c>
    </row>
    <row r="259" spans="1:9" x14ac:dyDescent="0.25">
      <c r="A259">
        <v>258</v>
      </c>
      <c r="B259" t="str">
        <f>IF(ISERROR(VLOOKUP(E259,Nombres!A:D,2,FALSE)),"PROBLEMAAAAAA",VLOOKUP(E259,Nombres!A:D,2,FALSE))</f>
        <v>Comesaña</v>
      </c>
      <c r="C259" t="str">
        <f>IF(ISERROR(VLOOKUP(E259,Nombres!A:D,4,FALSE)),"PROBLEMAAAAAA",VLOOKUP(E259,Nombres!A:D,4,FALSE))</f>
        <v>MED</v>
      </c>
      <c r="D259" t="str">
        <f>IF(ISERROR(VLOOKUP(E259,Nombres!A:D,3,FALSE)),"PROBLEMAAAAAA",VLOOKUP(E259,Nombres!A:D,3,FALSE))</f>
        <v>Villarreal</v>
      </c>
      <c r="E259" t="s">
        <v>145</v>
      </c>
      <c r="F259" s="1">
        <v>45883</v>
      </c>
      <c r="G259" t="s">
        <v>31</v>
      </c>
      <c r="H259" t="s">
        <v>10</v>
      </c>
      <c r="I259" s="2">
        <v>6865726</v>
      </c>
    </row>
    <row r="260" spans="1:9" x14ac:dyDescent="0.25">
      <c r="A260">
        <v>259</v>
      </c>
      <c r="B260" t="str">
        <f>IF(ISERROR(VLOOKUP(E260,Nombres!A:D,2,FALSE)),"PROBLEMAAAAAA",VLOOKUP(E260,Nombres!A:D,2,FALSE))</f>
        <v>Guevara</v>
      </c>
      <c r="C260" t="str">
        <f>IF(ISERROR(VLOOKUP(E260,Nombres!A:D,4,FALSE)),"PROBLEMAAAAAA",VLOOKUP(E260,Nombres!A:D,4,FALSE))</f>
        <v>MED</v>
      </c>
      <c r="D260" t="str">
        <f>IF(ISERROR(VLOOKUP(E260,Nombres!A:D,3,FALSE)),"PROBLEMAAAAAA",VLOOKUP(E260,Nombres!A:D,3,FALSE))</f>
        <v>Alavés</v>
      </c>
      <c r="E260" t="s">
        <v>130</v>
      </c>
      <c r="F260" s="1">
        <v>45883</v>
      </c>
      <c r="G260" t="s">
        <v>31</v>
      </c>
      <c r="H260" t="s">
        <v>9</v>
      </c>
      <c r="I260" s="2">
        <v>3374524</v>
      </c>
    </row>
    <row r="261" spans="1:9" x14ac:dyDescent="0.25">
      <c r="A261">
        <v>260</v>
      </c>
      <c r="B261" t="str">
        <f>IF(ISERROR(VLOOKUP(E261,Nombres!A:D,2,FALSE)),"PROBLEMAAAAAA",VLOOKUP(E261,Nombres!A:D,2,FALSE))</f>
        <v>Kubo</v>
      </c>
      <c r="C261" t="str">
        <f>IF(ISERROR(VLOOKUP(E261,Nombres!A:D,4,FALSE)),"PROBLEMAAAAAA",VLOOKUP(E261,Nombres!A:D,4,FALSE))</f>
        <v>MED</v>
      </c>
      <c r="D261" t="str">
        <f>IF(ISERROR(VLOOKUP(E261,Nombres!A:D,3,FALSE)),"PROBLEMAAAAAA",VLOOKUP(E261,Nombres!A:D,3,FALSE))</f>
        <v>Real Sociedad</v>
      </c>
      <c r="E261" t="s">
        <v>232</v>
      </c>
      <c r="F261" s="1">
        <v>45883</v>
      </c>
      <c r="G261" t="s">
        <v>9</v>
      </c>
      <c r="H261" t="s">
        <v>31</v>
      </c>
      <c r="I261" s="2">
        <v>48600000</v>
      </c>
    </row>
    <row r="262" spans="1:9" x14ac:dyDescent="0.25">
      <c r="A262">
        <v>261</v>
      </c>
      <c r="B262" t="str">
        <f>IF(ISERROR(VLOOKUP(E262,Nombres!A:D,2,FALSE)),"PROBLEMAAAAAA",VLOOKUP(E262,Nombres!A:D,2,FALSE))</f>
        <v>Rafa Marín</v>
      </c>
      <c r="C262" t="str">
        <f>IF(ISERROR(VLOOKUP(E262,Nombres!A:D,4,FALSE)),"PROBLEMAAAAAA",VLOOKUP(E262,Nombres!A:D,4,FALSE))</f>
        <v>DEF</v>
      </c>
      <c r="D262" t="str">
        <f>IF(ISERROR(VLOOKUP(E262,Nombres!A:D,3,FALSE)),"PROBLEMAAAAAA",VLOOKUP(E262,Nombres!A:D,3,FALSE))</f>
        <v>Villarreal</v>
      </c>
      <c r="E262" t="s">
        <v>234</v>
      </c>
      <c r="F262" s="1">
        <v>45883</v>
      </c>
      <c r="G262" t="s">
        <v>12</v>
      </c>
      <c r="H262" t="s">
        <v>31</v>
      </c>
      <c r="I262" s="2">
        <v>15100001</v>
      </c>
    </row>
    <row r="263" spans="1:9" x14ac:dyDescent="0.25">
      <c r="A263">
        <v>262</v>
      </c>
      <c r="B263" t="str">
        <f>IF(ISERROR(VLOOKUP(E263,Nombres!A:D,2,FALSE)),"PROBLEMAAAAAA",VLOOKUP(E263,Nombres!A:D,2,FALSE))</f>
        <v>Sow</v>
      </c>
      <c r="C263" t="str">
        <f>IF(ISERROR(VLOOKUP(E263,Nombres!A:D,4,FALSE)),"PROBLEMAAAAAA",VLOOKUP(E263,Nombres!A:D,4,FALSE))</f>
        <v>MED</v>
      </c>
      <c r="D263" t="str">
        <f>IF(ISERROR(VLOOKUP(E263,Nombres!A:D,3,FALSE)),"PROBLEMAAAAAA",VLOOKUP(E263,Nombres!A:D,3,FALSE))</f>
        <v>Sevilla</v>
      </c>
      <c r="E263" t="s">
        <v>132</v>
      </c>
      <c r="F263" s="1">
        <v>45883</v>
      </c>
      <c r="G263" t="s">
        <v>31</v>
      </c>
      <c r="H263" t="s">
        <v>9</v>
      </c>
      <c r="I263" s="2">
        <v>3744184</v>
      </c>
    </row>
    <row r="264" spans="1:9" x14ac:dyDescent="0.25">
      <c r="A264">
        <v>263</v>
      </c>
      <c r="B264" t="str">
        <f>IF(ISERROR(VLOOKUP(E264,Nombres!A:D,2,FALSE)),"PROBLEMAAAAAA",VLOOKUP(E264,Nombres!A:D,2,FALSE))</f>
        <v>Traore</v>
      </c>
      <c r="C264" t="str">
        <f>IF(ISERROR(VLOOKUP(E264,Nombres!A:D,4,FALSE)),"PROBLEMAAAAAA",VLOOKUP(E264,Nombres!A:D,4,FALSE))</f>
        <v>DEF</v>
      </c>
      <c r="D264" t="str">
        <f>IF(ISERROR(VLOOKUP(E264,Nombres!A:D,3,FALSE)),"PROBLEMAAAAAA",VLOOKUP(E264,Nombres!A:D,3,FALSE))</f>
        <v>Real Sociedad</v>
      </c>
      <c r="E264" t="s">
        <v>79</v>
      </c>
      <c r="F264" s="1">
        <v>45883</v>
      </c>
      <c r="G264" t="s">
        <v>31</v>
      </c>
      <c r="H264" t="s">
        <v>6</v>
      </c>
      <c r="I264" s="2">
        <v>7269464</v>
      </c>
    </row>
    <row r="265" spans="1:9" x14ac:dyDescent="0.25">
      <c r="A265">
        <v>264</v>
      </c>
      <c r="B265" t="str">
        <f>IF(ISERROR(VLOOKUP(E265,Nombres!A:D,2,FALSE)),"PROBLEMAAAAAA",VLOOKUP(E265,Nombres!A:D,2,FALSE))</f>
        <v>Brugui</v>
      </c>
      <c r="C265" t="str">
        <f>IF(ISERROR(VLOOKUP(E265,Nombres!A:D,4,FALSE)),"PROBLEMAAAAAA",VLOOKUP(E265,Nombres!A:D,4,FALSE))</f>
        <v>DEL</v>
      </c>
      <c r="D265" t="str">
        <f>IF(ISERROR(VLOOKUP(E265,Nombres!A:D,3,FALSE)),"PROBLEMAAAAAA",VLOOKUP(E265,Nombres!A:D,3,FALSE))</f>
        <v>Levante</v>
      </c>
      <c r="E265" t="s">
        <v>235</v>
      </c>
      <c r="F265" s="1">
        <v>45884</v>
      </c>
      <c r="G265" t="s">
        <v>13</v>
      </c>
      <c r="H265" t="s">
        <v>31</v>
      </c>
      <c r="I265" s="2">
        <v>2113301</v>
      </c>
    </row>
    <row r="266" spans="1:9" x14ac:dyDescent="0.25">
      <c r="A266">
        <v>265</v>
      </c>
      <c r="B266" t="str">
        <f>IF(ISERROR(VLOOKUP(E266,Nombres!A:D,2,FALSE)),"PROBLEMAAAAAA",VLOOKUP(E266,Nombres!A:D,2,FALSE))</f>
        <v>Carlos Martín</v>
      </c>
      <c r="C266" t="str">
        <f>IF(ISERROR(VLOOKUP(E266,Nombres!A:D,4,FALSE)),"PROBLEMAAAAAA",VLOOKUP(E266,Nombres!A:D,4,FALSE))</f>
        <v>MED</v>
      </c>
      <c r="D266" t="str">
        <f>IF(ISERROR(VLOOKUP(E266,Nombres!A:D,3,FALSE)),"PROBLEMAAAAAA",VLOOKUP(E266,Nombres!A:D,3,FALSE))</f>
        <v>Atlético</v>
      </c>
      <c r="E266" t="s">
        <v>236</v>
      </c>
      <c r="F266" s="1">
        <v>45884</v>
      </c>
      <c r="G266" t="s">
        <v>9</v>
      </c>
      <c r="H266" t="s">
        <v>31</v>
      </c>
      <c r="I266" s="2">
        <v>1218635</v>
      </c>
    </row>
    <row r="267" spans="1:9" x14ac:dyDescent="0.25">
      <c r="A267">
        <v>266</v>
      </c>
      <c r="B267" t="str">
        <f>IF(ISERROR(VLOOKUP(E267,Nombres!A:D,2,FALSE)),"PROBLEMAAAAAA",VLOOKUP(E267,Nombres!A:D,2,FALSE))</f>
        <v>Oriol Rey</v>
      </c>
      <c r="C267" t="str">
        <f>IF(ISERROR(VLOOKUP(E267,Nombres!A:D,4,FALSE)),"PROBLEMAAAAAA",VLOOKUP(E267,Nombres!A:D,4,FALSE))</f>
        <v>MED</v>
      </c>
      <c r="D267" t="str">
        <f>IF(ISERROR(VLOOKUP(E267,Nombres!A:D,3,FALSE)),"PROBLEMAAAAAA",VLOOKUP(E267,Nombres!A:D,3,FALSE))</f>
        <v>Levante</v>
      </c>
      <c r="E267" t="s">
        <v>237</v>
      </c>
      <c r="F267" s="1">
        <v>45884</v>
      </c>
      <c r="G267" t="s">
        <v>9</v>
      </c>
      <c r="H267" t="s">
        <v>31</v>
      </c>
      <c r="I267" s="2">
        <v>1800000</v>
      </c>
    </row>
    <row r="268" spans="1:9" x14ac:dyDescent="0.25">
      <c r="A268">
        <v>267</v>
      </c>
      <c r="B268" t="str">
        <f>IF(ISERROR(VLOOKUP(E268,Nombres!A:D,2,FALSE)),"PROBLEMAAAAAA",VLOOKUP(E268,Nombres!A:D,2,FALSE))</f>
        <v>Diego Rico</v>
      </c>
      <c r="C268" t="str">
        <f>IF(ISERROR(VLOOKUP(E268,Nombres!A:D,4,FALSE)),"PROBLEMAAAAAA",VLOOKUP(E268,Nombres!A:D,4,FALSE))</f>
        <v>DEF</v>
      </c>
      <c r="D268" t="str">
        <f>IF(ISERROR(VLOOKUP(E268,Nombres!A:D,3,FALSE)),"PROBLEMAAAAAA",VLOOKUP(E268,Nombres!A:D,3,FALSE))</f>
        <v>Getafe</v>
      </c>
      <c r="E268" t="s">
        <v>192</v>
      </c>
      <c r="F268" s="1">
        <v>45884</v>
      </c>
      <c r="G268" t="s">
        <v>31</v>
      </c>
      <c r="H268" t="s">
        <v>13</v>
      </c>
      <c r="I268" s="2">
        <v>5281906</v>
      </c>
    </row>
    <row r="269" spans="1:9" x14ac:dyDescent="0.25">
      <c r="A269">
        <v>268</v>
      </c>
      <c r="B269" t="str">
        <f>IF(ISERROR(VLOOKUP(E269,Nombres!A:D,2,FALSE)),"PROBLEMAAAAAA",VLOOKUP(E269,Nombres!A:D,2,FALSE))</f>
        <v>Bade</v>
      </c>
      <c r="C269" t="str">
        <f>IF(ISERROR(VLOOKUP(E269,Nombres!A:D,4,FALSE)),"PROBLEMAAAAAA",VLOOKUP(E269,Nombres!A:D,4,FALSE))</f>
        <v>DEF</v>
      </c>
      <c r="D269" t="str">
        <f>IF(ISERROR(VLOOKUP(E269,Nombres!A:D,3,FALSE)),"PROBLEMAAAAAA",VLOOKUP(E269,Nombres!A:D,3,FALSE))</f>
        <v>Sevilla</v>
      </c>
      <c r="E269" t="s">
        <v>117</v>
      </c>
      <c r="F269" s="1">
        <v>45885</v>
      </c>
      <c r="G269" t="s">
        <v>31</v>
      </c>
      <c r="H269" t="s">
        <v>768</v>
      </c>
      <c r="I269" s="2">
        <v>11998476</v>
      </c>
    </row>
    <row r="270" spans="1:9" x14ac:dyDescent="0.25">
      <c r="A270">
        <v>269</v>
      </c>
      <c r="B270" t="str">
        <f>IF(ISERROR(VLOOKUP(E270,Nombres!A:D,2,FALSE)),"PROBLEMAAAAAA",VLOOKUP(E270,Nombres!A:D,2,FALSE))</f>
        <v>Brugui</v>
      </c>
      <c r="C270" t="str">
        <f>IF(ISERROR(VLOOKUP(E270,Nombres!A:D,4,FALSE)),"PROBLEMAAAAAA",VLOOKUP(E270,Nombres!A:D,4,FALSE))</f>
        <v>DEL</v>
      </c>
      <c r="D270" t="str">
        <f>IF(ISERROR(VLOOKUP(E270,Nombres!A:D,3,FALSE)),"PROBLEMAAAAAA",VLOOKUP(E270,Nombres!A:D,3,FALSE))</f>
        <v>Levante</v>
      </c>
      <c r="E270" t="s">
        <v>235</v>
      </c>
      <c r="F270" s="1">
        <v>45885</v>
      </c>
      <c r="G270" t="s">
        <v>31</v>
      </c>
      <c r="H270" t="s">
        <v>13</v>
      </c>
      <c r="I270" s="2">
        <v>2210717</v>
      </c>
    </row>
    <row r="271" spans="1:9" x14ac:dyDescent="0.25">
      <c r="A271">
        <v>270</v>
      </c>
      <c r="B271" t="str">
        <f>IF(ISERROR(VLOOKUP(E271,Nombres!A:D,2,FALSE)),"PROBLEMAAAAAA",VLOOKUP(E271,Nombres!A:D,2,FALSE))</f>
        <v>Diakhaby</v>
      </c>
      <c r="C271" t="str">
        <f>IF(ISERROR(VLOOKUP(E271,Nombres!A:D,4,FALSE)),"PROBLEMAAAAAA",VLOOKUP(E271,Nombres!A:D,4,FALSE))</f>
        <v>DEF</v>
      </c>
      <c r="D271" t="str">
        <f>IF(ISERROR(VLOOKUP(E271,Nombres!A:D,3,FALSE)),"PROBLEMAAAAAA",VLOOKUP(E271,Nombres!A:D,3,FALSE))</f>
        <v>Valencia</v>
      </c>
      <c r="E271" t="s">
        <v>238</v>
      </c>
      <c r="F271" s="1">
        <v>45885</v>
      </c>
      <c r="G271" t="s">
        <v>10</v>
      </c>
      <c r="H271" t="s">
        <v>31</v>
      </c>
      <c r="I271" s="2">
        <v>4127854</v>
      </c>
    </row>
    <row r="272" spans="1:9" x14ac:dyDescent="0.25">
      <c r="A272">
        <v>271</v>
      </c>
      <c r="B272" t="str">
        <f>IF(ISERROR(VLOOKUP(E272,Nombres!A:D,2,FALSE)),"PROBLEMAAAAAA",VLOOKUP(E272,Nombres!A:D,2,FALSE))</f>
        <v>Pedraza</v>
      </c>
      <c r="C272" t="str">
        <f>IF(ISERROR(VLOOKUP(E272,Nombres!A:D,4,FALSE)),"PROBLEMAAAAAA",VLOOKUP(E272,Nombres!A:D,4,FALSE))</f>
        <v>DEF</v>
      </c>
      <c r="D272" t="str">
        <f>IF(ISERROR(VLOOKUP(E272,Nombres!A:D,3,FALSE)),"PROBLEMAAAAAA",VLOOKUP(E272,Nombres!A:D,3,FALSE))</f>
        <v>Villarreal</v>
      </c>
      <c r="E272" t="s">
        <v>138</v>
      </c>
      <c r="F272" s="1">
        <v>45885</v>
      </c>
      <c r="G272" t="s">
        <v>31</v>
      </c>
      <c r="H272" t="s">
        <v>10</v>
      </c>
      <c r="I272" s="2">
        <v>4790298</v>
      </c>
    </row>
    <row r="273" spans="1:9" x14ac:dyDescent="0.25">
      <c r="A273">
        <v>272</v>
      </c>
      <c r="B273" t="str">
        <f>IF(ISERROR(VLOOKUP(E273,Nombres!A:D,2,FALSE)),"PROBLEMAAAAAA",VLOOKUP(E273,Nombres!A:D,2,FALSE))</f>
        <v>Aramburu</v>
      </c>
      <c r="C273" t="str">
        <f>IF(ISERROR(VLOOKUP(E273,Nombres!A:D,4,FALSE)),"PROBLEMAAAAAA",VLOOKUP(E273,Nombres!A:D,4,FALSE))</f>
        <v>DEF</v>
      </c>
      <c r="D273" t="str">
        <f>IF(ISERROR(VLOOKUP(E273,Nombres!A:D,3,FALSE)),"PROBLEMAAAAAA",VLOOKUP(E273,Nombres!A:D,3,FALSE))</f>
        <v>Real Sociedad</v>
      </c>
      <c r="E273" t="s">
        <v>241</v>
      </c>
      <c r="F273" s="1">
        <v>45886</v>
      </c>
      <c r="G273" t="s">
        <v>12</v>
      </c>
      <c r="H273" t="s">
        <v>31</v>
      </c>
      <c r="I273" s="2">
        <v>8100010</v>
      </c>
    </row>
    <row r="274" spans="1:9" x14ac:dyDescent="0.25">
      <c r="A274">
        <v>273</v>
      </c>
      <c r="B274" t="str">
        <f>IF(ISERROR(VLOOKUP(E274,Nombres!A:D,2,FALSE)),"PROBLEMAAAAAA",VLOOKUP(E274,Nombres!A:D,2,FALSE))</f>
        <v>Buchanan</v>
      </c>
      <c r="C274" t="str">
        <f>IF(ISERROR(VLOOKUP(E274,Nombres!A:D,4,FALSE)),"PROBLEMAAAAAA",VLOOKUP(E274,Nombres!A:D,4,FALSE))</f>
        <v>MED</v>
      </c>
      <c r="D274" t="str">
        <f>IF(ISERROR(VLOOKUP(E274,Nombres!A:D,3,FALSE)),"PROBLEMAAAAAA",VLOOKUP(E274,Nombres!A:D,3,FALSE))</f>
        <v>Villarreal</v>
      </c>
      <c r="E274" t="s">
        <v>239</v>
      </c>
      <c r="F274" s="1">
        <v>45886</v>
      </c>
      <c r="G274" t="s">
        <v>7</v>
      </c>
      <c r="H274" t="s">
        <v>31</v>
      </c>
      <c r="I274" s="2">
        <v>5158826</v>
      </c>
    </row>
    <row r="275" spans="1:9" x14ac:dyDescent="0.25">
      <c r="A275">
        <v>274</v>
      </c>
      <c r="B275" t="str">
        <f>IF(ISERROR(VLOOKUP(E275,Nombres!A:D,2,FALSE)),"PROBLEMAAAAAA",VLOOKUP(E275,Nombres!A:D,2,FALSE))</f>
        <v>A. Christensen</v>
      </c>
      <c r="C275" t="str">
        <f>IF(ISERROR(VLOOKUP(E275,Nombres!A:D,4,FALSE)),"PROBLEMAAAAAA",VLOOKUP(E275,Nombres!A:D,4,FALSE))</f>
        <v>DEF</v>
      </c>
      <c r="D275" t="str">
        <f>IF(ISERROR(VLOOKUP(E275,Nombres!A:D,3,FALSE)),"PROBLEMAAAAAA",VLOOKUP(E275,Nombres!A:D,3,FALSE))</f>
        <v>Barcelona</v>
      </c>
      <c r="E275" t="s">
        <v>151</v>
      </c>
      <c r="F275" s="1">
        <v>45886</v>
      </c>
      <c r="G275" t="s">
        <v>31</v>
      </c>
      <c r="H275" t="s">
        <v>11</v>
      </c>
      <c r="I275" s="2">
        <v>9462162</v>
      </c>
    </row>
    <row r="276" spans="1:9" x14ac:dyDescent="0.25">
      <c r="A276">
        <v>275</v>
      </c>
      <c r="B276" t="str">
        <f>IF(ISERROR(VLOOKUP(E276,Nombres!A:D,2,FALSE)),"PROBLEMAAAAAA",VLOOKUP(E276,Nombres!A:D,2,FALSE))</f>
        <v>De Frutos</v>
      </c>
      <c r="C276" t="str">
        <f>IF(ISERROR(VLOOKUP(E276,Nombres!A:D,4,FALSE)),"PROBLEMAAAAAA",VLOOKUP(E276,Nombres!A:D,4,FALSE))</f>
        <v>DEL</v>
      </c>
      <c r="D276" t="str">
        <f>IF(ISERROR(VLOOKUP(E276,Nombres!A:D,3,FALSE)),"PROBLEMAAAAAA",VLOOKUP(E276,Nombres!A:D,3,FALSE))</f>
        <v>Rayo</v>
      </c>
      <c r="E276" t="s">
        <v>119</v>
      </c>
      <c r="F276" s="1">
        <v>45886</v>
      </c>
      <c r="G276" t="s">
        <v>11</v>
      </c>
      <c r="H276" t="s">
        <v>768</v>
      </c>
      <c r="I276" s="2">
        <v>13861683</v>
      </c>
    </row>
    <row r="277" spans="1:9" x14ac:dyDescent="0.25">
      <c r="A277">
        <v>276</v>
      </c>
      <c r="B277" t="str">
        <f>IF(ISERROR(VLOOKUP(E277,Nombres!A:D,2,FALSE)),"PROBLEMAAAAAA",VLOOKUP(E277,Nombres!A:D,2,FALSE))</f>
        <v>Fermín</v>
      </c>
      <c r="C277" t="str">
        <f>IF(ISERROR(VLOOKUP(E277,Nombres!A:D,4,FALSE)),"PROBLEMAAAAAA",VLOOKUP(E277,Nombres!A:D,4,FALSE))</f>
        <v>MED</v>
      </c>
      <c r="D277" t="str">
        <f>IF(ISERROR(VLOOKUP(E277,Nombres!A:D,3,FALSE)),"PROBLEMAAAAAA",VLOOKUP(E277,Nombres!A:D,3,FALSE))</f>
        <v>Barcelona</v>
      </c>
      <c r="E277" t="s">
        <v>184</v>
      </c>
      <c r="F277" s="1">
        <v>45886</v>
      </c>
      <c r="G277" t="s">
        <v>31</v>
      </c>
      <c r="H277" t="s">
        <v>14</v>
      </c>
      <c r="I277" s="2">
        <v>17410012</v>
      </c>
    </row>
    <row r="278" spans="1:9" x14ac:dyDescent="0.25">
      <c r="A278">
        <v>277</v>
      </c>
      <c r="B278" t="str">
        <f>IF(ISERROR(VLOOKUP(E278,Nombres!A:D,2,FALSE)),"PROBLEMAAAAAA",VLOOKUP(E278,Nombres!A:D,2,FALSE))</f>
        <v>Fran García</v>
      </c>
      <c r="C278" t="str">
        <f>IF(ISERROR(VLOOKUP(E278,Nombres!A:D,4,FALSE)),"PROBLEMAAAAAA",VLOOKUP(E278,Nombres!A:D,4,FALSE))</f>
        <v>DEF</v>
      </c>
      <c r="D278" t="str">
        <f>IF(ISERROR(VLOOKUP(E278,Nombres!A:D,3,FALSE)),"PROBLEMAAAAAA",VLOOKUP(E278,Nombres!A:D,3,FALSE))</f>
        <v>Real Madrid</v>
      </c>
      <c r="E278" t="s">
        <v>154</v>
      </c>
      <c r="F278" s="1">
        <v>45886</v>
      </c>
      <c r="G278" t="s">
        <v>31</v>
      </c>
      <c r="H278" t="s">
        <v>11</v>
      </c>
      <c r="I278" s="2">
        <v>10803511</v>
      </c>
    </row>
    <row r="279" spans="1:9" x14ac:dyDescent="0.25">
      <c r="A279">
        <v>278</v>
      </c>
      <c r="B279" t="str">
        <f>IF(ISERROR(VLOOKUP(E279,Nombres!A:D,2,FALSE)),"PROBLEMAAAAAA",VLOOKUP(E279,Nombres!A:D,2,FALSE))</f>
        <v>Hassan</v>
      </c>
      <c r="C279" t="str">
        <f>IF(ISERROR(VLOOKUP(E279,Nombres!A:D,4,FALSE)),"PROBLEMAAAAAA",VLOOKUP(E279,Nombres!A:D,4,FALSE))</f>
        <v>MED</v>
      </c>
      <c r="D279" t="str">
        <f>IF(ISERROR(VLOOKUP(E279,Nombres!A:D,3,FALSE)),"PROBLEMAAAAAA",VLOOKUP(E279,Nombres!A:D,3,FALSE))</f>
        <v>Real Oviedo</v>
      </c>
      <c r="E279" t="s">
        <v>201</v>
      </c>
      <c r="F279" s="1">
        <v>45886</v>
      </c>
      <c r="G279" t="s">
        <v>31</v>
      </c>
      <c r="H279" t="s">
        <v>13</v>
      </c>
      <c r="I279" s="2">
        <v>4070699</v>
      </c>
    </row>
    <row r="280" spans="1:9" x14ac:dyDescent="0.25">
      <c r="A280">
        <v>279</v>
      </c>
      <c r="B280" t="str">
        <f>IF(ISERROR(VLOOKUP(E280,Nombres!A:D,2,FALSE)),"PROBLEMAAAAAA",VLOOKUP(E280,Nombres!A:D,2,FALSE))</f>
        <v>Luiz Junior</v>
      </c>
      <c r="C280" t="str">
        <f>IF(ISERROR(VLOOKUP(E280,Nombres!A:D,4,FALSE)),"PROBLEMAAAAAA",VLOOKUP(E280,Nombres!A:D,4,FALSE))</f>
        <v>POR</v>
      </c>
      <c r="D280" t="str">
        <f>IF(ISERROR(VLOOKUP(E280,Nombres!A:D,3,FALSE)),"PROBLEMAAAAAA",VLOOKUP(E280,Nombres!A:D,3,FALSE))</f>
        <v>Villarreal</v>
      </c>
      <c r="E280" t="s">
        <v>332</v>
      </c>
      <c r="F280" s="1">
        <v>45886</v>
      </c>
      <c r="G280" t="s">
        <v>12</v>
      </c>
      <c r="H280" t="s">
        <v>9</v>
      </c>
      <c r="I280" s="2">
        <v>9184563</v>
      </c>
    </row>
    <row r="281" spans="1:9" x14ac:dyDescent="0.25">
      <c r="A281">
        <v>280</v>
      </c>
      <c r="B281" t="str">
        <f>IF(ISERROR(VLOOKUP(E281,Nombres!A:D,2,FALSE)),"PROBLEMAAAAAA",VLOOKUP(E281,Nombres!A:D,2,FALSE))</f>
        <v>Koke</v>
      </c>
      <c r="C281" t="str">
        <f>IF(ISERROR(VLOOKUP(E281,Nombres!A:D,4,FALSE)),"PROBLEMAAAAAA",VLOOKUP(E281,Nombres!A:D,4,FALSE))</f>
        <v>MED</v>
      </c>
      <c r="D281" t="str">
        <f>IF(ISERROR(VLOOKUP(E281,Nombres!A:D,3,FALSE)),"PROBLEMAAAAAA",VLOOKUP(E281,Nombres!A:D,3,FALSE))</f>
        <v>Atlético</v>
      </c>
      <c r="E281" t="s">
        <v>156</v>
      </c>
      <c r="F281" s="1">
        <v>45886</v>
      </c>
      <c r="G281" t="s">
        <v>31</v>
      </c>
      <c r="H281" t="s">
        <v>11</v>
      </c>
      <c r="I281" s="2">
        <v>7972516</v>
      </c>
    </row>
    <row r="282" spans="1:9" x14ac:dyDescent="0.25">
      <c r="A282">
        <v>281</v>
      </c>
      <c r="B282" t="str">
        <f>IF(ISERROR(VLOOKUP(E282,Nombres!A:D,2,FALSE)),"PROBLEMAAAAAA",VLOOKUP(E282,Nombres!A:D,2,FALSE))</f>
        <v>Nyland</v>
      </c>
      <c r="C282" t="str">
        <f>IF(ISERROR(VLOOKUP(E282,Nombres!A:D,4,FALSE)),"PROBLEMAAAAAA",VLOOKUP(E282,Nombres!A:D,4,FALSE))</f>
        <v>POR</v>
      </c>
      <c r="D282" t="str">
        <f>IF(ISERROR(VLOOKUP(E282,Nombres!A:D,3,FALSE)),"PROBLEMAAAAAA",VLOOKUP(E282,Nombres!A:D,3,FALSE))</f>
        <v>Sevilla</v>
      </c>
      <c r="E282" t="s">
        <v>149</v>
      </c>
      <c r="F282" s="1">
        <v>45886</v>
      </c>
      <c r="G282" t="s">
        <v>31</v>
      </c>
      <c r="H282" t="s">
        <v>11</v>
      </c>
      <c r="I282" s="2">
        <v>6023207</v>
      </c>
    </row>
    <row r="283" spans="1:9" x14ac:dyDescent="0.25">
      <c r="A283">
        <v>282</v>
      </c>
      <c r="B283" t="str">
        <f>IF(ISERROR(VLOOKUP(E283,Nombres!A:D,2,FALSE)),"PROBLEMAAAAAA",VLOOKUP(E283,Nombres!A:D,2,FALSE))</f>
        <v>Óskarsson</v>
      </c>
      <c r="C283" t="str">
        <f>IF(ISERROR(VLOOKUP(E283,Nombres!A:D,4,FALSE)),"PROBLEMAAAAAA",VLOOKUP(E283,Nombres!A:D,4,FALSE))</f>
        <v>DEL</v>
      </c>
      <c r="D283" t="str">
        <f>IF(ISERROR(VLOOKUP(E283,Nombres!A:D,3,FALSE)),"PROBLEMAAAAAA",VLOOKUP(E283,Nombres!A:D,3,FALSE))</f>
        <v>Real Sociedad</v>
      </c>
      <c r="E283" t="s">
        <v>170</v>
      </c>
      <c r="F283" s="1">
        <v>45886</v>
      </c>
      <c r="G283" t="s">
        <v>31</v>
      </c>
      <c r="H283" t="s">
        <v>12</v>
      </c>
      <c r="I283" s="2">
        <v>5478829</v>
      </c>
    </row>
    <row r="284" spans="1:9" x14ac:dyDescent="0.25">
      <c r="A284">
        <v>283</v>
      </c>
      <c r="B284" t="str">
        <f>IF(ISERROR(VLOOKUP(E284,Nombres!A:D,2,FALSE)),"PROBLEMAAAAAA",VLOOKUP(E284,Nombres!A:D,2,FALSE))</f>
        <v>Pépé</v>
      </c>
      <c r="C284" t="str">
        <f>IF(ISERROR(VLOOKUP(E284,Nombres!A:D,4,FALSE)),"PROBLEMAAAAAA",VLOOKUP(E284,Nombres!A:D,4,FALSE))</f>
        <v>DEL</v>
      </c>
      <c r="D284" t="str">
        <f>IF(ISERROR(VLOOKUP(E284,Nombres!A:D,3,FALSE)),"PROBLEMAAAAAA",VLOOKUP(E284,Nombres!A:D,3,FALSE))</f>
        <v>Villarreal</v>
      </c>
      <c r="E284" t="s">
        <v>105</v>
      </c>
      <c r="F284" s="1">
        <v>45886</v>
      </c>
      <c r="G284" t="s">
        <v>13</v>
      </c>
      <c r="H284" t="s">
        <v>7</v>
      </c>
      <c r="I284" s="2">
        <v>19282733</v>
      </c>
    </row>
    <row r="285" spans="1:9" x14ac:dyDescent="0.25">
      <c r="A285">
        <v>284</v>
      </c>
      <c r="B285" t="str">
        <f>IF(ISERROR(VLOOKUP(E285,Nombres!A:D,2,FALSE)),"PROBLEMAAAAAA",VLOOKUP(E285,Nombres!A:D,2,FALSE))</f>
        <v>Rosier</v>
      </c>
      <c r="C285" t="str">
        <f>IF(ISERROR(VLOOKUP(E285,Nombres!A:D,4,FALSE)),"PROBLEMAAAAAA",VLOOKUP(E285,Nombres!A:D,4,FALSE))</f>
        <v>DEF</v>
      </c>
      <c r="D285" t="str">
        <f>IF(ISERROR(VLOOKUP(E285,Nombres!A:D,3,FALSE)),"PROBLEMAAAAAA",VLOOKUP(E285,Nombres!A:D,3,FALSE))</f>
        <v>Osasuna</v>
      </c>
      <c r="E285" t="s">
        <v>240</v>
      </c>
      <c r="F285" s="1">
        <v>45886</v>
      </c>
      <c r="G285" t="s">
        <v>13</v>
      </c>
      <c r="H285" t="s">
        <v>31</v>
      </c>
      <c r="I285" s="2">
        <v>8813000</v>
      </c>
    </row>
    <row r="286" spans="1:9" x14ac:dyDescent="0.25">
      <c r="A286">
        <v>285</v>
      </c>
      <c r="B286" t="str">
        <f>IF(ISERROR(VLOOKUP(E286,Nombres!A:D,2,FALSE)),"PROBLEMAAAAAA",VLOOKUP(E286,Nombres!A:D,2,FALSE))</f>
        <v>Starfelt</v>
      </c>
      <c r="C286" t="str">
        <f>IF(ISERROR(VLOOKUP(E286,Nombres!A:D,4,FALSE)),"PROBLEMAAAAAA",VLOOKUP(E286,Nombres!A:D,4,FALSE))</f>
        <v>DEF</v>
      </c>
      <c r="D286" t="str">
        <f>IF(ISERROR(VLOOKUP(E286,Nombres!A:D,3,FALSE)),"PROBLEMAAAAAA",VLOOKUP(E286,Nombres!A:D,3,FALSE))</f>
        <v>Celta</v>
      </c>
      <c r="E286" t="s">
        <v>53</v>
      </c>
      <c r="F286" s="1">
        <v>45886</v>
      </c>
      <c r="G286" t="s">
        <v>31</v>
      </c>
      <c r="H286" t="s">
        <v>12</v>
      </c>
      <c r="I286" s="2">
        <v>5590699</v>
      </c>
    </row>
    <row r="287" spans="1:9" x14ac:dyDescent="0.25">
      <c r="A287">
        <v>286</v>
      </c>
      <c r="B287" t="str">
        <f>IF(ISERROR(VLOOKUP(E287,Nombres!A:D,2,FALSE)),"PROBLEMAAAAAA",VLOOKUP(E287,Nombres!A:D,2,FALSE))</f>
        <v>Sucic</v>
      </c>
      <c r="C287" t="str">
        <f>IF(ISERROR(VLOOKUP(E287,Nombres!A:D,4,FALSE)),"PROBLEMAAAAAA",VLOOKUP(E287,Nombres!A:D,4,FALSE))</f>
        <v>MED</v>
      </c>
      <c r="D287" t="str">
        <f>IF(ISERROR(VLOOKUP(E287,Nombres!A:D,3,FALSE)),"PROBLEMAAAAAA",VLOOKUP(E287,Nombres!A:D,3,FALSE))</f>
        <v>Real Sociedad</v>
      </c>
      <c r="E287" t="s">
        <v>185</v>
      </c>
      <c r="F287" s="1">
        <v>45886</v>
      </c>
      <c r="G287" t="s">
        <v>31</v>
      </c>
      <c r="H287" t="s">
        <v>14</v>
      </c>
      <c r="I287" s="2">
        <v>9687480</v>
      </c>
    </row>
    <row r="288" spans="1:9" x14ac:dyDescent="0.25">
      <c r="A288">
        <v>287</v>
      </c>
      <c r="B288" t="str">
        <f>IF(ISERROR(VLOOKUP(E288,Nombres!A:D,2,FALSE)),"PROBLEMAAAAAA",VLOOKUP(E288,Nombres!A:D,2,FALSE))</f>
        <v>Blanco</v>
      </c>
      <c r="C288" t="str">
        <f>IF(ISERROR(VLOOKUP(E288,Nombres!A:D,4,FALSE)),"PROBLEMAAAAAA",VLOOKUP(E288,Nombres!A:D,4,FALSE))</f>
        <v>MED</v>
      </c>
      <c r="D288" t="str">
        <f>IF(ISERROR(VLOOKUP(E288,Nombres!A:D,3,FALSE)),"PROBLEMAAAAAA",VLOOKUP(E288,Nombres!A:D,3,FALSE))</f>
        <v>Alavés</v>
      </c>
      <c r="E288" t="s">
        <v>103</v>
      </c>
      <c r="F288" s="1">
        <v>45887</v>
      </c>
      <c r="G288" t="s">
        <v>768</v>
      </c>
      <c r="H288" t="s">
        <v>7</v>
      </c>
      <c r="I288" s="2">
        <v>11636446</v>
      </c>
    </row>
    <row r="289" spans="1:9" x14ac:dyDescent="0.25">
      <c r="A289">
        <v>288</v>
      </c>
      <c r="B289" t="str">
        <f>IF(ISERROR(VLOOKUP(E289,Nombres!A:D,2,FALSE)),"PROBLEMAAAAAA",VLOOKUP(E289,Nombres!A:D,2,FALSE))</f>
        <v>Camello</v>
      </c>
      <c r="C289" t="str">
        <f>IF(ISERROR(VLOOKUP(E289,Nombres!A:D,4,FALSE)),"PROBLEMAAAAAA",VLOOKUP(E289,Nombres!A:D,4,FALSE))</f>
        <v>DEL</v>
      </c>
      <c r="D289" t="str">
        <f>IF(ISERROR(VLOOKUP(E289,Nombres!A:D,3,FALSE)),"PROBLEMAAAAAA",VLOOKUP(E289,Nombres!A:D,3,FALSE))</f>
        <v>Rayo</v>
      </c>
      <c r="E289" t="s">
        <v>135</v>
      </c>
      <c r="F289" s="1">
        <v>45887</v>
      </c>
      <c r="G289" t="s">
        <v>31</v>
      </c>
      <c r="H289" t="s">
        <v>9</v>
      </c>
      <c r="I289" s="2">
        <v>3814911</v>
      </c>
    </row>
    <row r="290" spans="1:9" x14ac:dyDescent="0.25">
      <c r="A290">
        <v>289</v>
      </c>
      <c r="B290" t="str">
        <f>IF(ISERROR(VLOOKUP(E290,Nombres!A:D,2,FALSE)),"PROBLEMAAAAAA",VLOOKUP(E290,Nombres!A:D,2,FALSE))</f>
        <v>Dmitrovic</v>
      </c>
      <c r="C290" t="str">
        <f>IF(ISERROR(VLOOKUP(E290,Nombres!A:D,4,FALSE)),"PROBLEMAAAAAA",VLOOKUP(E290,Nombres!A:D,4,FALSE))</f>
        <v>POR</v>
      </c>
      <c r="D290" t="str">
        <f>IF(ISERROR(VLOOKUP(E290,Nombres!A:D,3,FALSE)),"PROBLEMAAAAAA",VLOOKUP(E290,Nombres!A:D,3,FALSE))</f>
        <v>Espanyol</v>
      </c>
      <c r="E290" t="s">
        <v>113</v>
      </c>
      <c r="F290" s="1">
        <v>45887</v>
      </c>
      <c r="G290" t="s">
        <v>6</v>
      </c>
      <c r="H290" t="s">
        <v>768</v>
      </c>
      <c r="I290" s="2">
        <v>11146825</v>
      </c>
    </row>
    <row r="291" spans="1:9" x14ac:dyDescent="0.25">
      <c r="A291">
        <v>290</v>
      </c>
      <c r="B291" t="str">
        <f>IF(ISERROR(VLOOKUP(E291,Nombres!A:D,2,FALSE)),"PROBLEMAAAAAA",VLOOKUP(E291,Nombres!A:D,2,FALSE))</f>
        <v>Garcés</v>
      </c>
      <c r="C291" t="str">
        <f>IF(ISERROR(VLOOKUP(E291,Nombres!A:D,4,FALSE)),"PROBLEMAAAAAA",VLOOKUP(E291,Nombres!A:D,4,FALSE))</f>
        <v>DEF</v>
      </c>
      <c r="D291" t="str">
        <f>IF(ISERROR(VLOOKUP(E291,Nombres!A:D,3,FALSE)),"PROBLEMAAAAAA",VLOOKUP(E291,Nombres!A:D,3,FALSE))</f>
        <v>Alavés</v>
      </c>
      <c r="E291" t="s">
        <v>183</v>
      </c>
      <c r="F291" s="1">
        <v>45887</v>
      </c>
      <c r="G291" t="s">
        <v>768</v>
      </c>
      <c r="H291" t="s">
        <v>14</v>
      </c>
      <c r="I291" s="2">
        <v>1011015</v>
      </c>
    </row>
    <row r="292" spans="1:9" x14ac:dyDescent="0.25">
      <c r="A292">
        <v>291</v>
      </c>
      <c r="B292" t="str">
        <f>IF(ISERROR(VLOOKUP(E292,Nombres!A:D,2,FALSE)),"PROBLEMAAAAAA",VLOOKUP(E292,Nombres!A:D,2,FALSE))</f>
        <v>Gerard</v>
      </c>
      <c r="C292" t="str">
        <f>IF(ISERROR(VLOOKUP(E292,Nombres!A:D,4,FALSE)),"PROBLEMAAAAAA",VLOOKUP(E292,Nombres!A:D,4,FALSE))</f>
        <v>DEL</v>
      </c>
      <c r="D292" t="str">
        <f>IF(ISERROR(VLOOKUP(E292,Nombres!A:D,3,FALSE)),"PROBLEMAAAAAA",VLOOKUP(E292,Nombres!A:D,3,FALSE))</f>
        <v>Villarreal</v>
      </c>
      <c r="E292" t="s">
        <v>148</v>
      </c>
      <c r="F292" s="1">
        <v>45887</v>
      </c>
      <c r="G292" t="s">
        <v>31</v>
      </c>
      <c r="H292" t="s">
        <v>10</v>
      </c>
      <c r="I292" s="2">
        <v>19301382</v>
      </c>
    </row>
    <row r="293" spans="1:9" x14ac:dyDescent="0.25">
      <c r="A293">
        <v>292</v>
      </c>
      <c r="B293" t="str">
        <f>IF(ISERROR(VLOOKUP(E293,Nombres!A:D,2,FALSE)),"PROBLEMAAAAAA",VLOOKUP(E293,Nombres!A:D,2,FALSE))</f>
        <v>L. Ilic</v>
      </c>
      <c r="C293" t="str">
        <f>IF(ISERROR(VLOOKUP(E293,Nombres!A:D,4,FALSE)),"PROBLEMAAAAAA",VLOOKUP(E293,Nombres!A:D,4,FALSE))</f>
        <v>MED</v>
      </c>
      <c r="D293" t="str">
        <f>IF(ISERROR(VLOOKUP(E293,Nombres!A:D,3,FALSE)),"PROBLEMAAAAAA",VLOOKUP(E293,Nombres!A:D,3,FALSE))</f>
        <v>Real Oviedo</v>
      </c>
      <c r="E293" t="s">
        <v>245</v>
      </c>
      <c r="F293" s="1">
        <v>45887</v>
      </c>
      <c r="G293" t="s">
        <v>8</v>
      </c>
      <c r="H293" t="s">
        <v>31</v>
      </c>
      <c r="I293" s="2">
        <v>3105085</v>
      </c>
    </row>
    <row r="294" spans="1:9" x14ac:dyDescent="0.25">
      <c r="A294">
        <v>293</v>
      </c>
      <c r="B294" t="str">
        <f>IF(ISERROR(VLOOKUP(E294,Nombres!A:D,2,FALSE)),"PROBLEMAAAAAA",VLOOKUP(E294,Nombres!A:D,2,FALSE))</f>
        <v>Kike Salas</v>
      </c>
      <c r="C294" t="str">
        <f>IF(ISERROR(VLOOKUP(E294,Nombres!A:D,4,FALSE)),"PROBLEMAAAAAA",VLOOKUP(E294,Nombres!A:D,4,FALSE))</f>
        <v>DEF</v>
      </c>
      <c r="D294" t="str">
        <f>IF(ISERROR(VLOOKUP(E294,Nombres!A:D,3,FALSE)),"PROBLEMAAAAAA",VLOOKUP(E294,Nombres!A:D,3,FALSE))</f>
        <v>Sevilla</v>
      </c>
      <c r="E294" t="s">
        <v>247</v>
      </c>
      <c r="F294" s="1">
        <v>45887</v>
      </c>
      <c r="G294" t="s">
        <v>6</v>
      </c>
      <c r="H294" t="s">
        <v>31</v>
      </c>
      <c r="I294" s="2">
        <v>6345679</v>
      </c>
    </row>
    <row r="295" spans="1:9" x14ac:dyDescent="0.25">
      <c r="A295">
        <v>294</v>
      </c>
      <c r="B295" t="str">
        <f>IF(ISERROR(VLOOKUP(E295,Nombres!A:D,2,FALSE)),"PROBLEMAAAAAA",VLOOKUP(E295,Nombres!A:D,2,FALSE))</f>
        <v>Leo Román</v>
      </c>
      <c r="C295" t="str">
        <f>IF(ISERROR(VLOOKUP(E295,Nombres!A:D,4,FALSE)),"PROBLEMAAAAAA",VLOOKUP(E295,Nombres!A:D,4,FALSE))</f>
        <v>POR</v>
      </c>
      <c r="D295" t="str">
        <f>IF(ISERROR(VLOOKUP(E295,Nombres!A:D,3,FALSE)),"PROBLEMAAAAAA",VLOOKUP(E295,Nombres!A:D,3,FALSE))</f>
        <v>Mallorca</v>
      </c>
      <c r="E295" t="s">
        <v>78</v>
      </c>
      <c r="F295" s="1">
        <v>45887</v>
      </c>
      <c r="G295" t="s">
        <v>11</v>
      </c>
      <c r="H295" t="s">
        <v>6</v>
      </c>
      <c r="I295" s="2">
        <v>10938553</v>
      </c>
    </row>
    <row r="296" spans="1:9" x14ac:dyDescent="0.25">
      <c r="A296">
        <v>295</v>
      </c>
      <c r="B296" t="str">
        <f>IF(ISERROR(VLOOKUP(E296,Nombres!A:D,2,FALSE)),"PROBLEMAAAAAA",VLOOKUP(E296,Nombres!A:D,2,FALSE))</f>
        <v>Mariano</v>
      </c>
      <c r="C296" t="str">
        <f>IF(ISERROR(VLOOKUP(E296,Nombres!A:D,4,FALSE)),"PROBLEMAAAAAA",VLOOKUP(E296,Nombres!A:D,4,FALSE))</f>
        <v>DEL</v>
      </c>
      <c r="D296" t="str">
        <f>IF(ISERROR(VLOOKUP(E296,Nombres!A:D,3,FALSE)),"PROBLEMAAAAAA",VLOOKUP(E296,Nombres!A:D,3,FALSE))</f>
        <v>Alavés</v>
      </c>
      <c r="E296" t="s">
        <v>246</v>
      </c>
      <c r="F296" s="1">
        <v>45887</v>
      </c>
      <c r="G296" t="s">
        <v>7</v>
      </c>
      <c r="H296" t="s">
        <v>31</v>
      </c>
      <c r="I296" s="2">
        <v>4983684</v>
      </c>
    </row>
    <row r="297" spans="1:9" x14ac:dyDescent="0.25">
      <c r="A297">
        <v>296</v>
      </c>
      <c r="B297" t="str">
        <f>IF(ISERROR(VLOOKUP(E297,Nombres!A:D,2,FALSE)),"PROBLEMAAAAAA",VLOOKUP(E297,Nombres!A:D,2,FALSE))</f>
        <v>Militão</v>
      </c>
      <c r="C297" t="str">
        <f>IF(ISERROR(VLOOKUP(E297,Nombres!A:D,4,FALSE)),"PROBLEMAAAAAA",VLOOKUP(E297,Nombres!A:D,4,FALSE))</f>
        <v>DEF</v>
      </c>
      <c r="D297" t="str">
        <f>IF(ISERROR(VLOOKUP(E297,Nombres!A:D,3,FALSE)),"PROBLEMAAAAAA",VLOOKUP(E297,Nombres!A:D,3,FALSE))</f>
        <v>Real Madrid</v>
      </c>
      <c r="E297" t="s">
        <v>164</v>
      </c>
      <c r="F297" s="1">
        <v>45887</v>
      </c>
      <c r="G297" t="s">
        <v>11</v>
      </c>
      <c r="H297" t="s">
        <v>31</v>
      </c>
      <c r="I297" s="2">
        <v>36100000</v>
      </c>
    </row>
    <row r="298" spans="1:9" x14ac:dyDescent="0.25">
      <c r="A298">
        <v>297</v>
      </c>
      <c r="B298" t="str">
        <f>IF(ISERROR(VLOOKUP(E298,Nombres!A:D,2,FALSE)),"PROBLEMAAAAAA",VLOOKUP(E298,Nombres!A:D,2,FALSE))</f>
        <v>Mojica</v>
      </c>
      <c r="C298" t="str">
        <f>IF(ISERROR(VLOOKUP(E298,Nombres!A:D,4,FALSE)),"PROBLEMAAAAAA",VLOOKUP(E298,Nombres!A:D,4,FALSE))</f>
        <v>DEF</v>
      </c>
      <c r="D298" t="str">
        <f>IF(ISERROR(VLOOKUP(E298,Nombres!A:D,3,FALSE)),"PROBLEMAAAAAA",VLOOKUP(E298,Nombres!A:D,3,FALSE))</f>
        <v>Mallorca</v>
      </c>
      <c r="E298" t="s">
        <v>173</v>
      </c>
      <c r="F298" s="1">
        <v>45887</v>
      </c>
      <c r="G298" t="s">
        <v>11</v>
      </c>
      <c r="H298" t="s">
        <v>31</v>
      </c>
      <c r="I298" s="2">
        <v>14122940</v>
      </c>
    </row>
    <row r="299" spans="1:9" x14ac:dyDescent="0.25">
      <c r="A299">
        <v>298</v>
      </c>
      <c r="B299" t="str">
        <f>IF(ISERROR(VLOOKUP(E299,Nombres!A:D,2,FALSE)),"PROBLEMAAAAAA",VLOOKUP(E299,Nombres!A:D,2,FALSE))</f>
        <v>Muriqi</v>
      </c>
      <c r="C299" t="str">
        <f>IF(ISERROR(VLOOKUP(E299,Nombres!A:D,4,FALSE)),"PROBLEMAAAAAA",VLOOKUP(E299,Nombres!A:D,4,FALSE))</f>
        <v>DEL</v>
      </c>
      <c r="D299" t="str">
        <f>IF(ISERROR(VLOOKUP(E299,Nombres!A:D,3,FALSE)),"PROBLEMAAAAAA",VLOOKUP(E299,Nombres!A:D,3,FALSE))</f>
        <v>Mallorca</v>
      </c>
      <c r="E299" t="s">
        <v>35</v>
      </c>
      <c r="F299" s="1">
        <v>45887</v>
      </c>
      <c r="G299" t="s">
        <v>31</v>
      </c>
      <c r="H299" t="s">
        <v>6</v>
      </c>
      <c r="I299" s="2">
        <v>27117936</v>
      </c>
    </row>
    <row r="300" spans="1:9" x14ac:dyDescent="0.25">
      <c r="A300">
        <v>299</v>
      </c>
      <c r="B300" t="str">
        <f>IF(ISERROR(VLOOKUP(E300,Nombres!A:D,2,FALSE)),"PROBLEMAAAAAA",VLOOKUP(E300,Nombres!A:D,2,FALSE))</f>
        <v>Terrats</v>
      </c>
      <c r="C300" t="str">
        <f>IF(ISERROR(VLOOKUP(E300,Nombres!A:D,4,FALSE)),"PROBLEMAAAAAA",VLOOKUP(E300,Nombres!A:D,4,FALSE))</f>
        <v>MED</v>
      </c>
      <c r="D300" t="str">
        <f>IF(ISERROR(VLOOKUP(E300,Nombres!A:D,3,FALSE)),"PROBLEMAAAAAA",VLOOKUP(E300,Nombres!A:D,3,FALSE))</f>
        <v>Espanyol</v>
      </c>
      <c r="E300" t="s">
        <v>84</v>
      </c>
      <c r="F300" s="1">
        <v>45887</v>
      </c>
      <c r="G300" t="s">
        <v>768</v>
      </c>
      <c r="H300" t="s">
        <v>6</v>
      </c>
      <c r="I300" s="2">
        <v>8502173</v>
      </c>
    </row>
    <row r="301" spans="1:9" x14ac:dyDescent="0.25">
      <c r="A301">
        <v>300</v>
      </c>
      <c r="B301" t="str">
        <f>IF(ISERROR(VLOOKUP(E301,Nombres!A:D,2,FALSE)),"PROBLEMAAAAAA",VLOOKUP(E301,Nombres!A:D,2,FALSE))</f>
        <v>Swedberg</v>
      </c>
      <c r="C301" t="str">
        <f>IF(ISERROR(VLOOKUP(E301,Nombres!A:D,4,FALSE)),"PROBLEMAAAAAA",VLOOKUP(E301,Nombres!A:D,4,FALSE))</f>
        <v>MED</v>
      </c>
      <c r="D301" t="str">
        <f>IF(ISERROR(VLOOKUP(E301,Nombres!A:D,3,FALSE)),"PROBLEMAAAAAA",VLOOKUP(E301,Nombres!A:D,3,FALSE))</f>
        <v>Celta</v>
      </c>
      <c r="E301" t="s">
        <v>193</v>
      </c>
      <c r="F301" s="1">
        <v>45887</v>
      </c>
      <c r="G301" t="s">
        <v>31</v>
      </c>
      <c r="H301" t="s">
        <v>13</v>
      </c>
      <c r="I301" s="2">
        <v>2475784</v>
      </c>
    </row>
    <row r="302" spans="1:9" x14ac:dyDescent="0.25">
      <c r="A302">
        <v>301</v>
      </c>
      <c r="B302" t="str">
        <f>IF(ISERROR(VLOOKUP(E302,Nombres!A:D,2,FALSE)),"PROBLEMAAAAAA",VLOOKUP(E302,Nombres!A:D,2,FALSE))</f>
        <v>Ferran</v>
      </c>
      <c r="C302" t="str">
        <f>IF(ISERROR(VLOOKUP(E302,Nombres!A:D,4,FALSE)),"PROBLEMAAAAAA",VLOOKUP(E302,Nombres!A:D,4,FALSE))</f>
        <v>DEL</v>
      </c>
      <c r="D302" t="str">
        <f>IF(ISERROR(VLOOKUP(E302,Nombres!A:D,3,FALSE)),"PROBLEMAAAAAA",VLOOKUP(E302,Nombres!A:D,3,FALSE))</f>
        <v>Barcelona</v>
      </c>
      <c r="E302" t="s">
        <v>161</v>
      </c>
      <c r="F302" s="1">
        <v>45888</v>
      </c>
      <c r="G302" t="s">
        <v>6</v>
      </c>
      <c r="H302" t="s">
        <v>11</v>
      </c>
      <c r="I302" s="2">
        <v>31110758</v>
      </c>
    </row>
    <row r="303" spans="1:9" x14ac:dyDescent="0.25">
      <c r="A303">
        <v>302</v>
      </c>
      <c r="B303" t="str">
        <f>IF(ISERROR(VLOOKUP(E303,Nombres!A:D,2,FALSE)),"PROBLEMAAAAAA",VLOOKUP(E303,Nombres!A:D,2,FALSE))</f>
        <v>Beltrán</v>
      </c>
      <c r="C303" t="str">
        <f>IF(ISERROR(VLOOKUP(E303,Nombres!A:D,4,FALSE)),"PROBLEMAAAAAA",VLOOKUP(E303,Nombres!A:D,4,FALSE))</f>
        <v>MED</v>
      </c>
      <c r="D303" t="str">
        <f>IF(ISERROR(VLOOKUP(E303,Nombres!A:D,3,FALSE)),"PROBLEMAAAAAA",VLOOKUP(E303,Nombres!A:D,3,FALSE))</f>
        <v>Celta</v>
      </c>
      <c r="E303" t="s">
        <v>165</v>
      </c>
      <c r="F303" s="1">
        <v>45888</v>
      </c>
      <c r="G303" t="s">
        <v>31</v>
      </c>
      <c r="H303" t="s">
        <v>12</v>
      </c>
      <c r="I303" s="2">
        <v>4160518</v>
      </c>
    </row>
    <row r="304" spans="1:9" x14ac:dyDescent="0.25">
      <c r="A304">
        <v>303</v>
      </c>
      <c r="B304" t="str">
        <f>IF(ISERROR(VLOOKUP(E304,Nombres!A:D,2,FALSE)),"PROBLEMAAAAAA",VLOOKUP(E304,Nombres!A:D,2,FALSE))</f>
        <v>Luis Milla</v>
      </c>
      <c r="C304" t="str">
        <f>IF(ISERROR(VLOOKUP(E304,Nombres!A:D,4,FALSE)),"PROBLEMAAAAAA",VLOOKUP(E304,Nombres!A:D,4,FALSE))</f>
        <v>MED</v>
      </c>
      <c r="D304" t="str">
        <f>IF(ISERROR(VLOOKUP(E304,Nombres!A:D,3,FALSE)),"PROBLEMAAAAAA",VLOOKUP(E304,Nombres!A:D,3,FALSE))</f>
        <v>Getafe</v>
      </c>
      <c r="E304" t="s">
        <v>326</v>
      </c>
      <c r="F304" s="1">
        <v>45888</v>
      </c>
      <c r="G304" t="s">
        <v>768</v>
      </c>
      <c r="H304" t="s">
        <v>11</v>
      </c>
      <c r="I304" s="2">
        <v>16095858</v>
      </c>
    </row>
    <row r="305" spans="1:9" x14ac:dyDescent="0.25">
      <c r="A305">
        <v>304</v>
      </c>
      <c r="B305" t="str">
        <f>IF(ISERROR(VLOOKUP(E305,Nombres!A:D,2,FALSE)),"PROBLEMAAAAAA",VLOOKUP(E305,Nombres!A:D,2,FALSE))</f>
        <v>Liso</v>
      </c>
      <c r="C305" t="str">
        <f>IF(ISERROR(VLOOKUP(E305,Nombres!A:D,4,FALSE)),"PROBLEMAAAAAA",VLOOKUP(E305,Nombres!A:D,4,FALSE))</f>
        <v>DEL</v>
      </c>
      <c r="D305" t="str">
        <f>IF(ISERROR(VLOOKUP(E305,Nombres!A:D,3,FALSE)),"PROBLEMAAAAAA",VLOOKUP(E305,Nombres!A:D,3,FALSE))</f>
        <v>Getafe</v>
      </c>
      <c r="E305" t="s">
        <v>251</v>
      </c>
      <c r="F305" s="1">
        <v>45888</v>
      </c>
      <c r="G305" t="s">
        <v>6</v>
      </c>
      <c r="H305" t="s">
        <v>31</v>
      </c>
      <c r="I305" s="2">
        <v>5000001</v>
      </c>
    </row>
    <row r="306" spans="1:9" x14ac:dyDescent="0.25">
      <c r="A306">
        <v>305</v>
      </c>
      <c r="B306" t="str">
        <f>IF(ISERROR(VLOOKUP(E306,Nombres!A:D,2,FALSE)),"PROBLEMAAAAAA",VLOOKUP(E306,Nombres!A:D,2,FALSE))</f>
        <v>Moldovan</v>
      </c>
      <c r="C306" t="str">
        <f>IF(ISERROR(VLOOKUP(E306,Nombres!A:D,4,FALSE)),"PROBLEMAAAAAA",VLOOKUP(E306,Nombres!A:D,4,FALSE))</f>
        <v>POR</v>
      </c>
      <c r="D306" t="str">
        <f>IF(ISERROR(VLOOKUP(E306,Nombres!A:D,3,FALSE)),"PROBLEMAAAAAA",VLOOKUP(E306,Nombres!A:D,3,FALSE))</f>
        <v>Real Oviedo</v>
      </c>
      <c r="E306" t="s">
        <v>250</v>
      </c>
      <c r="F306" s="1">
        <v>45888</v>
      </c>
      <c r="G306" t="s">
        <v>9</v>
      </c>
      <c r="H306" t="s">
        <v>31</v>
      </c>
      <c r="I306" s="2">
        <v>1780021</v>
      </c>
    </row>
    <row r="307" spans="1:9" x14ac:dyDescent="0.25">
      <c r="A307">
        <v>306</v>
      </c>
      <c r="B307" t="str">
        <f>IF(ISERROR(VLOOKUP(E307,Nombres!A:D,2,FALSE)),"PROBLEMAAAAAA",VLOOKUP(E307,Nombres!A:D,2,FALSE))</f>
        <v>Nacho Vidal</v>
      </c>
      <c r="C307" t="str">
        <f>IF(ISERROR(VLOOKUP(E307,Nombres!A:D,4,FALSE)),"PROBLEMAAAAAA",VLOOKUP(E307,Nombres!A:D,4,FALSE))</f>
        <v>DEF</v>
      </c>
      <c r="D307" t="str">
        <f>IF(ISERROR(VLOOKUP(E307,Nombres!A:D,3,FALSE)),"PROBLEMAAAAAA",VLOOKUP(E307,Nombres!A:D,3,FALSE))</f>
        <v>Real Oviedo</v>
      </c>
      <c r="E307" t="s">
        <v>249</v>
      </c>
      <c r="F307" s="1">
        <v>45888</v>
      </c>
      <c r="G307" t="s">
        <v>8</v>
      </c>
      <c r="H307" t="s">
        <v>31</v>
      </c>
      <c r="I307" s="2">
        <v>3100011</v>
      </c>
    </row>
    <row r="308" spans="1:9" x14ac:dyDescent="0.25">
      <c r="A308">
        <v>307</v>
      </c>
      <c r="B308" t="str">
        <f>IF(ISERROR(VLOOKUP(E308,Nombres!A:D,2,FALSE)),"PROBLEMAAAAAA",VLOOKUP(E308,Nombres!A:D,2,FALSE))</f>
        <v>Pedro Díaz</v>
      </c>
      <c r="C308" t="str">
        <f>IF(ISERROR(VLOOKUP(E308,Nombres!A:D,4,FALSE)),"PROBLEMAAAAAA",VLOOKUP(E308,Nombres!A:D,4,FALSE))</f>
        <v>MED</v>
      </c>
      <c r="D308" t="str">
        <f>IF(ISERROR(VLOOKUP(E308,Nombres!A:D,3,FALSE)),"PROBLEMAAAAAA",VLOOKUP(E308,Nombres!A:D,3,FALSE))</f>
        <v>Rayo</v>
      </c>
      <c r="E308" t="s">
        <v>248</v>
      </c>
      <c r="F308" s="1">
        <v>45888</v>
      </c>
      <c r="G308" t="s">
        <v>12</v>
      </c>
      <c r="H308" t="s">
        <v>31</v>
      </c>
      <c r="I308" s="2">
        <v>3201101</v>
      </c>
    </row>
    <row r="309" spans="1:9" x14ac:dyDescent="0.25">
      <c r="A309">
        <v>308</v>
      </c>
      <c r="B309" t="str">
        <f>IF(ISERROR(VLOOKUP(E309,Nombres!A:D,2,FALSE)),"PROBLEMAAAAAA",VLOOKUP(E309,Nombres!A:D,2,FALSE))</f>
        <v>Sivera</v>
      </c>
      <c r="C309" t="str">
        <f>IF(ISERROR(VLOOKUP(E309,Nombres!A:D,4,FALSE)),"PROBLEMAAAAAA",VLOOKUP(E309,Nombres!A:D,4,FALSE))</f>
        <v>POR</v>
      </c>
      <c r="D309" t="str">
        <f>IF(ISERROR(VLOOKUP(E309,Nombres!A:D,3,FALSE)),"PROBLEMAAAAAA",VLOOKUP(E309,Nombres!A:D,3,FALSE))</f>
        <v>Alavés</v>
      </c>
      <c r="E309" t="s">
        <v>137</v>
      </c>
      <c r="F309" s="1">
        <v>45888</v>
      </c>
      <c r="G309" t="s">
        <v>768</v>
      </c>
      <c r="H309" t="s">
        <v>10</v>
      </c>
      <c r="I309" s="2">
        <v>15904401</v>
      </c>
    </row>
    <row r="310" spans="1:9" x14ac:dyDescent="0.25">
      <c r="A310">
        <v>309</v>
      </c>
      <c r="B310" t="str">
        <f>IF(ISERROR(VLOOKUP(E310,Nombres!A:D,2,FALSE)),"PROBLEMAAAAAA",VLOOKUP(E310,Nombres!A:D,2,FALSE))</f>
        <v>Agirrezabala</v>
      </c>
      <c r="C310" t="str">
        <f>IF(ISERROR(VLOOKUP(E310,Nombres!A:D,4,FALSE)),"PROBLEMAAAAAA",VLOOKUP(E310,Nombres!A:D,4,FALSE))</f>
        <v>POR</v>
      </c>
      <c r="D310" t="str">
        <f>IF(ISERROR(VLOOKUP(E310,Nombres!A:D,3,FALSE)),"PROBLEMAAAAAA",VLOOKUP(E310,Nombres!A:D,3,FALSE))</f>
        <v>Valencia</v>
      </c>
      <c r="E310" t="s">
        <v>253</v>
      </c>
      <c r="F310" s="1">
        <v>45889</v>
      </c>
      <c r="G310" t="s">
        <v>10</v>
      </c>
      <c r="H310" t="s">
        <v>31</v>
      </c>
      <c r="I310" s="2">
        <v>15878987</v>
      </c>
    </row>
    <row r="311" spans="1:9" x14ac:dyDescent="0.25">
      <c r="A311">
        <v>310</v>
      </c>
      <c r="B311" t="str">
        <f>IF(ISERROR(VLOOKUP(E311,Nombres!A:D,2,FALSE)),"PROBLEMAAAAAA",VLOOKUP(E311,Nombres!A:D,2,FALSE))</f>
        <v>Baena</v>
      </c>
      <c r="C311" t="str">
        <f>IF(ISERROR(VLOOKUP(E311,Nombres!A:D,4,FALSE)),"PROBLEMAAAAAA",VLOOKUP(E311,Nombres!A:D,4,FALSE))</f>
        <v>MED</v>
      </c>
      <c r="D311" t="str">
        <f>IF(ISERROR(VLOOKUP(E311,Nombres!A:D,3,FALSE)),"PROBLEMAAAAAA",VLOOKUP(E311,Nombres!A:D,3,FALSE))</f>
        <v>Atlético</v>
      </c>
      <c r="E311" t="s">
        <v>204</v>
      </c>
      <c r="F311" s="1">
        <v>45889</v>
      </c>
      <c r="G311" t="s">
        <v>31</v>
      </c>
      <c r="H311" t="s">
        <v>12</v>
      </c>
      <c r="I311" s="2">
        <v>80130216</v>
      </c>
    </row>
    <row r="312" spans="1:9" x14ac:dyDescent="0.25">
      <c r="A312">
        <v>311</v>
      </c>
      <c r="B312" t="str">
        <f>IF(ISERROR(VLOOKUP(E312,Nombres!A:D,2,FALSE)),"PROBLEMAAAAAA",VLOOKUP(E312,Nombres!A:D,2,FALSE))</f>
        <v>Almada</v>
      </c>
      <c r="C312" t="str">
        <f>IF(ISERROR(VLOOKUP(E312,Nombres!A:D,4,FALSE)),"PROBLEMAAAAAA",VLOOKUP(E312,Nombres!A:D,4,FALSE))</f>
        <v>MED</v>
      </c>
      <c r="D312" t="str">
        <f>IF(ISERROR(VLOOKUP(E312,Nombres!A:D,3,FALSE)),"PROBLEMAAAAAA",VLOOKUP(E312,Nombres!A:D,3,FALSE))</f>
        <v>Atlético</v>
      </c>
      <c r="E312" t="s">
        <v>110</v>
      </c>
      <c r="F312" s="1">
        <v>45889</v>
      </c>
      <c r="G312" t="s">
        <v>11</v>
      </c>
      <c r="H312" t="s">
        <v>8</v>
      </c>
      <c r="I312" s="2">
        <v>27002791</v>
      </c>
    </row>
    <row r="313" spans="1:9" x14ac:dyDescent="0.25">
      <c r="A313">
        <v>312</v>
      </c>
      <c r="B313" t="str">
        <f>IF(ISERROR(VLOOKUP(E313,Nombres!A:D,2,FALSE)),"PROBLEMAAAAAA",VLOOKUP(E313,Nombres!A:D,2,FALSE))</f>
        <v>Á. Núñez</v>
      </c>
      <c r="C313" t="str">
        <f>IF(ISERROR(VLOOKUP(E313,Nombres!A:D,4,FALSE)),"PROBLEMAAAAAA",VLOOKUP(E313,Nombres!A:D,4,FALSE))</f>
        <v>DEF</v>
      </c>
      <c r="D313" t="str">
        <f>IF(ISERROR(VLOOKUP(E313,Nombres!A:D,3,FALSE)),"PROBLEMAAAAAA",VLOOKUP(E313,Nombres!A:D,3,FALSE))</f>
        <v>Elche</v>
      </c>
      <c r="E313" t="s">
        <v>139</v>
      </c>
      <c r="F313" s="1">
        <v>45889</v>
      </c>
      <c r="G313" t="s">
        <v>14</v>
      </c>
      <c r="H313" t="s">
        <v>10</v>
      </c>
      <c r="I313" s="2">
        <v>1749728</v>
      </c>
    </row>
    <row r="314" spans="1:9" x14ac:dyDescent="0.25">
      <c r="A314">
        <v>313</v>
      </c>
      <c r="B314" t="str">
        <f>IF(ISERROR(VLOOKUP(E314,Nombres!A:D,2,FALSE)),"PROBLEMAAAAAA",VLOOKUP(E314,Nombres!A:D,2,FALSE))</f>
        <v>Bellerín</v>
      </c>
      <c r="C314" t="str">
        <f>IF(ISERROR(VLOOKUP(E314,Nombres!A:D,4,FALSE)),"PROBLEMAAAAAA",VLOOKUP(E314,Nombres!A:D,4,FALSE))</f>
        <v>DEF</v>
      </c>
      <c r="D314" t="str">
        <f>IF(ISERROR(VLOOKUP(E314,Nombres!A:D,3,FALSE)),"PROBLEMAAAAAA",VLOOKUP(E314,Nombres!A:D,3,FALSE))</f>
        <v>Betis</v>
      </c>
      <c r="E314" t="s">
        <v>208</v>
      </c>
      <c r="F314" s="1">
        <v>45889</v>
      </c>
      <c r="G314" t="s">
        <v>31</v>
      </c>
      <c r="H314" t="s">
        <v>11</v>
      </c>
      <c r="I314" s="2">
        <v>3807248</v>
      </c>
    </row>
    <row r="315" spans="1:9" x14ac:dyDescent="0.25">
      <c r="A315">
        <v>314</v>
      </c>
      <c r="B315" t="str">
        <f>IF(ISERROR(VLOOKUP(E315,Nombres!A:D,2,FALSE)),"PROBLEMAAAAAA",VLOOKUP(E315,Nombres!A:D,2,FALSE))</f>
        <v>Boyomo</v>
      </c>
      <c r="C315" t="str">
        <f>IF(ISERROR(VLOOKUP(E315,Nombres!A:D,4,FALSE)),"PROBLEMAAAAAA",VLOOKUP(E315,Nombres!A:D,4,FALSE))</f>
        <v>DEF</v>
      </c>
      <c r="D315" t="str">
        <f>IF(ISERROR(VLOOKUP(E315,Nombres!A:D,3,FALSE)),"PROBLEMAAAAAA",VLOOKUP(E315,Nombres!A:D,3,FALSE))</f>
        <v>Osasuna</v>
      </c>
      <c r="E315" t="s">
        <v>115</v>
      </c>
      <c r="F315" s="1">
        <v>45889</v>
      </c>
      <c r="G315" t="s">
        <v>11</v>
      </c>
      <c r="H315" t="s">
        <v>768</v>
      </c>
      <c r="I315" s="2">
        <v>14947178</v>
      </c>
    </row>
    <row r="316" spans="1:9" x14ac:dyDescent="0.25">
      <c r="A316">
        <v>315</v>
      </c>
      <c r="B316" t="str">
        <f>IF(ISERROR(VLOOKUP(E316,Nombres!A:D,2,FALSE)),"PROBLEMAAAAAA",VLOOKUP(E316,Nombres!A:D,2,FALSE))</f>
        <v>Brais</v>
      </c>
      <c r="C316" t="str">
        <f>IF(ISERROR(VLOOKUP(E316,Nombres!A:D,4,FALSE)),"PROBLEMAAAAAA",VLOOKUP(E316,Nombres!A:D,4,FALSE))</f>
        <v>MED</v>
      </c>
      <c r="D316" t="str">
        <f>IF(ISERROR(VLOOKUP(E316,Nombres!A:D,3,FALSE)),"PROBLEMAAAAAA",VLOOKUP(E316,Nombres!A:D,3,FALSE))</f>
        <v>Real Sociedad</v>
      </c>
      <c r="E316" t="s">
        <v>158</v>
      </c>
      <c r="F316" s="1">
        <v>45889</v>
      </c>
      <c r="G316" t="s">
        <v>768</v>
      </c>
      <c r="H316" t="s">
        <v>11</v>
      </c>
      <c r="I316" s="2">
        <v>23947108</v>
      </c>
    </row>
    <row r="317" spans="1:9" x14ac:dyDescent="0.25">
      <c r="A317">
        <v>316</v>
      </c>
      <c r="B317" t="str">
        <f>IF(ISERROR(VLOOKUP(E317,Nombres!A:D,2,FALSE)),"PROBLEMAAAAAA",VLOOKUP(E317,Nombres!A:D,2,FALSE))</f>
        <v>Herrera</v>
      </c>
      <c r="C317" t="str">
        <f>IF(ISERROR(VLOOKUP(E317,Nombres!A:D,4,FALSE)),"PROBLEMAAAAAA",VLOOKUP(E317,Nombres!A:D,4,FALSE))</f>
        <v>MED</v>
      </c>
      <c r="D317" t="str">
        <f>IF(ISERROR(VLOOKUP(E317,Nombres!A:D,3,FALSE)),"PROBLEMAAAAAA",VLOOKUP(E317,Nombres!A:D,3,FALSE))</f>
        <v>Real Sociedad</v>
      </c>
      <c r="E317" t="s">
        <v>121</v>
      </c>
      <c r="F317" s="1">
        <v>45889</v>
      </c>
      <c r="G317" t="s">
        <v>31</v>
      </c>
      <c r="H317" t="s">
        <v>768</v>
      </c>
      <c r="I317" s="2">
        <v>11992446</v>
      </c>
    </row>
    <row r="318" spans="1:9" x14ac:dyDescent="0.25">
      <c r="A318">
        <v>317</v>
      </c>
      <c r="B318" t="str">
        <f>IF(ISERROR(VLOOKUP(E318,Nombres!A:D,2,FALSE)),"PROBLEMAAAAAA",VLOOKUP(E318,Nombres!A:D,2,FALSE))</f>
        <v>Jofre</v>
      </c>
      <c r="C318" t="str">
        <f>IF(ISERROR(VLOOKUP(E318,Nombres!A:D,4,FALSE)),"PROBLEMAAAAAA",VLOOKUP(E318,Nombres!A:D,4,FALSE))</f>
        <v>DEL</v>
      </c>
      <c r="D318" t="str">
        <f>IF(ISERROR(VLOOKUP(E318,Nombres!A:D,3,FALSE)),"PROBLEMAAAAAA",VLOOKUP(E318,Nombres!A:D,3,FALSE))</f>
        <v>Espanyol</v>
      </c>
      <c r="E318" t="s">
        <v>254</v>
      </c>
      <c r="F318" s="1">
        <v>45889</v>
      </c>
      <c r="G318" t="s">
        <v>7</v>
      </c>
      <c r="H318" t="s">
        <v>31</v>
      </c>
      <c r="I318" s="2">
        <v>1787973</v>
      </c>
    </row>
    <row r="319" spans="1:9" x14ac:dyDescent="0.25">
      <c r="A319">
        <v>318</v>
      </c>
      <c r="B319" t="str">
        <f>IF(ISERROR(VLOOKUP(E319,Nombres!A:D,2,FALSE)),"PROBLEMAAAAAA",VLOOKUP(E319,Nombres!A:D,2,FALSE))</f>
        <v>Raba</v>
      </c>
      <c r="C319" t="str">
        <f>IF(ISERROR(VLOOKUP(E319,Nombres!A:D,4,FALSE)),"PROBLEMAAAAAA",VLOOKUP(E319,Nombres!A:D,4,FALSE))</f>
        <v>DEL</v>
      </c>
      <c r="D319" t="str">
        <f>IF(ISERROR(VLOOKUP(E319,Nombres!A:D,3,FALSE)),"PROBLEMAAAAAA",VLOOKUP(E319,Nombres!A:D,3,FALSE))</f>
        <v>Valencia</v>
      </c>
      <c r="E319" t="s">
        <v>112</v>
      </c>
      <c r="F319" s="1">
        <v>45889</v>
      </c>
      <c r="G319" t="s">
        <v>12</v>
      </c>
      <c r="H319" t="s">
        <v>8</v>
      </c>
      <c r="I319" s="2">
        <v>13741840</v>
      </c>
    </row>
    <row r="320" spans="1:9" x14ac:dyDescent="0.25">
      <c r="A320">
        <v>319</v>
      </c>
      <c r="B320" t="str">
        <f>IF(ISERROR(VLOOKUP(E320,Nombres!A:D,2,FALSE)),"PROBLEMAAAAAA",VLOOKUP(E320,Nombres!A:D,2,FALSE))</f>
        <v>Riquelme</v>
      </c>
      <c r="C320" t="str">
        <f>IF(ISERROR(VLOOKUP(E320,Nombres!A:D,4,FALSE)),"PROBLEMAAAAAA",VLOOKUP(E320,Nombres!A:D,4,FALSE))</f>
        <v>MED</v>
      </c>
      <c r="D320" t="str">
        <f>IF(ISERROR(VLOOKUP(E320,Nombres!A:D,3,FALSE)),"PROBLEMAAAAAA",VLOOKUP(E320,Nombres!A:D,3,FALSE))</f>
        <v>Betis</v>
      </c>
      <c r="E320" t="s">
        <v>109</v>
      </c>
      <c r="F320" s="1">
        <v>45889</v>
      </c>
      <c r="G320" t="s">
        <v>12</v>
      </c>
      <c r="H320" t="s">
        <v>8</v>
      </c>
      <c r="I320" s="2">
        <v>17158711</v>
      </c>
    </row>
    <row r="321" spans="1:9" x14ac:dyDescent="0.25">
      <c r="A321">
        <v>320</v>
      </c>
      <c r="B321" t="str">
        <f>IF(ISERROR(VLOOKUP(E321,Nombres!A:D,2,FALSE)),"PROBLEMAAAAAA",VLOOKUP(E321,Nombres!A:D,2,FALSE))</f>
        <v>Thomas</v>
      </c>
      <c r="C321" t="str">
        <f>IF(ISERROR(VLOOKUP(E321,Nombres!A:D,4,FALSE)),"PROBLEMAAAAAA",VLOOKUP(E321,Nombres!A:D,4,FALSE))</f>
        <v>MED</v>
      </c>
      <c r="D321" t="str">
        <f>IF(ISERROR(VLOOKUP(E321,Nombres!A:D,3,FALSE)),"PROBLEMAAAAAA",VLOOKUP(E321,Nombres!A:D,3,FALSE))</f>
        <v>Villarreal</v>
      </c>
      <c r="E321" t="s">
        <v>223</v>
      </c>
      <c r="F321" s="1">
        <v>45889</v>
      </c>
      <c r="G321" t="s">
        <v>31</v>
      </c>
      <c r="H321" t="s">
        <v>6</v>
      </c>
      <c r="I321" s="2">
        <v>13815509</v>
      </c>
    </row>
    <row r="322" spans="1:9" x14ac:dyDescent="0.25">
      <c r="A322">
        <v>321</v>
      </c>
      <c r="B322" t="str">
        <f>IF(ISERROR(VLOOKUP(E322,Nombres!A:D,2,FALSE)),"PROBLEMAAAAAA",VLOOKUP(E322,Nombres!A:D,2,FALSE))</f>
        <v>C. Álvarez</v>
      </c>
      <c r="C322" t="str">
        <f>IF(ISERROR(VLOOKUP(E322,Nombres!A:D,4,FALSE)),"PROBLEMAAAAAA",VLOOKUP(E322,Nombres!A:D,4,FALSE))</f>
        <v>MED</v>
      </c>
      <c r="D322" t="str">
        <f>IF(ISERROR(VLOOKUP(E322,Nombres!A:D,3,FALSE)),"PROBLEMAAAAAA",VLOOKUP(E322,Nombres!A:D,3,FALSE))</f>
        <v>Levante</v>
      </c>
      <c r="E322" t="s">
        <v>331</v>
      </c>
      <c r="F322" s="1">
        <v>45890</v>
      </c>
      <c r="G322" t="s">
        <v>12</v>
      </c>
      <c r="H322" t="s">
        <v>31</v>
      </c>
      <c r="I322" s="2">
        <v>2611001</v>
      </c>
    </row>
    <row r="323" spans="1:9" x14ac:dyDescent="0.25">
      <c r="A323">
        <v>322</v>
      </c>
      <c r="B323" t="str">
        <f>IF(ISERROR(VLOOKUP(E323,Nombres!A:D,2,FALSE)),"PROBLEMAAAAAA",VLOOKUP(E323,Nombres!A:D,2,FALSE))</f>
        <v>Jorge Cabello</v>
      </c>
      <c r="C323" t="str">
        <f>IF(ISERROR(VLOOKUP(E323,Nombres!A:D,4,FALSE)),"PROBLEMAAAAAA",VLOOKUP(E323,Nombres!A:D,4,FALSE))</f>
        <v>DEF</v>
      </c>
      <c r="D323" t="str">
        <f>IF(ISERROR(VLOOKUP(E323,Nombres!A:D,3,FALSE)),"PROBLEMAAAAAA",VLOOKUP(E323,Nombres!A:D,3,FALSE))</f>
        <v>Levante</v>
      </c>
      <c r="E323" t="s">
        <v>256</v>
      </c>
      <c r="F323" s="1">
        <v>45890</v>
      </c>
      <c r="G323" t="s">
        <v>14</v>
      </c>
      <c r="H323" t="s">
        <v>31</v>
      </c>
      <c r="I323" s="2">
        <v>1230000</v>
      </c>
    </row>
    <row r="324" spans="1:9" x14ac:dyDescent="0.25">
      <c r="A324">
        <v>323</v>
      </c>
      <c r="B324" t="str">
        <f>IF(ISERROR(VLOOKUP(E324,Nombres!A:D,2,FALSE)),"PROBLEMAAAAAA",VLOOKUP(E324,Nombres!A:D,2,FALSE))</f>
        <v>Soria</v>
      </c>
      <c r="C324" t="str">
        <f>IF(ISERROR(VLOOKUP(E324,Nombres!A:D,4,FALSE)),"PROBLEMAAAAAA",VLOOKUP(E324,Nombres!A:D,4,FALSE))</f>
        <v>POR</v>
      </c>
      <c r="D324" t="str">
        <f>IF(ISERROR(VLOOKUP(E324,Nombres!A:D,3,FALSE)),"PROBLEMAAAAAA",VLOOKUP(E324,Nombres!A:D,3,FALSE))</f>
        <v>Getafe</v>
      </c>
      <c r="E324" t="s">
        <v>255</v>
      </c>
      <c r="F324" s="1">
        <v>45890</v>
      </c>
      <c r="G324" t="s">
        <v>12</v>
      </c>
      <c r="H324" t="s">
        <v>31</v>
      </c>
      <c r="I324" s="2">
        <v>27100010</v>
      </c>
    </row>
    <row r="325" spans="1:9" x14ac:dyDescent="0.25">
      <c r="A325">
        <v>324</v>
      </c>
      <c r="B325" t="str">
        <f>IF(ISERROR(VLOOKUP(E325,Nombres!A:D,2,FALSE)),"PROBLEMAAAAAA",VLOOKUP(E325,Nombres!A:D,2,FALSE))</f>
        <v>Krejci</v>
      </c>
      <c r="C325" t="str">
        <f>IF(ISERROR(VLOOKUP(E325,Nombres!A:D,4,FALSE)),"PROBLEMAAAAAA",VLOOKUP(E325,Nombres!A:D,4,FALSE))</f>
        <v>DEF</v>
      </c>
      <c r="D325" t="str">
        <f>IF(ISERROR(VLOOKUP(E325,Nombres!A:D,3,FALSE)),"PROBLEMAAAAAA",VLOOKUP(E325,Nombres!A:D,3,FALSE))</f>
        <v>Girona</v>
      </c>
      <c r="E325" t="s">
        <v>98</v>
      </c>
      <c r="F325" s="1">
        <v>45890</v>
      </c>
      <c r="G325" t="s">
        <v>31</v>
      </c>
      <c r="H325" t="s">
        <v>7</v>
      </c>
      <c r="I325" s="2">
        <v>6547216</v>
      </c>
    </row>
    <row r="326" spans="1:9" x14ac:dyDescent="0.25">
      <c r="A326">
        <v>325</v>
      </c>
      <c r="B326" t="str">
        <f>IF(ISERROR(VLOOKUP(E326,Nombres!A:D,2,FALSE)),"PROBLEMAAAAAA",VLOOKUP(E326,Nombres!A:D,2,FALSE))</f>
        <v>Sergio Mestre</v>
      </c>
      <c r="C326" t="str">
        <f>IF(ISERROR(VLOOKUP(E326,Nombres!A:D,4,FALSE)),"PROBLEMAAAAAA",VLOOKUP(E326,Nombres!A:D,4,FALSE))</f>
        <v>POR</v>
      </c>
      <c r="D326" t="str">
        <f>IF(ISERROR(VLOOKUP(E326,Nombres!A:D,3,FALSE)),"PROBLEMAAAAAA",VLOOKUP(E326,Nombres!A:D,3,FALSE))</f>
        <v>Real Madrid</v>
      </c>
      <c r="E326" t="s">
        <v>258</v>
      </c>
      <c r="F326" s="1">
        <v>45890</v>
      </c>
      <c r="G326" t="s">
        <v>13</v>
      </c>
      <c r="H326" t="s">
        <v>31</v>
      </c>
      <c r="I326" s="2">
        <v>491779</v>
      </c>
    </row>
    <row r="327" spans="1:9" x14ac:dyDescent="0.25">
      <c r="A327">
        <v>326</v>
      </c>
      <c r="B327" t="str">
        <f>IF(ISERROR(VLOOKUP(E327,Nombres!A:D,2,FALSE)),"PROBLEMAAAAAA",VLOOKUP(E327,Nombres!A:D,2,FALSE))</f>
        <v>Pablo Martínez</v>
      </c>
      <c r="C327" t="str">
        <f>IF(ISERROR(VLOOKUP(E327,Nombres!A:D,4,FALSE)),"PROBLEMAAAAAA",VLOOKUP(E327,Nombres!A:D,4,FALSE))</f>
        <v>MED</v>
      </c>
      <c r="D327" t="str">
        <f>IF(ISERROR(VLOOKUP(E327,Nombres!A:D,3,FALSE)),"PROBLEMAAAAAA",VLOOKUP(E327,Nombres!A:D,3,FALSE))</f>
        <v>Levante</v>
      </c>
      <c r="E327" t="s">
        <v>263</v>
      </c>
      <c r="F327" s="1">
        <v>45890</v>
      </c>
      <c r="G327" t="s">
        <v>14</v>
      </c>
      <c r="H327" t="s">
        <v>31</v>
      </c>
      <c r="I327" s="2">
        <v>3000010</v>
      </c>
    </row>
    <row r="328" spans="1:9" x14ac:dyDescent="0.25">
      <c r="A328">
        <v>327</v>
      </c>
      <c r="B328" t="str">
        <f>IF(ISERROR(VLOOKUP(E328,Nombres!A:D,2,FALSE)),"PROBLEMAAAAAA",VLOOKUP(E328,Nombres!A:D,2,FALSE))</f>
        <v>Solís</v>
      </c>
      <c r="C328" t="str">
        <f>IF(ISERROR(VLOOKUP(E328,Nombres!A:D,4,FALSE)),"PROBLEMAAAAAA",VLOOKUP(E328,Nombres!A:D,4,FALSE))</f>
        <v>MED</v>
      </c>
      <c r="D328" t="str">
        <f>IF(ISERROR(VLOOKUP(E328,Nombres!A:D,3,FALSE)),"PROBLEMAAAAAA",VLOOKUP(E328,Nombres!A:D,3,FALSE))</f>
        <v>Girona</v>
      </c>
      <c r="E328" t="s">
        <v>259</v>
      </c>
      <c r="F328" s="1">
        <v>45890</v>
      </c>
      <c r="G328" t="s">
        <v>9</v>
      </c>
      <c r="H328" t="s">
        <v>31</v>
      </c>
      <c r="I328" s="2">
        <v>535070</v>
      </c>
    </row>
    <row r="329" spans="1:9" x14ac:dyDescent="0.25">
      <c r="A329">
        <v>328</v>
      </c>
      <c r="B329" t="str">
        <f>IF(ISERROR(VLOOKUP(E329,Nombres!A:D,2,FALSE)),"PROBLEMAAAAAA",VLOOKUP(E329,Nombres!A:D,2,FALSE))</f>
        <v>Balliu</v>
      </c>
      <c r="C329" t="str">
        <f>IF(ISERROR(VLOOKUP(E329,Nombres!A:D,4,FALSE)),"PROBLEMAAAAAA",VLOOKUP(E329,Nombres!A:D,4,FALSE))</f>
        <v>DEF</v>
      </c>
      <c r="D329" t="str">
        <f>IF(ISERROR(VLOOKUP(E329,Nombres!A:D,3,FALSE)),"PROBLEMAAAAAA",VLOOKUP(E329,Nombres!A:D,3,FALSE))</f>
        <v>Rayo</v>
      </c>
      <c r="E329" t="s">
        <v>210</v>
      </c>
      <c r="F329" s="1">
        <v>45891</v>
      </c>
      <c r="G329" t="s">
        <v>31</v>
      </c>
      <c r="H329" t="s">
        <v>6</v>
      </c>
      <c r="I329" s="2">
        <v>3427255</v>
      </c>
    </row>
    <row r="330" spans="1:9" x14ac:dyDescent="0.25">
      <c r="A330">
        <v>329</v>
      </c>
      <c r="B330" t="str">
        <f>IF(ISERROR(VLOOKUP(E330,Nombres!A:D,2,FALSE)),"PROBLEMAAAAAA",VLOOKUP(E330,Nombres!A:D,2,FALSE))</f>
        <v>Dituro</v>
      </c>
      <c r="C330" t="str">
        <f>IF(ISERROR(VLOOKUP(E330,Nombres!A:D,4,FALSE)),"PROBLEMAAAAAA",VLOOKUP(E330,Nombres!A:D,4,FALSE))</f>
        <v>POR</v>
      </c>
      <c r="D330" t="str">
        <f>IF(ISERROR(VLOOKUP(E330,Nombres!A:D,3,FALSE)),"PROBLEMAAAAAA",VLOOKUP(E330,Nombres!A:D,3,FALSE))</f>
        <v>Elche</v>
      </c>
      <c r="E330" t="s">
        <v>260</v>
      </c>
      <c r="F330" s="1">
        <v>45891</v>
      </c>
      <c r="G330" t="s">
        <v>13</v>
      </c>
      <c r="H330" t="s">
        <v>31</v>
      </c>
      <c r="I330" s="2">
        <v>3012293</v>
      </c>
    </row>
    <row r="331" spans="1:9" x14ac:dyDescent="0.25">
      <c r="A331">
        <v>330</v>
      </c>
      <c r="B331" t="str">
        <f>IF(ISERROR(VLOOKUP(E331,Nombres!A:D,2,FALSE)),"PROBLEMAAAAAA",VLOOKUP(E331,Nombres!A:D,2,FALSE))</f>
        <v>Moldovan</v>
      </c>
      <c r="C331" t="str">
        <f>IF(ISERROR(VLOOKUP(E331,Nombres!A:D,4,FALSE)),"PROBLEMAAAAAA",VLOOKUP(E331,Nombres!A:D,4,FALSE))</f>
        <v>POR</v>
      </c>
      <c r="D331" t="str">
        <f>IF(ISERROR(VLOOKUP(E331,Nombres!A:D,3,FALSE)),"PROBLEMAAAAAA",VLOOKUP(E331,Nombres!A:D,3,FALSE))</f>
        <v>Real Oviedo</v>
      </c>
      <c r="E331" t="s">
        <v>250</v>
      </c>
      <c r="F331" s="1">
        <v>45892</v>
      </c>
      <c r="G331" t="s">
        <v>31</v>
      </c>
      <c r="H331" t="s">
        <v>9</v>
      </c>
      <c r="I331" s="2">
        <v>1594158</v>
      </c>
    </row>
    <row r="332" spans="1:9" x14ac:dyDescent="0.25">
      <c r="A332">
        <v>331</v>
      </c>
      <c r="B332" t="str">
        <f>IF(ISERROR(VLOOKUP(E332,Nombres!A:D,2,FALSE)),"PROBLEMAAAAAA",VLOOKUP(E332,Nombres!A:D,2,FALSE))</f>
        <v>Nyland</v>
      </c>
      <c r="C332" t="str">
        <f>IF(ISERROR(VLOOKUP(E332,Nombres!A:D,4,FALSE)),"PROBLEMAAAAAA",VLOOKUP(E332,Nombres!A:D,4,FALSE))</f>
        <v>POR</v>
      </c>
      <c r="D332" t="str">
        <f>IF(ISERROR(VLOOKUP(E332,Nombres!A:D,3,FALSE)),"PROBLEMAAAAAA",VLOOKUP(E332,Nombres!A:D,3,FALSE))</f>
        <v>Sevilla</v>
      </c>
      <c r="E332" t="s">
        <v>149</v>
      </c>
      <c r="F332" s="1">
        <v>45892</v>
      </c>
      <c r="G332" t="s">
        <v>9</v>
      </c>
      <c r="H332" t="s">
        <v>31</v>
      </c>
      <c r="I332" s="2">
        <v>6235250</v>
      </c>
    </row>
    <row r="333" spans="1:9" x14ac:dyDescent="0.25">
      <c r="A333">
        <v>332</v>
      </c>
      <c r="B333" t="str">
        <f>IF(ISERROR(VLOOKUP(E333,Nombres!A:D,2,FALSE)),"PROBLEMAAAAAA",VLOOKUP(E333,Nombres!A:D,2,FALSE))</f>
        <v>Balde</v>
      </c>
      <c r="C333" t="str">
        <f>IF(ISERROR(VLOOKUP(E333,Nombres!A:D,4,FALSE)),"PROBLEMAAAAAA",VLOOKUP(E333,Nombres!A:D,4,FALSE))</f>
        <v>DEF</v>
      </c>
      <c r="D333" t="str">
        <f>IF(ISERROR(VLOOKUP(E333,Nombres!A:D,3,FALSE)),"PROBLEMAAAAAA",VLOOKUP(E333,Nombres!A:D,3,FALSE))</f>
        <v>Barcelona</v>
      </c>
      <c r="E333" t="s">
        <v>224</v>
      </c>
      <c r="F333" s="1">
        <v>45893</v>
      </c>
      <c r="G333" t="s">
        <v>31</v>
      </c>
      <c r="H333" t="s">
        <v>10</v>
      </c>
      <c r="I333" s="2">
        <v>68490133</v>
      </c>
    </row>
    <row r="334" spans="1:9" x14ac:dyDescent="0.25">
      <c r="A334">
        <v>333</v>
      </c>
      <c r="B334" t="str">
        <f>IF(ISERROR(VLOOKUP(E334,Nombres!A:D,2,FALSE)),"PROBLEMAAAAAA",VLOOKUP(E334,Nombres!A:D,2,FALSE))</f>
        <v>Barrenetxea</v>
      </c>
      <c r="C334" t="str">
        <f>IF(ISERROR(VLOOKUP(E334,Nombres!A:D,4,FALSE)),"PROBLEMAAAAAA",VLOOKUP(E334,Nombres!A:D,4,FALSE))</f>
        <v>MED</v>
      </c>
      <c r="D334" t="str">
        <f>IF(ISERROR(VLOOKUP(E334,Nombres!A:D,3,FALSE)),"PROBLEMAAAAAA",VLOOKUP(E334,Nombres!A:D,3,FALSE))</f>
        <v>Real Sociedad</v>
      </c>
      <c r="E334" t="s">
        <v>47</v>
      </c>
      <c r="F334" s="1">
        <v>45893</v>
      </c>
      <c r="G334" t="s">
        <v>6</v>
      </c>
      <c r="H334" t="s">
        <v>14</v>
      </c>
      <c r="I334" s="2">
        <v>5678911</v>
      </c>
    </row>
    <row r="335" spans="1:9" x14ac:dyDescent="0.25">
      <c r="A335">
        <v>334</v>
      </c>
      <c r="B335" t="str">
        <f>IF(ISERROR(VLOOKUP(E335,Nombres!A:D,2,FALSE)),"PROBLEMAAAAAA",VLOOKUP(E335,Nombres!A:D,2,FALSE))</f>
        <v>Brahim</v>
      </c>
      <c r="C335" t="str">
        <f>IF(ISERROR(VLOOKUP(E335,Nombres!A:D,4,FALSE)),"PROBLEMAAAAAA",VLOOKUP(E335,Nombres!A:D,4,FALSE))</f>
        <v>MED</v>
      </c>
      <c r="D335" t="str">
        <f>IF(ISERROR(VLOOKUP(E335,Nombres!A:D,3,FALSE)),"PROBLEMAAAAAA",VLOOKUP(E335,Nombres!A:D,3,FALSE))</f>
        <v>Real Madrid</v>
      </c>
      <c r="E335" t="s">
        <v>62</v>
      </c>
      <c r="F335" s="1">
        <v>45893</v>
      </c>
      <c r="G335" t="s">
        <v>12</v>
      </c>
      <c r="H335" t="s">
        <v>31</v>
      </c>
      <c r="I335" s="2">
        <v>17508953</v>
      </c>
    </row>
    <row r="336" spans="1:9" x14ac:dyDescent="0.25">
      <c r="A336">
        <v>335</v>
      </c>
      <c r="B336" t="str">
        <f>IF(ISERROR(VLOOKUP(E336,Nombres!A:D,2,FALSE)),"PROBLEMAAAAAA",VLOOKUP(E336,Nombres!A:D,2,FALSE))</f>
        <v>Gayà</v>
      </c>
      <c r="C336" t="str">
        <f>IF(ISERROR(VLOOKUP(E336,Nombres!A:D,4,FALSE)),"PROBLEMAAAAAA",VLOOKUP(E336,Nombres!A:D,4,FALSE))</f>
        <v>DEF</v>
      </c>
      <c r="D336" t="str">
        <f>IF(ISERROR(VLOOKUP(E336,Nombres!A:D,3,FALSE)),"PROBLEMAAAAAA",VLOOKUP(E336,Nombres!A:D,3,FALSE))</f>
        <v>Valencia</v>
      </c>
      <c r="E336" t="s">
        <v>180</v>
      </c>
      <c r="F336" s="1">
        <v>45893</v>
      </c>
      <c r="G336" t="s">
        <v>31</v>
      </c>
      <c r="H336" t="s">
        <v>14</v>
      </c>
      <c r="I336" s="2">
        <v>12638922</v>
      </c>
    </row>
    <row r="337" spans="1:9" x14ac:dyDescent="0.25">
      <c r="A337">
        <v>336</v>
      </c>
      <c r="B337" t="str">
        <f>IF(ISERROR(VLOOKUP(E337,Nombres!A:D,2,FALSE)),"PROBLEMAAAAAA",VLOOKUP(E337,Nombres!A:D,2,FALSE))</f>
        <v>Juan Cruz</v>
      </c>
      <c r="C337" t="str">
        <f>IF(ISERROR(VLOOKUP(E337,Nombres!A:D,4,FALSE)),"PROBLEMAAAAAA",VLOOKUP(E337,Nombres!A:D,4,FALSE))</f>
        <v>DEF</v>
      </c>
      <c r="D337" t="str">
        <f>IF(ISERROR(VLOOKUP(E337,Nombres!A:D,3,FALSE)),"PROBLEMAAAAAA",VLOOKUP(E337,Nombres!A:D,3,FALSE))</f>
        <v>Osasuna</v>
      </c>
      <c r="E337" t="s">
        <v>262</v>
      </c>
      <c r="F337" s="1">
        <v>45893</v>
      </c>
      <c r="G337" t="s">
        <v>8</v>
      </c>
      <c r="H337" t="s">
        <v>31</v>
      </c>
      <c r="I337" s="2">
        <v>1567483</v>
      </c>
    </row>
    <row r="338" spans="1:9" x14ac:dyDescent="0.25">
      <c r="A338">
        <v>337</v>
      </c>
      <c r="B338" t="str">
        <f>IF(ISERROR(VLOOKUP(E338,Nombres!A:D,2,FALSE)),"PROBLEMAAAAAA",VLOOKUP(E338,Nombres!A:D,2,FALSE))</f>
        <v>Sergio Mestre</v>
      </c>
      <c r="C338" t="str">
        <f>IF(ISERROR(VLOOKUP(E338,Nombres!A:D,4,FALSE)),"PROBLEMAAAAAA",VLOOKUP(E338,Nombres!A:D,4,FALSE))</f>
        <v>POR</v>
      </c>
      <c r="D338" t="str">
        <f>IF(ISERROR(VLOOKUP(E338,Nombres!A:D,3,FALSE)),"PROBLEMAAAAAA",VLOOKUP(E338,Nombres!A:D,3,FALSE))</f>
        <v>Real Madrid</v>
      </c>
      <c r="E338" t="s">
        <v>258</v>
      </c>
      <c r="F338" s="1">
        <v>45893</v>
      </c>
      <c r="G338" t="s">
        <v>31</v>
      </c>
      <c r="H338" t="s">
        <v>13</v>
      </c>
      <c r="I338" s="2">
        <v>492829</v>
      </c>
    </row>
    <row r="339" spans="1:9" x14ac:dyDescent="0.25">
      <c r="A339">
        <v>502</v>
      </c>
      <c r="B339" t="str">
        <f>IF(ISERROR(VLOOKUP(E339,Nombres!A:D,2,FALSE)),"PROBLEMAAAAAA",VLOOKUP(E339,Nombres!A:D,2,FALSE))</f>
        <v>Affengruber</v>
      </c>
      <c r="C339" t="str">
        <f>IF(ISERROR(VLOOKUP(E339,Nombres!A:D,4,FALSE)),"PROBLEMAAAAAA",VLOOKUP(E339,Nombres!A:D,4,FALSE))</f>
        <v>DEF</v>
      </c>
      <c r="D339" t="str">
        <f>IF(ISERROR(VLOOKUP(E339,Nombres!A:D,3,FALSE)),"PROBLEMAAAAAA",VLOOKUP(E339,Nombres!A:D,3,FALSE))</f>
        <v>Elche</v>
      </c>
      <c r="E339" t="s">
        <v>233</v>
      </c>
      <c r="F339" s="1">
        <v>45912</v>
      </c>
      <c r="G339" t="s">
        <v>12</v>
      </c>
      <c r="H339" t="s">
        <v>13</v>
      </c>
      <c r="I339" s="2">
        <v>15365462</v>
      </c>
    </row>
    <row r="340" spans="1:9" x14ac:dyDescent="0.25">
      <c r="A340">
        <v>339</v>
      </c>
      <c r="B340" t="str">
        <f>IF(ISERROR(VLOOKUP(E340,Nombres!A:D,2,FALSE)),"PROBLEMAAAAAA",VLOOKUP(E340,Nombres!A:D,2,FALSE))</f>
        <v>Viñas</v>
      </c>
      <c r="C340" t="str">
        <f>IF(ISERROR(VLOOKUP(E340,Nombres!A:D,4,FALSE)),"PROBLEMAAAAAA",VLOOKUP(E340,Nombres!A:D,4,FALSE))</f>
        <v>DEL</v>
      </c>
      <c r="D340" t="str">
        <f>IF(ISERROR(VLOOKUP(E340,Nombres!A:D,3,FALSE)),"PROBLEMAAAAAA",VLOOKUP(E340,Nombres!A:D,3,FALSE))</f>
        <v>Real Oviedo</v>
      </c>
      <c r="E340" t="s">
        <v>261</v>
      </c>
      <c r="F340" s="1">
        <v>45893</v>
      </c>
      <c r="G340" t="s">
        <v>8</v>
      </c>
      <c r="H340" t="s">
        <v>31</v>
      </c>
      <c r="I340" s="2">
        <v>3453698</v>
      </c>
    </row>
    <row r="341" spans="1:9" x14ac:dyDescent="0.25">
      <c r="A341">
        <v>340</v>
      </c>
      <c r="B341" t="str">
        <f>IF(ISERROR(VLOOKUP(E341,Nombres!A:D,2,FALSE)),"PROBLEMAAAAAA",VLOOKUP(E341,Nombres!A:D,2,FALSE))</f>
        <v>Aramburu</v>
      </c>
      <c r="C341" t="str">
        <f>IF(ISERROR(VLOOKUP(E341,Nombres!A:D,4,FALSE)),"PROBLEMAAAAAA",VLOOKUP(E341,Nombres!A:D,4,FALSE))</f>
        <v>DEF</v>
      </c>
      <c r="D341" t="str">
        <f>IF(ISERROR(VLOOKUP(E341,Nombres!A:D,3,FALSE)),"PROBLEMAAAAAA",VLOOKUP(E341,Nombres!A:D,3,FALSE))</f>
        <v>Real Sociedad</v>
      </c>
      <c r="E341" t="s">
        <v>241</v>
      </c>
      <c r="F341" s="1">
        <v>45894</v>
      </c>
      <c r="G341" t="s">
        <v>31</v>
      </c>
      <c r="H341" t="s">
        <v>12</v>
      </c>
      <c r="I341" s="2">
        <v>7052988</v>
      </c>
    </row>
    <row r="342" spans="1:9" x14ac:dyDescent="0.25">
      <c r="A342">
        <v>341</v>
      </c>
      <c r="B342" t="str">
        <f>IF(ISERROR(VLOOKUP(E342,Nombres!A:D,2,FALSE)),"PROBLEMAAAAAA",VLOOKUP(E342,Nombres!A:D,2,FALSE))</f>
        <v>Asprilla</v>
      </c>
      <c r="C342" t="str">
        <f>IF(ISERROR(VLOOKUP(E342,Nombres!A:D,4,FALSE)),"PROBLEMAAAAAA",VLOOKUP(E342,Nombres!A:D,4,FALSE))</f>
        <v>DEL</v>
      </c>
      <c r="D342" t="str">
        <f>IF(ISERROR(VLOOKUP(E342,Nombres!A:D,3,FALSE)),"PROBLEMAAAAAA",VLOOKUP(E342,Nombres!A:D,3,FALSE))</f>
        <v>Girona</v>
      </c>
      <c r="E342" t="s">
        <v>168</v>
      </c>
      <c r="F342" s="1">
        <v>45894</v>
      </c>
      <c r="G342" t="s">
        <v>31</v>
      </c>
      <c r="H342" t="s">
        <v>12</v>
      </c>
      <c r="I342" s="2">
        <v>3890664</v>
      </c>
    </row>
    <row r="343" spans="1:9" x14ac:dyDescent="0.25">
      <c r="A343">
        <v>342</v>
      </c>
      <c r="B343" t="str">
        <f>IF(ISERROR(VLOOKUP(E343,Nombres!A:D,2,FALSE)),"PROBLEMAAAAAA",VLOOKUP(E343,Nombres!A:D,2,FALSE))</f>
        <v>Iván Romero</v>
      </c>
      <c r="C343" t="str">
        <f>IF(ISERROR(VLOOKUP(E343,Nombres!A:D,4,FALSE)),"PROBLEMAAAAAA",VLOOKUP(E343,Nombres!A:D,4,FALSE))</f>
        <v>DEL</v>
      </c>
      <c r="D343" t="str">
        <f>IF(ISERROR(VLOOKUP(E343,Nombres!A:D,3,FALSE)),"PROBLEMAAAAAA",VLOOKUP(E343,Nombres!A:D,3,FALSE))</f>
        <v>Levante</v>
      </c>
      <c r="E343" t="s">
        <v>281</v>
      </c>
      <c r="F343" s="1">
        <v>45894</v>
      </c>
      <c r="G343" t="s">
        <v>10</v>
      </c>
      <c r="H343" t="s">
        <v>31</v>
      </c>
      <c r="I343" s="2">
        <v>5987878</v>
      </c>
    </row>
    <row r="344" spans="1:9" x14ac:dyDescent="0.25">
      <c r="A344">
        <v>343</v>
      </c>
      <c r="B344" t="str">
        <f>IF(ISERROR(VLOOKUP(E344,Nombres!A:D,2,FALSE)),"PROBLEMAAAAAA",VLOOKUP(E344,Nombres!A:D,2,FALSE))</f>
        <v>Yamal</v>
      </c>
      <c r="C344" t="str">
        <f>IF(ISERROR(VLOOKUP(E344,Nombres!A:D,4,FALSE)),"PROBLEMAAAAAA",VLOOKUP(E344,Nombres!A:D,4,FALSE))</f>
        <v>DEL</v>
      </c>
      <c r="D344" t="str">
        <f>IF(ISERROR(VLOOKUP(E344,Nombres!A:D,3,FALSE)),"PROBLEMAAAAAA",VLOOKUP(E344,Nombres!A:D,3,FALSE))</f>
        <v>Barcelona</v>
      </c>
      <c r="E344" t="s">
        <v>267</v>
      </c>
      <c r="F344" s="1">
        <v>45894</v>
      </c>
      <c r="G344" t="s">
        <v>8</v>
      </c>
      <c r="H344" t="s">
        <v>31</v>
      </c>
      <c r="I344" s="2">
        <v>156888888</v>
      </c>
    </row>
    <row r="345" spans="1:9" x14ac:dyDescent="0.25">
      <c r="A345">
        <v>523</v>
      </c>
      <c r="B345" t="str">
        <f>IF(ISERROR(VLOOKUP(E345,Nombres!A:D,2,FALSE)),"PROBLEMAAAAAA",VLOOKUP(E345,Nombres!A:D,2,FALSE))</f>
        <v>Batalla</v>
      </c>
      <c r="C345" t="str">
        <f>IF(ISERROR(VLOOKUP(E345,Nombres!A:D,4,FALSE)),"PROBLEMAAAAAA",VLOOKUP(E345,Nombres!A:D,4,FALSE))</f>
        <v>POR</v>
      </c>
      <c r="D345" t="str">
        <f>IF(ISERROR(VLOOKUP(E345,Nombres!A:D,3,FALSE)),"PROBLEMAAAAAA",VLOOKUP(E345,Nombres!A:D,3,FALSE))</f>
        <v>Rayo</v>
      </c>
      <c r="E345" t="s">
        <v>171</v>
      </c>
      <c r="F345" s="1">
        <v>45915</v>
      </c>
      <c r="G345" t="s">
        <v>11</v>
      </c>
      <c r="H345" t="s">
        <v>13</v>
      </c>
      <c r="I345" s="2">
        <v>15113096</v>
      </c>
    </row>
    <row r="346" spans="1:9" x14ac:dyDescent="0.25">
      <c r="A346">
        <v>345</v>
      </c>
      <c r="B346" t="str">
        <f>IF(ISERROR(VLOOKUP(E346,Nombres!A:D,2,FALSE)),"PROBLEMAAAAAA",VLOOKUP(E346,Nombres!A:D,2,FALSE))</f>
        <v>Pablo García</v>
      </c>
      <c r="C346" t="str">
        <f>IF(ISERROR(VLOOKUP(E346,Nombres!A:D,4,FALSE)),"PROBLEMAAAAAA",VLOOKUP(E346,Nombres!A:D,4,FALSE))</f>
        <v>DEL</v>
      </c>
      <c r="D346" t="str">
        <f>IF(ISERROR(VLOOKUP(E346,Nombres!A:D,3,FALSE)),"PROBLEMAAAAAA",VLOOKUP(E346,Nombres!A:D,3,FALSE))</f>
        <v>Betis</v>
      </c>
      <c r="E346" t="s">
        <v>265</v>
      </c>
      <c r="F346" s="1">
        <v>45894</v>
      </c>
      <c r="G346" t="s">
        <v>9</v>
      </c>
      <c r="H346" t="s">
        <v>31</v>
      </c>
      <c r="I346" s="2">
        <v>4021000</v>
      </c>
    </row>
    <row r="347" spans="1:9" x14ac:dyDescent="0.25">
      <c r="A347">
        <v>346</v>
      </c>
      <c r="B347" t="str">
        <f>IF(ISERROR(VLOOKUP(E347,Nombres!A:D,2,FALSE)),"PROBLEMAAAAAA",VLOOKUP(E347,Nombres!A:D,2,FALSE))</f>
        <v>Parejo</v>
      </c>
      <c r="C347" t="str">
        <f>IF(ISERROR(VLOOKUP(E347,Nombres!A:D,4,FALSE)),"PROBLEMAAAAAA",VLOOKUP(E347,Nombres!A:D,4,FALSE))</f>
        <v>MED</v>
      </c>
      <c r="D347" t="str">
        <f>IF(ISERROR(VLOOKUP(E347,Nombres!A:D,3,FALSE)),"PROBLEMAAAAAA",VLOOKUP(E347,Nombres!A:D,3,FALSE))</f>
        <v>Villarreal</v>
      </c>
      <c r="E347" t="s">
        <v>40</v>
      </c>
      <c r="F347" s="1">
        <v>45894</v>
      </c>
      <c r="G347" t="s">
        <v>31</v>
      </c>
      <c r="H347" t="s">
        <v>8</v>
      </c>
      <c r="I347" s="2">
        <v>12353847</v>
      </c>
    </row>
    <row r="348" spans="1:9" x14ac:dyDescent="0.25">
      <c r="A348">
        <v>347</v>
      </c>
      <c r="B348" t="str">
        <f>IF(ISERROR(VLOOKUP(E348,Nombres!A:D,2,FALSE)),"PROBLEMAAAAAA",VLOOKUP(E348,Nombres!A:D,2,FALSE))</f>
        <v>Pau López</v>
      </c>
      <c r="C348" t="str">
        <f>IF(ISERROR(VLOOKUP(E348,Nombres!A:D,4,FALSE)),"PROBLEMAAAAAA",VLOOKUP(E348,Nombres!A:D,4,FALSE))</f>
        <v>POR</v>
      </c>
      <c r="D348" t="str">
        <f>IF(ISERROR(VLOOKUP(E348,Nombres!A:D,3,FALSE)),"PROBLEMAAAAAA",VLOOKUP(E348,Nombres!A:D,3,FALSE))</f>
        <v>Betis</v>
      </c>
      <c r="E348" t="s">
        <v>266</v>
      </c>
      <c r="F348" s="1">
        <v>45894</v>
      </c>
      <c r="G348" t="s">
        <v>8</v>
      </c>
      <c r="H348" t="s">
        <v>31</v>
      </c>
      <c r="I348" s="2">
        <v>14758698</v>
      </c>
    </row>
    <row r="349" spans="1:9" x14ac:dyDescent="0.25">
      <c r="A349">
        <v>348</v>
      </c>
      <c r="B349" t="str">
        <f>IF(ISERROR(VLOOKUP(E349,Nombres!A:D,2,FALSE)),"PROBLEMAAAAAA",VLOOKUP(E349,Nombres!A:D,2,FALSE))</f>
        <v>Pepelu</v>
      </c>
      <c r="C349" t="str">
        <f>IF(ISERROR(VLOOKUP(E349,Nombres!A:D,4,FALSE)),"PROBLEMAAAAAA",VLOOKUP(E349,Nombres!A:D,4,FALSE))</f>
        <v>MED</v>
      </c>
      <c r="D349" t="str">
        <f>IF(ISERROR(VLOOKUP(E349,Nombres!A:D,3,FALSE)),"PROBLEMAAAAAA",VLOOKUP(E349,Nombres!A:D,3,FALSE))</f>
        <v>Valencia</v>
      </c>
      <c r="E349" t="s">
        <v>157</v>
      </c>
      <c r="F349" s="1">
        <v>45894</v>
      </c>
      <c r="G349" t="s">
        <v>31</v>
      </c>
      <c r="H349" t="s">
        <v>11</v>
      </c>
      <c r="I349" s="2">
        <v>13159584</v>
      </c>
    </row>
    <row r="350" spans="1:9" x14ac:dyDescent="0.25">
      <c r="A350">
        <v>349</v>
      </c>
      <c r="B350" t="str">
        <f>IF(ISERROR(VLOOKUP(E350,Nombres!A:D,2,FALSE)),"PROBLEMAAAAAA",VLOOKUP(E350,Nombres!A:D,2,FALSE))</f>
        <v>Raphinha</v>
      </c>
      <c r="C350" t="str">
        <f>IF(ISERROR(VLOOKUP(E350,Nombres!A:D,4,FALSE)),"PROBLEMAAAAAA",VLOOKUP(E350,Nombres!A:D,4,FALSE))</f>
        <v>DEL</v>
      </c>
      <c r="D350" t="str">
        <f>IF(ISERROR(VLOOKUP(E350,Nombres!A:D,3,FALSE)),"PROBLEMAAAAAA",VLOOKUP(E350,Nombres!A:D,3,FALSE))</f>
        <v>Barcelona</v>
      </c>
      <c r="E350" t="s">
        <v>212</v>
      </c>
      <c r="F350" s="1">
        <v>45894</v>
      </c>
      <c r="G350" t="s">
        <v>31</v>
      </c>
      <c r="H350" t="s">
        <v>11</v>
      </c>
      <c r="I350" s="2">
        <v>134340781</v>
      </c>
    </row>
    <row r="351" spans="1:9" x14ac:dyDescent="0.25">
      <c r="A351">
        <v>350</v>
      </c>
      <c r="B351" t="str">
        <f>IF(ISERROR(VLOOKUP(E351,Nombres!A:D,2,FALSE)),"PROBLEMAAAAAA",VLOOKUP(E351,Nombres!A:D,2,FALSE))</f>
        <v>Toni Martinez</v>
      </c>
      <c r="C351" t="str">
        <f>IF(ISERROR(VLOOKUP(E351,Nombres!A:D,4,FALSE)),"PROBLEMAAAAAA",VLOOKUP(E351,Nombres!A:D,4,FALSE))</f>
        <v>DEL</v>
      </c>
      <c r="D351" t="str">
        <f>IF(ISERROR(VLOOKUP(E351,Nombres!A:D,3,FALSE)),"PROBLEMAAAAAA",VLOOKUP(E351,Nombres!A:D,3,FALSE))</f>
        <v>Alavés</v>
      </c>
      <c r="E351" t="s">
        <v>264</v>
      </c>
      <c r="F351" s="1">
        <v>45894</v>
      </c>
      <c r="G351" t="s">
        <v>13</v>
      </c>
      <c r="H351" t="s">
        <v>31</v>
      </c>
      <c r="I351" s="2">
        <v>2352150</v>
      </c>
    </row>
    <row r="352" spans="1:9" x14ac:dyDescent="0.25">
      <c r="A352">
        <v>351</v>
      </c>
      <c r="B352" t="str">
        <f>IF(ISERROR(VLOOKUP(E352,Nombres!A:D,2,FALSE)),"PROBLEMAAAAAA",VLOOKUP(E352,Nombres!A:D,2,FALSE))</f>
        <v>Aleñá</v>
      </c>
      <c r="C352" t="str">
        <f>IF(ISERROR(VLOOKUP(E352,Nombres!A:D,4,FALSE)),"PROBLEMAAAAAA",VLOOKUP(E352,Nombres!A:D,4,FALSE))</f>
        <v>MED</v>
      </c>
      <c r="D352" t="str">
        <f>IF(ISERROR(VLOOKUP(E352,Nombres!A:D,3,FALSE)),"PROBLEMAAAAAA",VLOOKUP(E352,Nombres!A:D,3,FALSE))</f>
        <v>Alavés</v>
      </c>
      <c r="E352" t="s">
        <v>198</v>
      </c>
      <c r="F352" s="1">
        <v>45895</v>
      </c>
      <c r="G352" t="s">
        <v>768</v>
      </c>
      <c r="H352" t="s">
        <v>11</v>
      </c>
      <c r="I352" s="2">
        <v>6100000</v>
      </c>
    </row>
    <row r="353" spans="1:9" x14ac:dyDescent="0.25">
      <c r="A353">
        <v>352</v>
      </c>
      <c r="B353" t="str">
        <f>IF(ISERROR(VLOOKUP(E353,Nombres!A:D,2,FALSE)),"PROBLEMAAAAAA",VLOOKUP(E353,Nombres!A:D,2,FALSE))</f>
        <v>Güler</v>
      </c>
      <c r="C353" t="str">
        <f>IF(ISERROR(VLOOKUP(E353,Nombres!A:D,4,FALSE)),"PROBLEMAAAAAA",VLOOKUP(E353,Nombres!A:D,4,FALSE))</f>
        <v>MED</v>
      </c>
      <c r="D353" t="str">
        <f>IF(ISERROR(VLOOKUP(E353,Nombres!A:D,3,FALSE)),"PROBLEMAAAAAA",VLOOKUP(E353,Nombres!A:D,3,FALSE))</f>
        <v>Real Madrid</v>
      </c>
      <c r="E353" t="s">
        <v>38</v>
      </c>
      <c r="F353" s="1">
        <v>45895</v>
      </c>
      <c r="G353" t="s">
        <v>10</v>
      </c>
      <c r="H353" t="s">
        <v>12</v>
      </c>
      <c r="I353" s="2">
        <v>78717481</v>
      </c>
    </row>
    <row r="354" spans="1:9" x14ac:dyDescent="0.25">
      <c r="A354">
        <v>353</v>
      </c>
      <c r="B354" t="str">
        <f>IF(ISERROR(VLOOKUP(E354,Nombres!A:D,2,FALSE)),"PROBLEMAAAAAA",VLOOKUP(E354,Nombres!A:D,2,FALSE))</f>
        <v>Asano</v>
      </c>
      <c r="C354" t="str">
        <f>IF(ISERROR(VLOOKUP(E354,Nombres!A:D,4,FALSE)),"PROBLEMAAAAAA",VLOOKUP(E354,Nombres!A:D,4,FALSE))</f>
        <v>DEL</v>
      </c>
      <c r="D354" t="str">
        <f>IF(ISERROR(VLOOKUP(E354,Nombres!A:D,3,FALSE)),"PROBLEMAAAAAA",VLOOKUP(E354,Nombres!A:D,3,FALSE))</f>
        <v>Mallorca</v>
      </c>
      <c r="E354" t="s">
        <v>90</v>
      </c>
      <c r="F354" s="1">
        <v>45895</v>
      </c>
      <c r="G354" t="s">
        <v>31</v>
      </c>
      <c r="H354" t="s">
        <v>6</v>
      </c>
      <c r="I354" s="2">
        <v>2247494</v>
      </c>
    </row>
    <row r="355" spans="1:9" x14ac:dyDescent="0.25">
      <c r="A355">
        <v>354</v>
      </c>
      <c r="B355" t="str">
        <f>IF(ISERROR(VLOOKUP(E355,Nombres!A:D,2,FALSE)),"PROBLEMAAAAAA",VLOOKUP(E355,Nombres!A:D,2,FALSE))</f>
        <v>Bartra</v>
      </c>
      <c r="C355" t="str">
        <f>IF(ISERROR(VLOOKUP(E355,Nombres!A:D,4,FALSE)),"PROBLEMAAAAAA",VLOOKUP(E355,Nombres!A:D,4,FALSE))</f>
        <v>DEF</v>
      </c>
      <c r="D355" t="str">
        <f>IF(ISERROR(VLOOKUP(E355,Nombres!A:D,3,FALSE)),"PROBLEMAAAAAA",VLOOKUP(E355,Nombres!A:D,3,FALSE))</f>
        <v>Betis</v>
      </c>
      <c r="E355" t="s">
        <v>150</v>
      </c>
      <c r="F355" s="1">
        <v>45895</v>
      </c>
      <c r="G355" t="s">
        <v>768</v>
      </c>
      <c r="H355" t="s">
        <v>11</v>
      </c>
      <c r="I355" s="2">
        <v>27994786</v>
      </c>
    </row>
    <row r="356" spans="1:9" x14ac:dyDescent="0.25">
      <c r="A356">
        <v>355</v>
      </c>
      <c r="B356" t="str">
        <f>IF(ISERROR(VLOOKUP(E356,Nombres!A:D,2,FALSE)),"PROBLEMAAAAAA",VLOOKUP(E356,Nombres!A:D,2,FALSE))</f>
        <v>A. F. Carreras</v>
      </c>
      <c r="C356" t="str">
        <f>IF(ISERROR(VLOOKUP(E356,Nombres!A:D,4,FALSE)),"PROBLEMAAAAAA",VLOOKUP(E356,Nombres!A:D,4,FALSE))</f>
        <v>DEF</v>
      </c>
      <c r="D356" t="str">
        <f>IF(ISERROR(VLOOKUP(E356,Nombres!A:D,3,FALSE)),"PROBLEMAAAAAA",VLOOKUP(E356,Nombres!A:D,3,FALSE))</f>
        <v>Real Madrid</v>
      </c>
      <c r="E356" t="s">
        <v>36</v>
      </c>
      <c r="F356" s="1">
        <v>45895</v>
      </c>
      <c r="G356" t="s">
        <v>11</v>
      </c>
      <c r="H356" t="s">
        <v>768</v>
      </c>
      <c r="I356" s="2">
        <v>50000000</v>
      </c>
    </row>
    <row r="357" spans="1:9" x14ac:dyDescent="0.25">
      <c r="A357">
        <v>356</v>
      </c>
      <c r="B357" t="str">
        <f>IF(ISERROR(VLOOKUP(E357,Nombres!A:D,2,FALSE)),"PROBLEMAAAAAA",VLOOKUP(E357,Nombres!A:D,2,FALSE))</f>
        <v>Copete</v>
      </c>
      <c r="C357" t="str">
        <f>IF(ISERROR(VLOOKUP(E357,Nombres!A:D,4,FALSE)),"PROBLEMAAAAAA",VLOOKUP(E357,Nombres!A:D,4,FALSE))</f>
        <v>DEF</v>
      </c>
      <c r="D357" t="str">
        <f>IF(ISERROR(VLOOKUP(E357,Nombres!A:D,3,FALSE)),"PROBLEMAAAAAA",VLOOKUP(E357,Nombres!A:D,3,FALSE))</f>
        <v>Valencia</v>
      </c>
      <c r="E357" t="s">
        <v>268</v>
      </c>
      <c r="F357" s="1">
        <v>45895</v>
      </c>
      <c r="G357" t="s">
        <v>12</v>
      </c>
      <c r="H357" t="s">
        <v>31</v>
      </c>
      <c r="I357" s="2">
        <v>7100100</v>
      </c>
    </row>
    <row r="358" spans="1:9" x14ac:dyDescent="0.25">
      <c r="A358">
        <v>357</v>
      </c>
      <c r="B358" t="str">
        <f>IF(ISERROR(VLOOKUP(E358,Nombres!A:D,2,FALSE)),"PROBLEMAAAAAA",VLOOKUP(E358,Nombres!A:D,2,FALSE))</f>
        <v>Blind</v>
      </c>
      <c r="C358" t="str">
        <f>IF(ISERROR(VLOOKUP(E358,Nombres!A:D,4,FALSE)),"PROBLEMAAAAAA",VLOOKUP(E358,Nombres!A:D,4,FALSE))</f>
        <v>DEF</v>
      </c>
      <c r="D358" t="str">
        <f>IF(ISERROR(VLOOKUP(E358,Nombres!A:D,3,FALSE)),"PROBLEMAAAAAA",VLOOKUP(E358,Nombres!A:D,3,FALSE))</f>
        <v>Girona</v>
      </c>
      <c r="E358" t="s">
        <v>140</v>
      </c>
      <c r="F358" s="1">
        <v>45895</v>
      </c>
      <c r="G358" t="s">
        <v>31</v>
      </c>
      <c r="H358" t="s">
        <v>10</v>
      </c>
      <c r="I358" s="2">
        <v>9506639</v>
      </c>
    </row>
    <row r="359" spans="1:9" x14ac:dyDescent="0.25">
      <c r="A359">
        <v>358</v>
      </c>
      <c r="B359" t="str">
        <f>IF(ISERROR(VLOOKUP(E359,Nombres!A:D,2,FALSE)),"PROBLEMAAAAAA",VLOOKUP(E359,Nombres!A:D,2,FALSE))</f>
        <v>Diakhaby</v>
      </c>
      <c r="C359" t="str">
        <f>IF(ISERROR(VLOOKUP(E359,Nombres!A:D,4,FALSE)),"PROBLEMAAAAAA",VLOOKUP(E359,Nombres!A:D,4,FALSE))</f>
        <v>DEF</v>
      </c>
      <c r="D359" t="str">
        <f>IF(ISERROR(VLOOKUP(E359,Nombres!A:D,3,FALSE)),"PROBLEMAAAAAA",VLOOKUP(E359,Nombres!A:D,3,FALSE))</f>
        <v>Valencia</v>
      </c>
      <c r="E359" t="s">
        <v>238</v>
      </c>
      <c r="F359" s="1">
        <v>45895</v>
      </c>
      <c r="G359" t="s">
        <v>31</v>
      </c>
      <c r="H359" t="s">
        <v>10</v>
      </c>
      <c r="I359" s="2">
        <v>3463499</v>
      </c>
    </row>
    <row r="360" spans="1:9" x14ac:dyDescent="0.25">
      <c r="A360">
        <v>359</v>
      </c>
      <c r="B360" t="str">
        <f>IF(ISERROR(VLOOKUP(E360,Nombres!A:D,2,FALSE)),"PROBLEMAAAAAA",VLOOKUP(E360,Nombres!A:D,2,FALSE))</f>
        <v>Kumbulla</v>
      </c>
      <c r="C360" t="str">
        <f>IF(ISERROR(VLOOKUP(E360,Nombres!A:D,4,FALSE)),"PROBLEMAAAAAA",VLOOKUP(E360,Nombres!A:D,4,FALSE))</f>
        <v>DEF</v>
      </c>
      <c r="D360" t="str">
        <f>IF(ISERROR(VLOOKUP(E360,Nombres!A:D,3,FALSE)),"PROBLEMAAAAAA",VLOOKUP(E360,Nombres!A:D,3,FALSE))</f>
        <v>Mallorca</v>
      </c>
      <c r="E360" t="s">
        <v>269</v>
      </c>
      <c r="F360" s="1">
        <v>45895</v>
      </c>
      <c r="G360" t="s">
        <v>10</v>
      </c>
      <c r="H360" t="s">
        <v>31</v>
      </c>
      <c r="I360" s="2">
        <v>2359479</v>
      </c>
    </row>
    <row r="361" spans="1:9" x14ac:dyDescent="0.25">
      <c r="A361">
        <v>360</v>
      </c>
      <c r="B361" t="str">
        <f>IF(ISERROR(VLOOKUP(E361,Nombres!A:D,2,FALSE)),"PROBLEMAAAAAA",VLOOKUP(E361,Nombres!A:D,2,FALSE))</f>
        <v>Moi Gómez</v>
      </c>
      <c r="C361" t="str">
        <f>IF(ISERROR(VLOOKUP(E361,Nombres!A:D,4,FALSE)),"PROBLEMAAAAAA",VLOOKUP(E361,Nombres!A:D,4,FALSE))</f>
        <v>MED</v>
      </c>
      <c r="D361" t="str">
        <f>IF(ISERROR(VLOOKUP(E361,Nombres!A:D,3,FALSE)),"PROBLEMAAAAAA",VLOOKUP(E361,Nombres!A:D,3,FALSE))</f>
        <v>Osasuna</v>
      </c>
      <c r="E361" t="s">
        <v>102</v>
      </c>
      <c r="F361" s="1">
        <v>45895</v>
      </c>
      <c r="G361" t="s">
        <v>10</v>
      </c>
      <c r="H361" t="s">
        <v>31</v>
      </c>
      <c r="I361" s="2">
        <v>7879787</v>
      </c>
    </row>
    <row r="362" spans="1:9" x14ac:dyDescent="0.25">
      <c r="A362">
        <v>361</v>
      </c>
      <c r="B362" t="str">
        <f>IF(ISERROR(VLOOKUP(E362,Nombres!A:D,2,FALSE)),"PROBLEMAAAAAA",VLOOKUP(E362,Nombres!A:D,2,FALSE))</f>
        <v>Carvajal</v>
      </c>
      <c r="C362" t="str">
        <f>IF(ISERROR(VLOOKUP(E362,Nombres!A:D,4,FALSE)),"PROBLEMAAAAAA",VLOOKUP(E362,Nombres!A:D,4,FALSE))</f>
        <v>DEF</v>
      </c>
      <c r="D362" t="str">
        <f>IF(ISERROR(VLOOKUP(E362,Nombres!A:D,3,FALSE)),"PROBLEMAAAAAA",VLOOKUP(E362,Nombres!A:D,3,FALSE))</f>
        <v>Real Madrid</v>
      </c>
      <c r="E362" t="s">
        <v>81</v>
      </c>
      <c r="F362" s="1">
        <v>45896</v>
      </c>
      <c r="G362" t="s">
        <v>12</v>
      </c>
      <c r="H362" t="s">
        <v>31</v>
      </c>
      <c r="I362" s="2">
        <v>26100010</v>
      </c>
    </row>
    <row r="363" spans="1:9" x14ac:dyDescent="0.25">
      <c r="A363">
        <v>362</v>
      </c>
      <c r="B363" t="str">
        <f>IF(ISERROR(VLOOKUP(E363,Nombres!A:D,2,FALSE)),"PROBLEMAAAAAA",VLOOKUP(E363,Nombres!A:D,2,FALSE))</f>
        <v>Dani Rodríguez</v>
      </c>
      <c r="C363" t="str">
        <f>IF(ISERROR(VLOOKUP(E363,Nombres!A:D,4,FALSE)),"PROBLEMAAAAAA",VLOOKUP(E363,Nombres!A:D,4,FALSE))</f>
        <v>MED</v>
      </c>
      <c r="D363" t="str">
        <f>IF(ISERROR(VLOOKUP(E363,Nombres!A:D,3,FALSE)),"PROBLEMAAAAAA",VLOOKUP(E363,Nombres!A:D,3,FALSE))</f>
        <v>Mallorca</v>
      </c>
      <c r="E363" t="s">
        <v>143</v>
      </c>
      <c r="F363" s="1">
        <v>45896</v>
      </c>
      <c r="G363" t="s">
        <v>31</v>
      </c>
      <c r="H363" t="s">
        <v>10</v>
      </c>
      <c r="I363" s="2">
        <v>4585029</v>
      </c>
    </row>
    <row r="364" spans="1:9" x14ac:dyDescent="0.25">
      <c r="A364">
        <v>363</v>
      </c>
      <c r="B364" t="str">
        <f>IF(ISERROR(VLOOKUP(E364,Nombres!A:D,2,FALSE)),"PROBLEMAAAAAA",VLOOKUP(E364,Nombres!A:D,2,FALSE))</f>
        <v>De la Fuente</v>
      </c>
      <c r="C364" t="str">
        <f>IF(ISERROR(VLOOKUP(E364,Nombres!A:D,4,FALSE)),"PROBLEMAAAAAA",VLOOKUP(E364,Nombres!A:D,4,FALSE))</f>
        <v>DEF</v>
      </c>
      <c r="D364" t="str">
        <f>IF(ISERROR(VLOOKUP(E364,Nombres!A:D,3,FALSE)),"PROBLEMAAAAAA",VLOOKUP(E364,Nombres!A:D,3,FALSE))</f>
        <v>Levante</v>
      </c>
      <c r="E364" t="s">
        <v>116</v>
      </c>
      <c r="F364" s="1">
        <v>45896</v>
      </c>
      <c r="G364" t="s">
        <v>13</v>
      </c>
      <c r="H364" t="s">
        <v>768</v>
      </c>
      <c r="I364" s="2">
        <v>1130330</v>
      </c>
    </row>
    <row r="365" spans="1:9" x14ac:dyDescent="0.25">
      <c r="A365">
        <v>364</v>
      </c>
      <c r="B365" t="str">
        <f>IF(ISERROR(VLOOKUP(E365,Nombres!A:D,2,FALSE)),"PROBLEMAAAAAA",VLOOKUP(E365,Nombres!A:D,2,FALSE))</f>
        <v>Diego López</v>
      </c>
      <c r="C365" t="str">
        <f>IF(ISERROR(VLOOKUP(E365,Nombres!A:D,4,FALSE)),"PROBLEMAAAAAA",VLOOKUP(E365,Nombres!A:D,4,FALSE))</f>
        <v>DEL</v>
      </c>
      <c r="D365" t="str">
        <f>IF(ISERROR(VLOOKUP(E365,Nombres!A:D,3,FALSE)),"PROBLEMAAAAAA",VLOOKUP(E365,Nombres!A:D,3,FALSE))</f>
        <v>Valencia</v>
      </c>
      <c r="E365" t="s">
        <v>159</v>
      </c>
      <c r="F365" s="1">
        <v>45896</v>
      </c>
      <c r="G365" t="s">
        <v>768</v>
      </c>
      <c r="H365" t="s">
        <v>11</v>
      </c>
      <c r="I365" s="2">
        <v>19978988</v>
      </c>
    </row>
    <row r="366" spans="1:9" x14ac:dyDescent="0.25">
      <c r="A366">
        <v>365</v>
      </c>
      <c r="B366" t="str">
        <f>IF(ISERROR(VLOOKUP(E366,Nombres!A:D,2,FALSE)),"PROBLEMAAAAAA",VLOOKUP(E366,Nombres!A:D,2,FALSE))</f>
        <v>Edu Expósito</v>
      </c>
      <c r="C366" t="str">
        <f>IF(ISERROR(VLOOKUP(E366,Nombres!A:D,4,FALSE)),"PROBLEMAAAAAA",VLOOKUP(E366,Nombres!A:D,4,FALSE))</f>
        <v>MED</v>
      </c>
      <c r="D366" t="str">
        <f>IF(ISERROR(VLOOKUP(E366,Nombres!A:D,3,FALSE)),"PROBLEMAAAAAA",VLOOKUP(E366,Nombres!A:D,3,FALSE))</f>
        <v>Espanyol</v>
      </c>
      <c r="E366" t="s">
        <v>271</v>
      </c>
      <c r="F366" s="1">
        <v>45896</v>
      </c>
      <c r="G366" t="s">
        <v>10</v>
      </c>
      <c r="H366" t="s">
        <v>31</v>
      </c>
      <c r="I366" s="2">
        <v>12875987</v>
      </c>
    </row>
    <row r="367" spans="1:9" x14ac:dyDescent="0.25">
      <c r="A367">
        <v>366</v>
      </c>
      <c r="B367" t="str">
        <f>IF(ISERROR(VLOOKUP(E367,Nombres!A:D,2,FALSE)),"PROBLEMAAAAAA",VLOOKUP(E367,Nombres!A:D,2,FALSE))</f>
        <v>Ejuke</v>
      </c>
      <c r="C367" t="str">
        <f>IF(ISERROR(VLOOKUP(E367,Nombres!A:D,4,FALSE)),"PROBLEMAAAAAA",VLOOKUP(E367,Nombres!A:D,4,FALSE))</f>
        <v>DEL</v>
      </c>
      <c r="D367" t="str">
        <f>IF(ISERROR(VLOOKUP(E367,Nombres!A:D,3,FALSE)),"PROBLEMAAAAAA",VLOOKUP(E367,Nombres!A:D,3,FALSE))</f>
        <v>Sevilla</v>
      </c>
      <c r="E367" t="s">
        <v>92</v>
      </c>
      <c r="F367" s="1">
        <v>45896</v>
      </c>
      <c r="G367" t="s">
        <v>12</v>
      </c>
      <c r="H367" t="s">
        <v>8</v>
      </c>
      <c r="I367" s="2">
        <v>4000000</v>
      </c>
    </row>
    <row r="368" spans="1:9" x14ac:dyDescent="0.25">
      <c r="A368">
        <v>367</v>
      </c>
      <c r="B368" t="str">
        <f>IF(ISERROR(VLOOKUP(E368,Nombres!A:D,2,FALSE)),"PROBLEMAAAAAA",VLOOKUP(E368,Nombres!A:D,2,FALSE))</f>
        <v>Eric García</v>
      </c>
      <c r="C368" t="str">
        <f>IF(ISERROR(VLOOKUP(E368,Nombres!A:D,4,FALSE)),"PROBLEMAAAAAA",VLOOKUP(E368,Nombres!A:D,4,FALSE))</f>
        <v>DEF</v>
      </c>
      <c r="D368" t="str">
        <f>IF(ISERROR(VLOOKUP(E368,Nombres!A:D,3,FALSE)),"PROBLEMAAAAAA",VLOOKUP(E368,Nombres!A:D,3,FALSE))</f>
        <v>Barcelona</v>
      </c>
      <c r="E368" t="s">
        <v>152</v>
      </c>
      <c r="F368" s="1">
        <v>45896</v>
      </c>
      <c r="G368" t="s">
        <v>10</v>
      </c>
      <c r="H368" t="s">
        <v>31</v>
      </c>
      <c r="I368" s="2">
        <v>16879878</v>
      </c>
    </row>
    <row r="369" spans="1:9" x14ac:dyDescent="0.25">
      <c r="A369">
        <v>368</v>
      </c>
      <c r="B369" t="str">
        <f>IF(ISERROR(VLOOKUP(E369,Nombres!A:D,2,FALSE)),"PROBLEMAAAAAA",VLOOKUP(E369,Nombres!A:D,2,FALSE))</f>
        <v>Guruzeta</v>
      </c>
      <c r="C369" t="str">
        <f>IF(ISERROR(VLOOKUP(E369,Nombres!A:D,4,FALSE)),"PROBLEMAAAAAA",VLOOKUP(E369,Nombres!A:D,4,FALSE))</f>
        <v>DEL</v>
      </c>
      <c r="D369" t="str">
        <f>IF(ISERROR(VLOOKUP(E369,Nombres!A:D,3,FALSE)),"PROBLEMAAAAAA",VLOOKUP(E369,Nombres!A:D,3,FALSE))</f>
        <v>Athletic</v>
      </c>
      <c r="E369" t="s">
        <v>146</v>
      </c>
      <c r="F369" s="1">
        <v>45896</v>
      </c>
      <c r="G369" t="s">
        <v>31</v>
      </c>
      <c r="H369" t="s">
        <v>10</v>
      </c>
      <c r="I369" s="2">
        <v>8485556</v>
      </c>
    </row>
    <row r="370" spans="1:9" x14ac:dyDescent="0.25">
      <c r="A370">
        <v>369</v>
      </c>
      <c r="B370" t="str">
        <f>IF(ISERROR(VLOOKUP(E370,Nombres!A:D,2,FALSE)),"PROBLEMAAAAAA",VLOOKUP(E370,Nombres!A:D,2,FALSE))</f>
        <v>Cardoso</v>
      </c>
      <c r="C370" t="str">
        <f>IF(ISERROR(VLOOKUP(E370,Nombres!A:D,4,FALSE)),"PROBLEMAAAAAA",VLOOKUP(E370,Nombres!A:D,4,FALSE))</f>
        <v>MED</v>
      </c>
      <c r="D370" t="str">
        <f>IF(ISERROR(VLOOKUP(E370,Nombres!A:D,3,FALSE)),"PROBLEMAAAAAA",VLOOKUP(E370,Nombres!A:D,3,FALSE))</f>
        <v>Atlético</v>
      </c>
      <c r="E370" t="s">
        <v>272</v>
      </c>
      <c r="F370" s="1">
        <v>45896</v>
      </c>
      <c r="G370" t="s">
        <v>31</v>
      </c>
      <c r="H370" t="s">
        <v>13</v>
      </c>
      <c r="I370" s="2">
        <v>31077187</v>
      </c>
    </row>
    <row r="371" spans="1:9" x14ac:dyDescent="0.25">
      <c r="A371">
        <v>370</v>
      </c>
      <c r="B371" t="str">
        <f>IF(ISERROR(VLOOKUP(E371,Nombres!A:D,2,FALSE)),"PROBLEMAAAAAA",VLOOKUP(E371,Nombres!A:D,2,FALSE))</f>
        <v>Víctor Muñoz</v>
      </c>
      <c r="C371" t="str">
        <f>IF(ISERROR(VLOOKUP(E371,Nombres!A:D,4,FALSE)),"PROBLEMAAAAAA",VLOOKUP(E371,Nombres!A:D,4,FALSE))</f>
        <v>DEL</v>
      </c>
      <c r="D371" t="str">
        <f>IF(ISERROR(VLOOKUP(E371,Nombres!A:D,3,FALSE)),"PROBLEMAAAAAA",VLOOKUP(E371,Nombres!A:D,3,FALSE))</f>
        <v>Osasuna</v>
      </c>
      <c r="E371" t="s">
        <v>270</v>
      </c>
      <c r="F371" s="1">
        <v>45896</v>
      </c>
      <c r="G371" t="s">
        <v>10</v>
      </c>
      <c r="H371" t="s">
        <v>31</v>
      </c>
      <c r="I371" s="2">
        <v>3987785</v>
      </c>
    </row>
    <row r="372" spans="1:9" x14ac:dyDescent="0.25">
      <c r="A372">
        <v>371</v>
      </c>
      <c r="B372" t="str">
        <f>IF(ISERROR(VLOOKUP(E372,Nombres!A:D,2,FALSE)),"PROBLEMAAAAAA",VLOOKUP(E372,Nombres!A:D,2,FALSE))</f>
        <v>Agoume</v>
      </c>
      <c r="C372" t="str">
        <f>IF(ISERROR(VLOOKUP(E372,Nombres!A:D,4,FALSE)),"PROBLEMAAAAAA",VLOOKUP(E372,Nombres!A:D,4,FALSE))</f>
        <v>MED</v>
      </c>
      <c r="D372" t="str">
        <f>IF(ISERROR(VLOOKUP(E372,Nombres!A:D,3,FALSE)),"PROBLEMAAAAAA",VLOOKUP(E372,Nombres!A:D,3,FALSE))</f>
        <v>Sevilla</v>
      </c>
      <c r="E372" t="s">
        <v>68</v>
      </c>
      <c r="F372" s="1">
        <v>45897</v>
      </c>
      <c r="G372" t="s">
        <v>768</v>
      </c>
      <c r="H372" t="s">
        <v>8</v>
      </c>
      <c r="I372" s="2">
        <v>7238909</v>
      </c>
    </row>
    <row r="373" spans="1:9" x14ac:dyDescent="0.25">
      <c r="A373">
        <v>372</v>
      </c>
      <c r="B373" t="str">
        <f>IF(ISERROR(VLOOKUP(E373,Nombres!A:D,2,FALSE)),"PROBLEMAAAAAA",VLOOKUP(E373,Nombres!A:D,2,FALSE))</f>
        <v>Darder</v>
      </c>
      <c r="C373" t="str">
        <f>IF(ISERROR(VLOOKUP(E373,Nombres!A:D,4,FALSE)),"PROBLEMAAAAAA",VLOOKUP(E373,Nombres!A:D,4,FALSE))</f>
        <v>MED</v>
      </c>
      <c r="D373" t="str">
        <f>IF(ISERROR(VLOOKUP(E373,Nombres!A:D,3,FALSE)),"PROBLEMAAAAAA",VLOOKUP(E373,Nombres!A:D,3,FALSE))</f>
        <v>Mallorca</v>
      </c>
      <c r="E373" t="s">
        <v>144</v>
      </c>
      <c r="F373" s="1">
        <v>45897</v>
      </c>
      <c r="G373" t="s">
        <v>14</v>
      </c>
      <c r="H373" t="s">
        <v>10</v>
      </c>
      <c r="I373" s="2">
        <v>31560995</v>
      </c>
    </row>
    <row r="374" spans="1:9" x14ac:dyDescent="0.25">
      <c r="A374">
        <v>373</v>
      </c>
      <c r="B374" t="str">
        <f>IF(ISERROR(VLOOKUP(E374,Nombres!A:D,2,FALSE)),"PROBLEMAAAAAA",VLOOKUP(E374,Nombres!A:D,2,FALSE))</f>
        <v>Fornals</v>
      </c>
      <c r="C374" t="str">
        <f>IF(ISERROR(VLOOKUP(E374,Nombres!A:D,4,FALSE)),"PROBLEMAAAAAA",VLOOKUP(E374,Nombres!A:D,4,FALSE))</f>
        <v>MED</v>
      </c>
      <c r="D374" t="str">
        <f>IF(ISERROR(VLOOKUP(E374,Nombres!A:D,3,FALSE)),"PROBLEMAAAAAA",VLOOKUP(E374,Nombres!A:D,3,FALSE))</f>
        <v>Betis</v>
      </c>
      <c r="E374" t="s">
        <v>120</v>
      </c>
      <c r="F374" s="1">
        <v>45897</v>
      </c>
      <c r="G374" t="s">
        <v>9</v>
      </c>
      <c r="H374" t="s">
        <v>768</v>
      </c>
      <c r="I374" s="2">
        <v>28680456</v>
      </c>
    </row>
    <row r="375" spans="1:9" x14ac:dyDescent="0.25">
      <c r="A375">
        <v>374</v>
      </c>
      <c r="B375" t="str">
        <f>IF(ISERROR(VLOOKUP(E375,Nombres!A:D,2,FALSE)),"PROBLEMAAAAAA",VLOOKUP(E375,Nombres!A:D,2,FALSE))</f>
        <v>Foyth</v>
      </c>
      <c r="C375" t="str">
        <f>IF(ISERROR(VLOOKUP(E375,Nombres!A:D,4,FALSE)),"PROBLEMAAAAAA",VLOOKUP(E375,Nombres!A:D,4,FALSE))</f>
        <v>DEF</v>
      </c>
      <c r="D375" t="str">
        <f>IF(ISERROR(VLOOKUP(E375,Nombres!A:D,3,FALSE)),"PROBLEMAAAAAA",VLOOKUP(E375,Nombres!A:D,3,FALSE))</f>
        <v>Villarreal</v>
      </c>
      <c r="E375" t="s">
        <v>99</v>
      </c>
      <c r="F375" s="1">
        <v>45897</v>
      </c>
      <c r="G375" t="s">
        <v>9</v>
      </c>
      <c r="H375" t="s">
        <v>7</v>
      </c>
      <c r="I375" s="2">
        <v>27796533</v>
      </c>
    </row>
    <row r="376" spans="1:9" x14ac:dyDescent="0.25">
      <c r="A376">
        <v>375</v>
      </c>
      <c r="B376" t="str">
        <f>IF(ISERROR(VLOOKUP(E376,Nombres!A:D,2,FALSE)),"PROBLEMAAAAAA",VLOOKUP(E376,Nombres!A:D,2,FALSE))</f>
        <v>Hancko</v>
      </c>
      <c r="C376" t="str">
        <f>IF(ISERROR(VLOOKUP(E376,Nombres!A:D,4,FALSE)),"PROBLEMAAAAAA",VLOOKUP(E376,Nombres!A:D,4,FALSE))</f>
        <v>DEF</v>
      </c>
      <c r="D376" t="str">
        <f>IF(ISERROR(VLOOKUP(E376,Nombres!A:D,3,FALSE)),"PROBLEMAAAAAA",VLOOKUP(E376,Nombres!A:D,3,FALSE))</f>
        <v>Atlético</v>
      </c>
      <c r="E376" t="s">
        <v>107</v>
      </c>
      <c r="F376" s="1">
        <v>45897</v>
      </c>
      <c r="G376" t="s">
        <v>768</v>
      </c>
      <c r="H376" t="s">
        <v>8</v>
      </c>
      <c r="I376" s="2">
        <v>34298293</v>
      </c>
    </row>
    <row r="377" spans="1:9" x14ac:dyDescent="0.25">
      <c r="A377">
        <v>376</v>
      </c>
      <c r="B377" t="str">
        <f>IF(ISERROR(VLOOKUP(E377,Nombres!A:D,2,FALSE)),"PROBLEMAAAAAA",VLOOKUP(E377,Nombres!A:D,2,FALSE))</f>
        <v>Romero</v>
      </c>
      <c r="C377" t="str">
        <f>IF(ISERROR(VLOOKUP(E377,Nombres!A:D,4,FALSE)),"PROBLEMAAAAAA",VLOOKUP(E377,Nombres!A:D,4,FALSE))</f>
        <v>DEL</v>
      </c>
      <c r="D377" t="str">
        <f>IF(ISERROR(VLOOKUP(E377,Nombres!A:D,3,FALSE)),"PROBLEMAAAAAA",VLOOKUP(E377,Nombres!A:D,3,FALSE))</f>
        <v>Sevilla</v>
      </c>
      <c r="E377" t="s">
        <v>187</v>
      </c>
      <c r="F377" s="1">
        <v>45897</v>
      </c>
      <c r="G377" t="s">
        <v>31</v>
      </c>
      <c r="H377" t="s">
        <v>14</v>
      </c>
      <c r="I377" s="2">
        <v>4858486</v>
      </c>
    </row>
    <row r="378" spans="1:9" x14ac:dyDescent="0.25">
      <c r="A378">
        <v>377</v>
      </c>
      <c r="B378" t="str">
        <f>IF(ISERROR(VLOOKUP(E378,Nombres!A:D,2,FALSE)),"PROBLEMAAAAAA",VLOOKUP(E378,Nombres!A:D,2,FALSE))</f>
        <v>Iglesias</v>
      </c>
      <c r="C378" t="str">
        <f>IF(ISERROR(VLOOKUP(E378,Nombres!A:D,4,FALSE)),"PROBLEMAAAAAA",VLOOKUP(E378,Nombres!A:D,4,FALSE))</f>
        <v>DEF</v>
      </c>
      <c r="D378" t="str">
        <f>IF(ISERROR(VLOOKUP(E378,Nombres!A:D,3,FALSE)),"PROBLEMAAAAAA",VLOOKUP(E378,Nombres!A:D,3,FALSE))</f>
        <v>Getafe</v>
      </c>
      <c r="E378" t="s">
        <v>215</v>
      </c>
      <c r="F378" s="1">
        <v>45897</v>
      </c>
      <c r="G378" t="s">
        <v>11</v>
      </c>
      <c r="H378" t="s">
        <v>8</v>
      </c>
      <c r="I378" s="2">
        <v>2369904</v>
      </c>
    </row>
    <row r="379" spans="1:9" x14ac:dyDescent="0.25">
      <c r="A379">
        <v>378</v>
      </c>
      <c r="B379" t="str">
        <f>IF(ISERROR(VLOOKUP(E379,Nombres!A:D,2,FALSE)),"PROBLEMAAAAAA",VLOOKUP(E379,Nombres!A:D,2,FALSE))</f>
        <v>Kike García</v>
      </c>
      <c r="C379" t="str">
        <f>IF(ISERROR(VLOOKUP(E379,Nombres!A:D,4,FALSE)),"PROBLEMAAAAAA",VLOOKUP(E379,Nombres!A:D,4,FALSE))</f>
        <v>DEL</v>
      </c>
      <c r="D379" t="str">
        <f>IF(ISERROR(VLOOKUP(E379,Nombres!A:D,3,FALSE)),"PROBLEMAAAAAA",VLOOKUP(E379,Nombres!A:D,3,FALSE))</f>
        <v>Espanyol</v>
      </c>
      <c r="E379" t="s">
        <v>124</v>
      </c>
      <c r="F379" s="1">
        <v>45897</v>
      </c>
      <c r="G379" t="s">
        <v>31</v>
      </c>
      <c r="H379" t="s">
        <v>768</v>
      </c>
      <c r="I379" s="2">
        <v>6026468</v>
      </c>
    </row>
    <row r="380" spans="1:9" x14ac:dyDescent="0.25">
      <c r="A380">
        <v>379</v>
      </c>
      <c r="B380" t="str">
        <f>IF(ISERROR(VLOOKUP(E380,Nombres!A:D,2,FALSE)),"PROBLEMAAAAAA",VLOOKUP(E380,Nombres!A:D,2,FALSE))</f>
        <v>M. Alonso</v>
      </c>
      <c r="C380" t="str">
        <f>IF(ISERROR(VLOOKUP(E380,Nombres!A:D,4,FALSE)),"PROBLEMAAAAAA",VLOOKUP(E380,Nombres!A:D,4,FALSE))</f>
        <v>DEF</v>
      </c>
      <c r="D380" t="str">
        <f>IF(ISERROR(VLOOKUP(E380,Nombres!A:D,3,FALSE)),"PROBLEMAAAAAA",VLOOKUP(E380,Nombres!A:D,3,FALSE))</f>
        <v>Celta</v>
      </c>
      <c r="E380" t="s">
        <v>181</v>
      </c>
      <c r="F380" s="1">
        <v>45897</v>
      </c>
      <c r="G380" t="s">
        <v>7</v>
      </c>
      <c r="H380" t="s">
        <v>14</v>
      </c>
      <c r="I380" s="2">
        <v>18644883</v>
      </c>
    </row>
    <row r="381" spans="1:9" x14ac:dyDescent="0.25">
      <c r="A381">
        <v>380</v>
      </c>
      <c r="B381" t="str">
        <f>IF(ISERROR(VLOOKUP(E381,Nombres!A:D,2,FALSE)),"PROBLEMAAAAAA",VLOOKUP(E381,Nombres!A:D,2,FALSE))</f>
        <v>Navarro</v>
      </c>
      <c r="C381" t="str">
        <f>IF(ISERROR(VLOOKUP(E381,Nombres!A:D,4,FALSE)),"PROBLEMAAAAAA",VLOOKUP(E381,Nombres!A:D,4,FALSE))</f>
        <v>MED</v>
      </c>
      <c r="D381" t="str">
        <f>IF(ISERROR(VLOOKUP(E381,Nombres!A:D,3,FALSE)),"PROBLEMAAAAAA",VLOOKUP(E381,Nombres!A:D,3,FALSE))</f>
        <v>Athletic</v>
      </c>
      <c r="E381" t="s">
        <v>230</v>
      </c>
      <c r="F381" s="1">
        <v>45897</v>
      </c>
      <c r="G381" t="s">
        <v>7</v>
      </c>
      <c r="H381" t="s">
        <v>10</v>
      </c>
      <c r="I381" s="2">
        <v>4814940</v>
      </c>
    </row>
    <row r="382" spans="1:9" x14ac:dyDescent="0.25">
      <c r="A382">
        <v>429</v>
      </c>
      <c r="B382" t="str">
        <f>IF(ISERROR(VLOOKUP(E382,Nombres!A:D,2,FALSE)),"PROBLEMAAAAAA",VLOOKUP(E382,Nombres!A:D,2,FALSE))</f>
        <v>Á. Núñez</v>
      </c>
      <c r="C382" t="str">
        <f>IF(ISERROR(VLOOKUP(E382,Nombres!A:D,4,FALSE)),"PROBLEMAAAAAA",VLOOKUP(E382,Nombres!A:D,4,FALSE))</f>
        <v>DEF</v>
      </c>
      <c r="D382" t="str">
        <f>IF(ISERROR(VLOOKUP(E382,Nombres!A:D,3,FALSE)),"PROBLEMAAAAAA",VLOOKUP(E382,Nombres!A:D,3,FALSE))</f>
        <v>Elche</v>
      </c>
      <c r="E382" t="s">
        <v>139</v>
      </c>
      <c r="F382" s="1">
        <v>45903</v>
      </c>
      <c r="G382" t="s">
        <v>9</v>
      </c>
      <c r="H382" t="s">
        <v>14</v>
      </c>
      <c r="I382" s="2">
        <v>6869728</v>
      </c>
    </row>
    <row r="383" spans="1:9" x14ac:dyDescent="0.25">
      <c r="A383">
        <v>382</v>
      </c>
      <c r="B383" t="str">
        <f>IF(ISERROR(VLOOKUP(E383,Nombres!A:D,2,FALSE)),"PROBLEMAAAAAA",VLOOKUP(E383,Nombres!A:D,2,FALSE))</f>
        <v>Pathé Ciss</v>
      </c>
      <c r="C383" t="str">
        <f>IF(ISERROR(VLOOKUP(E383,Nombres!A:D,4,FALSE)),"PROBLEMAAAAAA",VLOOKUP(E383,Nombres!A:D,4,FALSE))</f>
        <v>MED</v>
      </c>
      <c r="D383" t="str">
        <f>IF(ISERROR(VLOOKUP(E383,Nombres!A:D,3,FALSE)),"PROBLEMAAAAAA",VLOOKUP(E383,Nombres!A:D,3,FALSE))</f>
        <v>Rayo</v>
      </c>
      <c r="E383" t="s">
        <v>231</v>
      </c>
      <c r="F383" s="1">
        <v>45897</v>
      </c>
      <c r="G383" t="s">
        <v>7</v>
      </c>
      <c r="H383" t="s">
        <v>14</v>
      </c>
      <c r="I383" s="2">
        <v>8000010</v>
      </c>
    </row>
    <row r="384" spans="1:9" x14ac:dyDescent="0.25">
      <c r="A384">
        <v>383</v>
      </c>
      <c r="B384" t="str">
        <f>IF(ISERROR(VLOOKUP(E384,Nombres!A:D,2,FALSE)),"PROBLEMAAAAAA",VLOOKUP(E384,Nombres!A:D,2,FALSE))</f>
        <v>Lozano</v>
      </c>
      <c r="C384" t="str">
        <f>IF(ISERROR(VLOOKUP(E384,Nombres!A:D,4,FALSE)),"PROBLEMAAAAAA",VLOOKUP(E384,Nombres!A:D,4,FALSE))</f>
        <v>MED</v>
      </c>
      <c r="D384" t="str">
        <f>IF(ISERROR(VLOOKUP(E384,Nombres!A:D,3,FALSE)),"PROBLEMAAAAAA",VLOOKUP(E384,Nombres!A:D,3,FALSE))</f>
        <v>Espanyol</v>
      </c>
      <c r="E384" t="s">
        <v>218</v>
      </c>
      <c r="F384" s="1">
        <v>45897</v>
      </c>
      <c r="G384" t="s">
        <v>11</v>
      </c>
      <c r="H384" t="s">
        <v>12</v>
      </c>
      <c r="I384" s="2">
        <v>3210000</v>
      </c>
    </row>
    <row r="385" spans="1:9" x14ac:dyDescent="0.25">
      <c r="A385">
        <v>384</v>
      </c>
      <c r="B385" t="str">
        <f>IF(ISERROR(VLOOKUP(E385,Nombres!A:D,2,FALSE)),"PROBLEMAAAAAA",VLOOKUP(E385,Nombres!A:D,2,FALSE))</f>
        <v>Tchouaméni</v>
      </c>
      <c r="C385" t="str">
        <f>IF(ISERROR(VLOOKUP(E385,Nombres!A:D,4,FALSE)),"PROBLEMAAAAAA",VLOOKUP(E385,Nombres!A:D,4,FALSE))</f>
        <v>MED</v>
      </c>
      <c r="D385" t="str">
        <f>IF(ISERROR(VLOOKUP(E385,Nombres!A:D,3,FALSE)),"PROBLEMAAAAAA",VLOOKUP(E385,Nombres!A:D,3,FALSE))</f>
        <v>Real Madrid</v>
      </c>
      <c r="E385" t="s">
        <v>196</v>
      </c>
      <c r="F385" s="1">
        <v>45897</v>
      </c>
      <c r="G385" t="s">
        <v>11</v>
      </c>
      <c r="H385" t="s">
        <v>9</v>
      </c>
      <c r="I385" s="2">
        <v>51913530</v>
      </c>
    </row>
    <row r="386" spans="1:9" x14ac:dyDescent="0.25">
      <c r="A386">
        <v>385</v>
      </c>
      <c r="B386" t="str">
        <f>IF(ISERROR(VLOOKUP(E386,Nombres!A:D,2,FALSE)),"PROBLEMAAAAAA",VLOOKUP(E386,Nombres!A:D,2,FALSE))</f>
        <v>Affengruber</v>
      </c>
      <c r="C386" t="str">
        <f>IF(ISERROR(VLOOKUP(E386,Nombres!A:D,4,FALSE)),"PROBLEMAAAAAA",VLOOKUP(E386,Nombres!A:D,4,FALSE))</f>
        <v>DEF</v>
      </c>
      <c r="D386" t="str">
        <f>IF(ISERROR(VLOOKUP(E386,Nombres!A:D,3,FALSE)),"PROBLEMAAAAAA",VLOOKUP(E386,Nombres!A:D,3,FALSE))</f>
        <v>Elche</v>
      </c>
      <c r="E386" t="s">
        <v>233</v>
      </c>
      <c r="F386" s="1">
        <v>45898</v>
      </c>
      <c r="G386" t="s">
        <v>13</v>
      </c>
      <c r="H386" t="s">
        <v>10</v>
      </c>
      <c r="I386" s="2">
        <v>6879879</v>
      </c>
    </row>
    <row r="387" spans="1:9" x14ac:dyDescent="0.25">
      <c r="A387">
        <v>386</v>
      </c>
      <c r="B387" t="str">
        <f>IF(ISERROR(VLOOKUP(E387,Nombres!A:D,2,FALSE)),"PROBLEMAAAAAA",VLOOKUP(E387,Nombres!A:D,2,FALSE))</f>
        <v>Areso</v>
      </c>
      <c r="C387" t="str">
        <f>IF(ISERROR(VLOOKUP(E387,Nombres!A:D,4,FALSE)),"PROBLEMAAAAAA",VLOOKUP(E387,Nombres!A:D,4,FALSE))</f>
        <v>DEF</v>
      </c>
      <c r="D387" t="str">
        <f>IF(ISERROR(VLOOKUP(E387,Nombres!A:D,3,FALSE)),"PROBLEMAAAAAA",VLOOKUP(E387,Nombres!A:D,3,FALSE))</f>
        <v>Athletic</v>
      </c>
      <c r="E387" t="s">
        <v>34</v>
      </c>
      <c r="F387" s="1">
        <v>45898</v>
      </c>
      <c r="G387" t="s">
        <v>9</v>
      </c>
      <c r="H387" t="s">
        <v>768</v>
      </c>
      <c r="I387" s="2">
        <v>15500000</v>
      </c>
    </row>
    <row r="388" spans="1:9" x14ac:dyDescent="0.25">
      <c r="A388">
        <v>387</v>
      </c>
      <c r="B388" t="str">
        <f>IF(ISERROR(VLOOKUP(E388,Nombres!A:D,2,FALSE)),"PROBLEMAAAAAA",VLOOKUP(E388,Nombres!A:D,2,FALSE))</f>
        <v>Calvo</v>
      </c>
      <c r="C388" t="str">
        <f>IF(ISERROR(VLOOKUP(E388,Nombres!A:D,4,FALSE)),"PROBLEMAAAAAA",VLOOKUP(E388,Nombres!A:D,4,FALSE))</f>
        <v>DEF</v>
      </c>
      <c r="D388" t="str">
        <f>IF(ISERROR(VLOOKUP(E388,Nombres!A:D,3,FALSE)),"PROBLEMAAAAAA",VLOOKUP(E388,Nombres!A:D,3,FALSE))</f>
        <v>Real Oviedo</v>
      </c>
      <c r="E388" t="s">
        <v>427</v>
      </c>
      <c r="F388" s="1">
        <v>45898</v>
      </c>
      <c r="G388" t="s">
        <v>14</v>
      </c>
      <c r="H388" t="s">
        <v>31</v>
      </c>
      <c r="I388" s="2">
        <v>1318951</v>
      </c>
    </row>
    <row r="389" spans="1:9" x14ac:dyDescent="0.25">
      <c r="A389">
        <v>388</v>
      </c>
      <c r="B389" t="str">
        <f>IF(ISERROR(VLOOKUP(E389,Nombres!A:D,2,FALSE)),"PROBLEMAAAAAA",VLOOKUP(E389,Nombres!A:D,2,FALSE))</f>
        <v>Etta Eyong</v>
      </c>
      <c r="C389" t="str">
        <f>IF(ISERROR(VLOOKUP(E389,Nombres!A:D,4,FALSE)),"PROBLEMAAAAAA",VLOOKUP(E389,Nombres!A:D,4,FALSE))</f>
        <v>DEL</v>
      </c>
      <c r="D389" t="str">
        <f>IF(ISERROR(VLOOKUP(E389,Nombres!A:D,3,FALSE)),"PROBLEMAAAAAA",VLOOKUP(E389,Nombres!A:D,3,FALSE))</f>
        <v>Levante</v>
      </c>
      <c r="E389" t="s">
        <v>274</v>
      </c>
      <c r="F389" s="1">
        <v>45898</v>
      </c>
      <c r="G389" t="s">
        <v>6</v>
      </c>
      <c r="H389" t="s">
        <v>31</v>
      </c>
      <c r="I389" s="2">
        <v>20445215</v>
      </c>
    </row>
    <row r="390" spans="1:9" x14ac:dyDescent="0.25">
      <c r="A390">
        <v>389</v>
      </c>
      <c r="B390" t="str">
        <f>IF(ISERROR(VLOOKUP(E390,Nombres!A:D,2,FALSE)),"PROBLEMAAAAAA",VLOOKUP(E390,Nombres!A:D,2,FALSE))</f>
        <v>Mayoral</v>
      </c>
      <c r="C390" t="str">
        <f>IF(ISERROR(VLOOKUP(E390,Nombres!A:D,4,FALSE)),"PROBLEMAAAAAA",VLOOKUP(E390,Nombres!A:D,4,FALSE))</f>
        <v>DEL</v>
      </c>
      <c r="D390" t="str">
        <f>IF(ISERROR(VLOOKUP(E390,Nombres!A:D,3,FALSE)),"PROBLEMAAAAAA",VLOOKUP(E390,Nombres!A:D,3,FALSE))</f>
        <v>Getafe</v>
      </c>
      <c r="E390" t="s">
        <v>178</v>
      </c>
      <c r="F390" s="1">
        <v>45898</v>
      </c>
      <c r="G390" t="s">
        <v>31</v>
      </c>
      <c r="H390" t="s">
        <v>13</v>
      </c>
      <c r="I390" s="2">
        <v>5228916</v>
      </c>
    </row>
    <row r="391" spans="1:9" x14ac:dyDescent="0.25">
      <c r="A391">
        <v>390</v>
      </c>
      <c r="B391" t="str">
        <f>IF(ISERROR(VLOOKUP(E391,Nombres!A:D,2,FALSE)),"PROBLEMAAAAAA",VLOOKUP(E391,Nombres!A:D,2,FALSE))</f>
        <v>Militão</v>
      </c>
      <c r="C391" t="str">
        <f>IF(ISERROR(VLOOKUP(E391,Nombres!A:D,4,FALSE)),"PROBLEMAAAAAA",VLOOKUP(E391,Nombres!A:D,4,FALSE))</f>
        <v>DEF</v>
      </c>
      <c r="D391" t="str">
        <f>IF(ISERROR(VLOOKUP(E391,Nombres!A:D,3,FALSE)),"PROBLEMAAAAAA",VLOOKUP(E391,Nombres!A:D,3,FALSE))</f>
        <v>Real Madrid</v>
      </c>
      <c r="E391" t="s">
        <v>164</v>
      </c>
      <c r="F391" s="1">
        <v>45898</v>
      </c>
      <c r="G391" t="s">
        <v>31</v>
      </c>
      <c r="H391" t="s">
        <v>11</v>
      </c>
      <c r="I391" s="2">
        <v>40802526</v>
      </c>
    </row>
    <row r="392" spans="1:9" x14ac:dyDescent="0.25">
      <c r="A392">
        <v>391</v>
      </c>
      <c r="B392" t="str">
        <f>IF(ISERROR(VLOOKUP(E392,Nombres!A:D,2,FALSE)),"PROBLEMAAAAAA",VLOOKUP(E392,Nombres!A:D,2,FALSE))</f>
        <v>Mingueza</v>
      </c>
      <c r="C392" t="str">
        <f>IF(ISERROR(VLOOKUP(E392,Nombres!A:D,4,FALSE)),"PROBLEMAAAAAA",VLOOKUP(E392,Nombres!A:D,4,FALSE))</f>
        <v>DEF</v>
      </c>
      <c r="D392" t="str">
        <f>IF(ISERROR(VLOOKUP(E392,Nombres!A:D,3,FALSE)),"PROBLEMAAAAAA",VLOOKUP(E392,Nombres!A:D,3,FALSE))</f>
        <v>Celta</v>
      </c>
      <c r="E392" t="s">
        <v>128</v>
      </c>
      <c r="F392" s="1">
        <v>45898</v>
      </c>
      <c r="G392" t="s">
        <v>31</v>
      </c>
      <c r="H392" t="s">
        <v>9</v>
      </c>
      <c r="I392" s="2">
        <v>26541798</v>
      </c>
    </row>
    <row r="393" spans="1:9" x14ac:dyDescent="0.25">
      <c r="A393">
        <v>392</v>
      </c>
      <c r="B393" t="str">
        <f>IF(ISERROR(VLOOKUP(E393,Nombres!A:D,2,FALSE)),"PROBLEMAAAAAA",VLOOKUP(E393,Nombres!A:D,2,FALSE))</f>
        <v>Morey</v>
      </c>
      <c r="C393" t="str">
        <f>IF(ISERROR(VLOOKUP(E393,Nombres!A:D,4,FALSE)),"PROBLEMAAAAAA",VLOOKUP(E393,Nombres!A:D,4,FALSE))</f>
        <v>DEF</v>
      </c>
      <c r="D393" t="str">
        <f>IF(ISERROR(VLOOKUP(E393,Nombres!A:D,3,FALSE)),"PROBLEMAAAAAA",VLOOKUP(E393,Nombres!A:D,3,FALSE))</f>
        <v>Mallorca</v>
      </c>
      <c r="E393" t="s">
        <v>273</v>
      </c>
      <c r="F393" s="1">
        <v>45898</v>
      </c>
      <c r="G393" t="s">
        <v>14</v>
      </c>
      <c r="H393" t="s">
        <v>31</v>
      </c>
      <c r="I393" s="2">
        <v>4561231</v>
      </c>
    </row>
    <row r="394" spans="1:9" x14ac:dyDescent="0.25">
      <c r="A394">
        <v>393</v>
      </c>
      <c r="B394" t="str">
        <f>IF(ISERROR(VLOOKUP(E394,Nombres!A:D,2,FALSE)),"PROBLEMAAAAAA",VLOOKUP(E394,Nombres!A:D,2,FALSE))</f>
        <v>Danjuma</v>
      </c>
      <c r="C394" t="str">
        <f>IF(ISERROR(VLOOKUP(E394,Nombres!A:D,4,FALSE)),"PROBLEMAAAAAA",VLOOKUP(E394,Nombres!A:D,4,FALSE))</f>
        <v>DEL</v>
      </c>
      <c r="D394" t="str">
        <f>IF(ISERROR(VLOOKUP(E394,Nombres!A:D,3,FALSE)),"PROBLEMAAAAAA",VLOOKUP(E394,Nombres!A:D,3,FALSE))</f>
        <v>Valencia</v>
      </c>
      <c r="E394" t="s">
        <v>275</v>
      </c>
      <c r="F394" s="1">
        <v>45899</v>
      </c>
      <c r="G394" t="s">
        <v>13</v>
      </c>
      <c r="H394" t="s">
        <v>31</v>
      </c>
      <c r="I394" s="2">
        <v>11055695</v>
      </c>
    </row>
    <row r="395" spans="1:9" x14ac:dyDescent="0.25">
      <c r="A395">
        <v>394</v>
      </c>
      <c r="B395" t="str">
        <f>IF(ISERROR(VLOOKUP(E395,Nombres!A:D,2,FALSE)),"PROBLEMAAAAAA",VLOOKUP(E395,Nombres!A:D,2,FALSE))</f>
        <v>David López</v>
      </c>
      <c r="C395" t="str">
        <f>IF(ISERROR(VLOOKUP(E395,Nombres!A:D,4,FALSE)),"PROBLEMAAAAAA",VLOOKUP(E395,Nombres!A:D,4,FALSE))</f>
        <v>DEF</v>
      </c>
      <c r="D395" t="str">
        <f>IF(ISERROR(VLOOKUP(E395,Nombres!A:D,3,FALSE)),"PROBLEMAAAAAA",VLOOKUP(E395,Nombres!A:D,3,FALSE))</f>
        <v>Girona</v>
      </c>
      <c r="E395" t="s">
        <v>80</v>
      </c>
      <c r="F395" s="1">
        <v>45899</v>
      </c>
      <c r="G395" t="s">
        <v>31</v>
      </c>
      <c r="H395" t="s">
        <v>6</v>
      </c>
      <c r="I395" s="2">
        <v>5468358</v>
      </c>
    </row>
    <row r="396" spans="1:9" x14ac:dyDescent="0.25">
      <c r="A396">
        <v>395</v>
      </c>
      <c r="B396" t="str">
        <f>IF(ISERROR(VLOOKUP(E396,Nombres!A:D,2,FALSE)),"PROBLEMAAAAAA",VLOOKUP(E396,Nombres!A:D,2,FALSE))</f>
        <v>Toni Martinez</v>
      </c>
      <c r="C396" t="str">
        <f>IF(ISERROR(VLOOKUP(E396,Nombres!A:D,4,FALSE)),"PROBLEMAAAAAA",VLOOKUP(E396,Nombres!A:D,4,FALSE))</f>
        <v>DEL</v>
      </c>
      <c r="D396" t="str">
        <f>IF(ISERROR(VLOOKUP(E396,Nombres!A:D,3,FALSE)),"PROBLEMAAAAAA",VLOOKUP(E396,Nombres!A:D,3,FALSE))</f>
        <v>Alavés</v>
      </c>
      <c r="E396" t="s">
        <v>264</v>
      </c>
      <c r="F396" s="1">
        <v>45899</v>
      </c>
      <c r="G396" t="s">
        <v>31</v>
      </c>
      <c r="H396" t="s">
        <v>13</v>
      </c>
      <c r="I396" s="2">
        <v>2585606</v>
      </c>
    </row>
    <row r="397" spans="1:9" x14ac:dyDescent="0.25">
      <c r="A397">
        <v>396</v>
      </c>
      <c r="B397" t="str">
        <f>IF(ISERROR(VLOOKUP(E397,Nombres!A:D,2,FALSE)),"PROBLEMAAAAAA",VLOOKUP(E397,Nombres!A:D,2,FALSE))</f>
        <v>Araújo</v>
      </c>
      <c r="C397" t="str">
        <f>IF(ISERROR(VLOOKUP(E397,Nombres!A:D,4,FALSE)),"PROBLEMAAAAAA",VLOOKUP(E397,Nombres!A:D,4,FALSE))</f>
        <v>DEF</v>
      </c>
      <c r="D397" t="str">
        <f>IF(ISERROR(VLOOKUP(E397,Nombres!A:D,3,FALSE)),"PROBLEMAAAAAA",VLOOKUP(E397,Nombres!A:D,3,FALSE))</f>
        <v>Barcelona</v>
      </c>
      <c r="E397" t="s">
        <v>72</v>
      </c>
      <c r="F397" s="1">
        <v>45900</v>
      </c>
      <c r="G397" t="s">
        <v>31</v>
      </c>
      <c r="H397" t="s">
        <v>6</v>
      </c>
      <c r="I397" s="2">
        <v>34525230</v>
      </c>
    </row>
    <row r="398" spans="1:9" x14ac:dyDescent="0.25">
      <c r="A398">
        <v>397</v>
      </c>
      <c r="B398" t="str">
        <f>IF(ISERROR(VLOOKUP(E398,Nombres!A:D,2,FALSE)),"PROBLEMAAAAAA",VLOOKUP(E398,Nombres!A:D,2,FALSE))</f>
        <v>Buchanan</v>
      </c>
      <c r="C398" t="str">
        <f>IF(ISERROR(VLOOKUP(E398,Nombres!A:D,4,FALSE)),"PROBLEMAAAAAA",VLOOKUP(E398,Nombres!A:D,4,FALSE))</f>
        <v>MED</v>
      </c>
      <c r="D398" t="str">
        <f>IF(ISERROR(VLOOKUP(E398,Nombres!A:D,3,FALSE)),"PROBLEMAAAAAA",VLOOKUP(E398,Nombres!A:D,3,FALSE))</f>
        <v>Villarreal</v>
      </c>
      <c r="E398" t="s">
        <v>239</v>
      </c>
      <c r="F398" s="1">
        <v>45900</v>
      </c>
      <c r="G398" t="s">
        <v>6</v>
      </c>
      <c r="H398" t="s">
        <v>7</v>
      </c>
      <c r="I398" s="2">
        <v>10108420</v>
      </c>
    </row>
    <row r="399" spans="1:9" x14ac:dyDescent="0.25">
      <c r="A399">
        <v>398</v>
      </c>
      <c r="B399" t="str">
        <f>IF(ISERROR(VLOOKUP(E399,Nombres!A:D,2,FALSE)),"PROBLEMAAAAAA",VLOOKUP(E399,Nombres!A:D,2,FALSE))</f>
        <v>Copete</v>
      </c>
      <c r="C399" t="str">
        <f>IF(ISERROR(VLOOKUP(E399,Nombres!A:D,4,FALSE)),"PROBLEMAAAAAA",VLOOKUP(E399,Nombres!A:D,4,FALSE))</f>
        <v>DEF</v>
      </c>
      <c r="D399" t="str">
        <f>IF(ISERROR(VLOOKUP(E399,Nombres!A:D,3,FALSE)),"PROBLEMAAAAAA",VLOOKUP(E399,Nombres!A:D,3,FALSE))</f>
        <v>Valencia</v>
      </c>
      <c r="E399" t="s">
        <v>268</v>
      </c>
      <c r="F399" s="1">
        <v>45900</v>
      </c>
      <c r="G399" t="s">
        <v>31</v>
      </c>
      <c r="H399" t="s">
        <v>12</v>
      </c>
      <c r="I399" s="2">
        <v>4208675</v>
      </c>
    </row>
    <row r="400" spans="1:9" x14ac:dyDescent="0.25">
      <c r="A400">
        <v>399</v>
      </c>
      <c r="B400" t="str">
        <f>IF(ISERROR(VLOOKUP(E400,Nombres!A:D,2,FALSE)),"PROBLEMAAAAAA",VLOOKUP(E400,Nombres!A:D,2,FALSE))</f>
        <v>De Frutos</v>
      </c>
      <c r="C400" t="str">
        <f>IF(ISERROR(VLOOKUP(E400,Nombres!A:D,4,FALSE)),"PROBLEMAAAAAA",VLOOKUP(E400,Nombres!A:D,4,FALSE))</f>
        <v>DEL</v>
      </c>
      <c r="D400" t="str">
        <f>IF(ISERROR(VLOOKUP(E400,Nombres!A:D,3,FALSE)),"PROBLEMAAAAAA",VLOOKUP(E400,Nombres!A:D,3,FALSE))</f>
        <v>Rayo</v>
      </c>
      <c r="E400" t="s">
        <v>119</v>
      </c>
      <c r="F400" s="1">
        <v>45900</v>
      </c>
      <c r="G400" t="s">
        <v>13</v>
      </c>
      <c r="H400" t="s">
        <v>11</v>
      </c>
      <c r="I400" s="2">
        <v>18666684</v>
      </c>
    </row>
    <row r="401" spans="1:9" x14ac:dyDescent="0.25">
      <c r="A401">
        <v>400</v>
      </c>
      <c r="B401" t="str">
        <f>IF(ISERROR(VLOOKUP(E401,Nombres!A:D,2,FALSE)),"PROBLEMAAAAAA",VLOOKUP(E401,Nombres!A:D,2,FALSE))</f>
        <v>El Hilali</v>
      </c>
      <c r="C401" t="str">
        <f>IF(ISERROR(VLOOKUP(E401,Nombres!A:D,4,FALSE)),"PROBLEMAAAAAA",VLOOKUP(E401,Nombres!A:D,4,FALSE))</f>
        <v>DEF</v>
      </c>
      <c r="D401" t="str">
        <f>IF(ISERROR(VLOOKUP(E401,Nombres!A:D,3,FALSE)),"PROBLEMAAAAAA",VLOOKUP(E401,Nombres!A:D,3,FALSE))</f>
        <v>Espanyol</v>
      </c>
      <c r="E401" t="s">
        <v>276</v>
      </c>
      <c r="F401" s="1">
        <v>45900</v>
      </c>
      <c r="G401" t="s">
        <v>8</v>
      </c>
      <c r="H401" t="s">
        <v>31</v>
      </c>
      <c r="I401" s="2">
        <v>5110000</v>
      </c>
    </row>
    <row r="402" spans="1:9" x14ac:dyDescent="0.25">
      <c r="A402">
        <v>401</v>
      </c>
      <c r="B402" t="str">
        <f>IF(ISERROR(VLOOKUP(E402,Nombres!A:D,2,FALSE)),"PROBLEMAAAAAA",VLOOKUP(E402,Nombres!A:D,2,FALSE))</f>
        <v>Javi Rodríguez</v>
      </c>
      <c r="C402" t="str">
        <f>IF(ISERROR(VLOOKUP(E402,Nombres!A:D,4,FALSE)),"PROBLEMAAAAAA",VLOOKUP(E402,Nombres!A:D,4,FALSE))</f>
        <v>DEF</v>
      </c>
      <c r="D402" t="str">
        <f>IF(ISERROR(VLOOKUP(E402,Nombres!A:D,3,FALSE)),"PROBLEMAAAAAA",VLOOKUP(E402,Nombres!A:D,3,FALSE))</f>
        <v>Celta</v>
      </c>
      <c r="E402" t="s">
        <v>277</v>
      </c>
      <c r="F402" s="1">
        <v>45900</v>
      </c>
      <c r="G402" t="s">
        <v>8</v>
      </c>
      <c r="H402" t="s">
        <v>31</v>
      </c>
      <c r="I402" s="2">
        <v>712000</v>
      </c>
    </row>
    <row r="403" spans="1:9" x14ac:dyDescent="0.25">
      <c r="A403">
        <v>402</v>
      </c>
      <c r="B403" t="str">
        <f>IF(ISERROR(VLOOKUP(E403,Nombres!A:D,2,FALSE)),"PROBLEMAAAAAA",VLOOKUP(E403,Nombres!A:D,2,FALSE))</f>
        <v>Junior</v>
      </c>
      <c r="C403" t="str">
        <f>IF(ISERROR(VLOOKUP(E403,Nombres!A:D,4,FALSE)),"PROBLEMAAAAAA",VLOOKUP(E403,Nombres!A:D,4,FALSE))</f>
        <v>DEF</v>
      </c>
      <c r="D403" t="str">
        <f>IF(ISERROR(VLOOKUP(E403,Nombres!A:D,3,FALSE)),"PROBLEMAAAAAA",VLOOKUP(E403,Nombres!A:D,3,FALSE))</f>
        <v>Betis</v>
      </c>
      <c r="E403" t="s">
        <v>125</v>
      </c>
      <c r="F403" s="1">
        <v>45900</v>
      </c>
      <c r="G403" t="s">
        <v>12</v>
      </c>
      <c r="H403" t="s">
        <v>31</v>
      </c>
      <c r="I403" s="2">
        <v>12310001</v>
      </c>
    </row>
    <row r="404" spans="1:9" x14ac:dyDescent="0.25">
      <c r="A404">
        <v>403</v>
      </c>
      <c r="B404" t="str">
        <f>IF(ISERROR(VLOOKUP(E404,Nombres!A:D,2,FALSE)),"PROBLEMAAAAAA",VLOOKUP(E404,Nombres!A:D,2,FALSE))</f>
        <v>Le Normand</v>
      </c>
      <c r="C404" t="str">
        <f>IF(ISERROR(VLOOKUP(E404,Nombres!A:D,4,FALSE)),"PROBLEMAAAAAA",VLOOKUP(E404,Nombres!A:D,4,FALSE))</f>
        <v>DEF</v>
      </c>
      <c r="D404" t="str">
        <f>IF(ISERROR(VLOOKUP(E404,Nombres!A:D,3,FALSE)),"PROBLEMAAAAAA",VLOOKUP(E404,Nombres!A:D,3,FALSE))</f>
        <v>Atlético</v>
      </c>
      <c r="E404" t="s">
        <v>32</v>
      </c>
      <c r="F404" s="1">
        <v>45900</v>
      </c>
      <c r="G404" t="s">
        <v>31</v>
      </c>
      <c r="H404" t="s">
        <v>6</v>
      </c>
      <c r="I404" s="2">
        <v>33470466</v>
      </c>
    </row>
    <row r="405" spans="1:9" x14ac:dyDescent="0.25">
      <c r="A405">
        <v>404</v>
      </c>
      <c r="B405" t="str">
        <f>IF(ISERROR(VLOOKUP(E405,Nombres!A:D,2,FALSE)),"PROBLEMAAAAAA",VLOOKUP(E405,Nombres!A:D,2,FALSE))</f>
        <v>Mastantuono</v>
      </c>
      <c r="C405" t="str">
        <f>IF(ISERROR(VLOOKUP(E405,Nombres!A:D,4,FALSE)),"PROBLEMAAAAAA",VLOOKUP(E405,Nombres!A:D,4,FALSE))</f>
        <v>DEL</v>
      </c>
      <c r="D405" t="str">
        <f>IF(ISERROR(VLOOKUP(E405,Nombres!A:D,3,FALSE)),"PROBLEMAAAAAA",VLOOKUP(E405,Nombres!A:D,3,FALSE))</f>
        <v>Real Madrid</v>
      </c>
      <c r="E405" t="s">
        <v>278</v>
      </c>
      <c r="F405" s="1">
        <v>45900</v>
      </c>
      <c r="G405" t="s">
        <v>8</v>
      </c>
      <c r="H405" t="s">
        <v>31</v>
      </c>
      <c r="I405" s="2">
        <v>31686868</v>
      </c>
    </row>
    <row r="406" spans="1:9" x14ac:dyDescent="0.25">
      <c r="A406">
        <v>405</v>
      </c>
      <c r="B406" t="str">
        <f>IF(ISERROR(VLOOKUP(E406,Nombres!A:D,2,FALSE)),"PROBLEMAAAAAA",VLOOKUP(E406,Nombres!A:D,2,FALSE))</f>
        <v>Paredes</v>
      </c>
      <c r="C406" t="str">
        <f>IF(ISERROR(VLOOKUP(E406,Nombres!A:D,4,FALSE)),"PROBLEMAAAAAA",VLOOKUP(E406,Nombres!A:D,4,FALSE))</f>
        <v>DEF</v>
      </c>
      <c r="D406" t="str">
        <f>IF(ISERROR(VLOOKUP(E406,Nombres!A:D,3,FALSE)),"PROBLEMAAAAAA",VLOOKUP(E406,Nombres!A:D,3,FALSE))</f>
        <v>Athletic</v>
      </c>
      <c r="E406" t="s">
        <v>43</v>
      </c>
      <c r="F406" s="1">
        <v>45900</v>
      </c>
      <c r="G406" t="s">
        <v>6</v>
      </c>
      <c r="H406" t="s">
        <v>8</v>
      </c>
      <c r="I406" s="2">
        <v>17925060</v>
      </c>
    </row>
    <row r="407" spans="1:9" x14ac:dyDescent="0.25">
      <c r="A407">
        <v>556</v>
      </c>
      <c r="B407" t="str">
        <f>IF(ISERROR(VLOOKUP(E407,Nombres!A:D,2,FALSE)),"PROBLEMAAAAAA",VLOOKUP(E407,Nombres!A:D,2,FALSE))</f>
        <v>Catena</v>
      </c>
      <c r="C407" t="str">
        <f>IF(ISERROR(VLOOKUP(E407,Nombres!A:D,4,FALSE)),"PROBLEMAAAAAA",VLOOKUP(E407,Nombres!A:D,4,FALSE))</f>
        <v>DEF</v>
      </c>
      <c r="D407" t="str">
        <f>IF(ISERROR(VLOOKUP(E407,Nombres!A:D,3,FALSE)),"PROBLEMAAAAAA",VLOOKUP(E407,Nombres!A:D,3,FALSE))</f>
        <v>Osasuna</v>
      </c>
      <c r="E407" t="s">
        <v>175</v>
      </c>
      <c r="F407" s="1">
        <v>45917</v>
      </c>
      <c r="G407" t="s">
        <v>768</v>
      </c>
      <c r="H407" t="s">
        <v>13</v>
      </c>
      <c r="I407" s="2">
        <v>34082326</v>
      </c>
    </row>
    <row r="408" spans="1:9" x14ac:dyDescent="0.25">
      <c r="A408">
        <v>407</v>
      </c>
      <c r="B408" t="str">
        <f>IF(ISERROR(VLOOKUP(E408,Nombres!A:D,2,FALSE)),"PROBLEMAAAAAA",VLOOKUP(E408,Nombres!A:D,2,FALSE))</f>
        <v>Raba</v>
      </c>
      <c r="C408" t="str">
        <f>IF(ISERROR(VLOOKUP(E408,Nombres!A:D,4,FALSE)),"PROBLEMAAAAAA",VLOOKUP(E408,Nombres!A:D,4,FALSE))</f>
        <v>DEL</v>
      </c>
      <c r="D408" t="str">
        <f>IF(ISERROR(VLOOKUP(E408,Nombres!A:D,3,FALSE)),"PROBLEMAAAAAA",VLOOKUP(E408,Nombres!A:D,3,FALSE))</f>
        <v>Valencia</v>
      </c>
      <c r="E408" t="s">
        <v>112</v>
      </c>
      <c r="F408" s="1">
        <v>45900</v>
      </c>
      <c r="G408" t="s">
        <v>31</v>
      </c>
      <c r="H408" t="s">
        <v>12</v>
      </c>
      <c r="I408" s="2">
        <v>19522766</v>
      </c>
    </row>
    <row r="409" spans="1:9" x14ac:dyDescent="0.25">
      <c r="A409">
        <v>408</v>
      </c>
      <c r="B409" t="str">
        <f>IF(ISERROR(VLOOKUP(E409,Nombres!A:D,2,FALSE)),"PROBLEMAAAAAA",VLOOKUP(E409,Nombres!A:D,2,FALSE))</f>
        <v>Rafa Marín</v>
      </c>
      <c r="C409" t="str">
        <f>IF(ISERROR(VLOOKUP(E409,Nombres!A:D,4,FALSE)),"PROBLEMAAAAAA",VLOOKUP(E409,Nombres!A:D,4,FALSE))</f>
        <v>DEF</v>
      </c>
      <c r="D409" t="str">
        <f>IF(ISERROR(VLOOKUP(E409,Nombres!A:D,3,FALSE)),"PROBLEMAAAAAA",VLOOKUP(E409,Nombres!A:D,3,FALSE))</f>
        <v>Villarreal</v>
      </c>
      <c r="E409" t="s">
        <v>234</v>
      </c>
      <c r="F409" s="1">
        <v>45900</v>
      </c>
      <c r="G409" t="s">
        <v>13</v>
      </c>
      <c r="H409" t="s">
        <v>12</v>
      </c>
      <c r="I409" s="2">
        <v>25100001</v>
      </c>
    </row>
    <row r="410" spans="1:9" x14ac:dyDescent="0.25">
      <c r="A410">
        <v>688</v>
      </c>
      <c r="B410" t="str">
        <f>IF(ISERROR(VLOOKUP(E410,Nombres!A:D,2,FALSE)),"PROBLEMAAAAAA",VLOOKUP(E410,Nombres!A:D,2,FALSE))</f>
        <v>Danjuma</v>
      </c>
      <c r="C410" t="str">
        <f>IF(ISERROR(VLOOKUP(E410,Nombres!A:D,4,FALSE)),"PROBLEMAAAAAA",VLOOKUP(E410,Nombres!A:D,4,FALSE))</f>
        <v>DEL</v>
      </c>
      <c r="D410" t="str">
        <f>IF(ISERROR(VLOOKUP(E410,Nombres!A:D,3,FALSE)),"PROBLEMAAAAAA",VLOOKUP(E410,Nombres!A:D,3,FALSE))</f>
        <v>Valencia</v>
      </c>
      <c r="E410" t="s">
        <v>275</v>
      </c>
      <c r="F410" s="1">
        <v>45929</v>
      </c>
      <c r="G410" t="s">
        <v>768</v>
      </c>
      <c r="H410" t="s">
        <v>13</v>
      </c>
      <c r="I410" s="2">
        <v>20055695</v>
      </c>
    </row>
    <row r="411" spans="1:9" x14ac:dyDescent="0.25">
      <c r="A411">
        <v>410</v>
      </c>
      <c r="B411" t="str">
        <f>IF(ISERROR(VLOOKUP(E411,Nombres!A:D,2,FALSE)),"PROBLEMAAAAAA",VLOOKUP(E411,Nombres!A:D,2,FALSE))</f>
        <v>Stuani</v>
      </c>
      <c r="C411" t="str">
        <f>IF(ISERROR(VLOOKUP(E411,Nombres!A:D,4,FALSE)),"PROBLEMAAAAAA",VLOOKUP(E411,Nombres!A:D,4,FALSE))</f>
        <v>DEL</v>
      </c>
      <c r="D411" t="str">
        <f>IF(ISERROR(VLOOKUP(E411,Nombres!A:D,3,FALSE)),"PROBLEMAAAAAA",VLOOKUP(E411,Nombres!A:D,3,FALSE))</f>
        <v>Girona</v>
      </c>
      <c r="E411" t="s">
        <v>30</v>
      </c>
      <c r="F411" s="1">
        <v>45900</v>
      </c>
      <c r="G411" t="s">
        <v>31</v>
      </c>
      <c r="H411" t="s">
        <v>6</v>
      </c>
      <c r="I411" s="2">
        <v>2497306</v>
      </c>
    </row>
    <row r="412" spans="1:9" x14ac:dyDescent="0.25">
      <c r="A412">
        <v>411</v>
      </c>
      <c r="B412" t="str">
        <f>IF(ISERROR(VLOOKUP(E412,Nombres!A:D,2,FALSE)),"PROBLEMAAAAAA",VLOOKUP(E412,Nombres!A:D,2,FALSE))</f>
        <v>Dendoncker</v>
      </c>
      <c r="C412" t="str">
        <f>IF(ISERROR(VLOOKUP(E412,Nombres!A:D,4,FALSE)),"PROBLEMAAAAAA",VLOOKUP(E412,Nombres!A:D,4,FALSE))</f>
        <v>MED</v>
      </c>
      <c r="D412" t="str">
        <f>IF(ISERROR(VLOOKUP(E412,Nombres!A:D,3,FALSE)),"PROBLEMAAAAAA",VLOOKUP(E412,Nombres!A:D,3,FALSE))</f>
        <v>Real Oviedo</v>
      </c>
      <c r="E412" t="s">
        <v>285</v>
      </c>
      <c r="F412" s="1">
        <v>45901</v>
      </c>
      <c r="G412" t="s">
        <v>10</v>
      </c>
      <c r="H412" t="s">
        <v>31</v>
      </c>
      <c r="I412" s="2">
        <v>8987987</v>
      </c>
    </row>
    <row r="413" spans="1:9" x14ac:dyDescent="0.25">
      <c r="A413">
        <v>412</v>
      </c>
      <c r="B413" t="str">
        <f>IF(ISERROR(VLOOKUP(E413,Nombres!A:D,2,FALSE)),"PROBLEMAAAAAA",VLOOKUP(E413,Nombres!A:D,2,FALSE))</f>
        <v>Dmitrovic</v>
      </c>
      <c r="C413" t="str">
        <f>IF(ISERROR(VLOOKUP(E413,Nombres!A:D,4,FALSE)),"PROBLEMAAAAAA",VLOOKUP(E413,Nombres!A:D,4,FALSE))</f>
        <v>POR</v>
      </c>
      <c r="D413" t="str">
        <f>IF(ISERROR(VLOOKUP(E413,Nombres!A:D,3,FALSE)),"PROBLEMAAAAAA",VLOOKUP(E413,Nombres!A:D,3,FALSE))</f>
        <v>Espanyol</v>
      </c>
      <c r="E413" t="s">
        <v>113</v>
      </c>
      <c r="F413" s="1">
        <v>45901</v>
      </c>
      <c r="G413" t="s">
        <v>768</v>
      </c>
      <c r="H413" t="s">
        <v>6</v>
      </c>
      <c r="I413" s="2">
        <v>14107143</v>
      </c>
    </row>
    <row r="414" spans="1:9" x14ac:dyDescent="0.25">
      <c r="A414">
        <v>413</v>
      </c>
      <c r="B414" t="str">
        <f>IF(ISERROR(VLOOKUP(E414,Nombres!A:D,2,FALSE)),"PROBLEMAAAAAA",VLOOKUP(E414,Nombres!A:D,2,FALSE))</f>
        <v>Garcés</v>
      </c>
      <c r="C414" t="str">
        <f>IF(ISERROR(VLOOKUP(E414,Nombres!A:D,4,FALSE)),"PROBLEMAAAAAA",VLOOKUP(E414,Nombres!A:D,4,FALSE))</f>
        <v>DEF</v>
      </c>
      <c r="D414" t="str">
        <f>IF(ISERROR(VLOOKUP(E414,Nombres!A:D,3,FALSE)),"PROBLEMAAAAAA",VLOOKUP(E414,Nombres!A:D,3,FALSE))</f>
        <v>Alavés</v>
      </c>
      <c r="E414" t="s">
        <v>183</v>
      </c>
      <c r="F414" s="1">
        <v>45901</v>
      </c>
      <c r="G414" t="s">
        <v>6</v>
      </c>
      <c r="H414" t="s">
        <v>768</v>
      </c>
      <c r="I414" s="2">
        <v>1705015</v>
      </c>
    </row>
    <row r="415" spans="1:9" x14ac:dyDescent="0.25">
      <c r="A415">
        <v>414</v>
      </c>
      <c r="B415" t="str">
        <f>IF(ISERROR(VLOOKUP(E415,Nombres!A:D,2,FALSE)),"PROBLEMAAAAAA",VLOOKUP(E415,Nombres!A:D,2,FALSE))</f>
        <v>Isi</v>
      </c>
      <c r="C415" t="str">
        <f>IF(ISERROR(VLOOKUP(E415,Nombres!A:D,4,FALSE)),"PROBLEMAAAAAA",VLOOKUP(E415,Nombres!A:D,4,FALSE))</f>
        <v>DEL</v>
      </c>
      <c r="D415" t="str">
        <f>IF(ISERROR(VLOOKUP(E415,Nombres!A:D,3,FALSE)),"PROBLEMAAAAAA",VLOOKUP(E415,Nombres!A:D,3,FALSE))</f>
        <v>Rayo</v>
      </c>
      <c r="E415" t="s">
        <v>123</v>
      </c>
      <c r="F415" s="1">
        <v>45901</v>
      </c>
      <c r="G415" t="s">
        <v>11</v>
      </c>
      <c r="H415" t="s">
        <v>768</v>
      </c>
      <c r="I415" s="2">
        <v>32000250</v>
      </c>
    </row>
    <row r="416" spans="1:9" x14ac:dyDescent="0.25">
      <c r="A416">
        <v>415</v>
      </c>
      <c r="B416" t="str">
        <f>IF(ISERROR(VLOOKUP(E416,Nombres!A:D,2,FALSE)),"PROBLEMAAAAAA",VLOOKUP(E416,Nombres!A:D,2,FALSE))</f>
        <v>Iván Martín</v>
      </c>
      <c r="C416" t="str">
        <f>IF(ISERROR(VLOOKUP(E416,Nombres!A:D,4,FALSE)),"PROBLEMAAAAAA",VLOOKUP(E416,Nombres!A:D,4,FALSE))</f>
        <v>MED</v>
      </c>
      <c r="D416" t="str">
        <f>IF(ISERROR(VLOOKUP(E416,Nombres!A:D,3,FALSE)),"PROBLEMAAAAAA",VLOOKUP(E416,Nombres!A:D,3,FALSE))</f>
        <v>Girona</v>
      </c>
      <c r="E416" t="s">
        <v>142</v>
      </c>
      <c r="F416" s="1">
        <v>45901</v>
      </c>
      <c r="G416" t="s">
        <v>31</v>
      </c>
      <c r="H416" t="s">
        <v>10</v>
      </c>
      <c r="I416" s="2">
        <v>5954882</v>
      </c>
    </row>
    <row r="417" spans="1:9" x14ac:dyDescent="0.25">
      <c r="A417">
        <v>416</v>
      </c>
      <c r="B417" t="str">
        <f>IF(ISERROR(VLOOKUP(E417,Nombres!A:D,2,FALSE)),"PROBLEMAAAAAA",VLOOKUP(E417,Nombres!A:D,2,FALSE))</f>
        <v>Puado</v>
      </c>
      <c r="C417" t="str">
        <f>IF(ISERROR(VLOOKUP(E417,Nombres!A:D,4,FALSE)),"PROBLEMAAAAAA",VLOOKUP(E417,Nombres!A:D,4,FALSE))</f>
        <v>MED</v>
      </c>
      <c r="D417" t="str">
        <f>IF(ISERROR(VLOOKUP(E417,Nombres!A:D,3,FALSE)),"PROBLEMAAAAAA",VLOOKUP(E417,Nombres!A:D,3,FALSE))</f>
        <v>Espanyol</v>
      </c>
      <c r="E417" t="s">
        <v>283</v>
      </c>
      <c r="F417" s="1">
        <v>45901</v>
      </c>
      <c r="G417" t="s">
        <v>13</v>
      </c>
      <c r="H417" t="s">
        <v>31</v>
      </c>
      <c r="I417" s="2">
        <v>41053831</v>
      </c>
    </row>
    <row r="418" spans="1:9" x14ac:dyDescent="0.25">
      <c r="A418">
        <v>417</v>
      </c>
      <c r="B418" t="str">
        <f>IF(ISERROR(VLOOKUP(E418,Nombres!A:D,2,FALSE)),"PROBLEMAAAAAA",VLOOKUP(E418,Nombres!A:D,2,FALSE))</f>
        <v>Rubén Gómez</v>
      </c>
      <c r="C418" t="str">
        <f>IF(ISERROR(VLOOKUP(E418,Nombres!A:D,4,FALSE)),"PROBLEMAAAAAA",VLOOKUP(E418,Nombres!A:D,4,FALSE))</f>
        <v>POR</v>
      </c>
      <c r="D418" t="str">
        <f>IF(ISERROR(VLOOKUP(E418,Nombres!A:D,3,FALSE)),"PROBLEMAAAAAA",VLOOKUP(E418,Nombres!A:D,3,FALSE))</f>
        <v>Villarreal</v>
      </c>
      <c r="E418" t="s">
        <v>284</v>
      </c>
      <c r="F418" s="1">
        <v>45901</v>
      </c>
      <c r="G418" t="s">
        <v>6</v>
      </c>
      <c r="H418" t="s">
        <v>31</v>
      </c>
      <c r="I418" s="2">
        <v>319076</v>
      </c>
    </row>
    <row r="419" spans="1:9" x14ac:dyDescent="0.25">
      <c r="A419">
        <v>418</v>
      </c>
      <c r="B419" t="str">
        <f>IF(ISERROR(VLOOKUP(E419,Nombres!A:D,2,FALSE)),"PROBLEMAAAAAA",VLOOKUP(E419,Nombres!A:D,2,FALSE))</f>
        <v>Sivera</v>
      </c>
      <c r="C419" t="str">
        <f>IF(ISERROR(VLOOKUP(E419,Nombres!A:D,4,FALSE)),"PROBLEMAAAAAA",VLOOKUP(E419,Nombres!A:D,4,FALSE))</f>
        <v>POR</v>
      </c>
      <c r="D419" t="str">
        <f>IF(ISERROR(VLOOKUP(E419,Nombres!A:D,3,FALSE)),"PROBLEMAAAAAA",VLOOKUP(E419,Nombres!A:D,3,FALSE))</f>
        <v>Alavés</v>
      </c>
      <c r="E419" t="s">
        <v>137</v>
      </c>
      <c r="F419" s="1">
        <v>45901</v>
      </c>
      <c r="G419" t="s">
        <v>6</v>
      </c>
      <c r="H419" t="s">
        <v>768</v>
      </c>
      <c r="I419" s="2">
        <v>15904401</v>
      </c>
    </row>
    <row r="420" spans="1:9" x14ac:dyDescent="0.25">
      <c r="A420">
        <v>419</v>
      </c>
      <c r="B420" t="str">
        <f>IF(ISERROR(VLOOKUP(E420,Nombres!A:D,2,FALSE)),"PROBLEMAAAAAA",VLOOKUP(E420,Nombres!A:D,2,FALSE))</f>
        <v>Uche</v>
      </c>
      <c r="C420" t="str">
        <f>IF(ISERROR(VLOOKUP(E420,Nombres!A:D,4,FALSE)),"PROBLEMAAAAAA",VLOOKUP(E420,Nombres!A:D,4,FALSE))</f>
        <v>MED</v>
      </c>
      <c r="D420" t="str">
        <f>IF(ISERROR(VLOOKUP(E420,Nombres!A:D,3,FALSE)),"PROBLEMAAAAAA",VLOOKUP(E420,Nombres!A:D,3,FALSE))</f>
        <v>Getafe</v>
      </c>
      <c r="E420" t="s">
        <v>333</v>
      </c>
      <c r="F420" s="1">
        <v>45901</v>
      </c>
      <c r="G420" t="s">
        <v>31</v>
      </c>
      <c r="H420" t="s">
        <v>12</v>
      </c>
      <c r="I420" s="2">
        <v>13000000</v>
      </c>
    </row>
    <row r="421" spans="1:9" x14ac:dyDescent="0.25">
      <c r="A421">
        <v>420</v>
      </c>
      <c r="B421" t="str">
        <f>IF(ISERROR(VLOOKUP(E421,Nombres!A:D,2,FALSE)),"PROBLEMAAAAAA",VLOOKUP(E421,Nombres!A:D,2,FALSE))</f>
        <v>Yeremy Pino</v>
      </c>
      <c r="C421" t="str">
        <f>IF(ISERROR(VLOOKUP(E421,Nombres!A:D,4,FALSE)),"PROBLEMAAAAAA",VLOOKUP(E421,Nombres!A:D,4,FALSE))</f>
        <v>DEL</v>
      </c>
      <c r="D421" t="str">
        <f>IF(ISERROR(VLOOKUP(E421,Nombres!A:D,3,FALSE)),"PROBLEMAAAAAA",VLOOKUP(E421,Nombres!A:D,3,FALSE))</f>
        <v>Villarreal</v>
      </c>
      <c r="E421" t="s">
        <v>122</v>
      </c>
      <c r="F421" s="1">
        <v>45901</v>
      </c>
      <c r="G421" t="s">
        <v>31</v>
      </c>
      <c r="H421" t="s">
        <v>768</v>
      </c>
      <c r="I421" s="2">
        <v>19500000</v>
      </c>
    </row>
    <row r="422" spans="1:9" x14ac:dyDescent="0.25">
      <c r="A422">
        <v>421</v>
      </c>
      <c r="B422" t="str">
        <f>IF(ISERROR(VLOOKUP(E422,Nombres!A:D,2,FALSE)),"PROBLEMAAAAAA",VLOOKUP(E422,Nombres!A:D,2,FALSE))</f>
        <v>Oroz</v>
      </c>
      <c r="C422" t="str">
        <f>IF(ISERROR(VLOOKUP(E422,Nombres!A:D,4,FALSE)),"PROBLEMAAAAAA",VLOOKUP(E422,Nombres!A:D,4,FALSE))</f>
        <v>MED</v>
      </c>
      <c r="D422" t="str">
        <f>IF(ISERROR(VLOOKUP(E422,Nombres!A:D,3,FALSE)),"PROBLEMAAAAAA",VLOOKUP(E422,Nombres!A:D,3,FALSE))</f>
        <v>Osasuna</v>
      </c>
      <c r="E422" t="s">
        <v>286</v>
      </c>
      <c r="F422" s="1">
        <v>45902</v>
      </c>
      <c r="G422" t="s">
        <v>31</v>
      </c>
      <c r="H422" t="s">
        <v>10</v>
      </c>
      <c r="I422" s="2">
        <v>16138404</v>
      </c>
    </row>
    <row r="423" spans="1:9" x14ac:dyDescent="0.25">
      <c r="A423">
        <v>422</v>
      </c>
      <c r="B423" t="str">
        <f>IF(ISERROR(VLOOKUP(E423,Nombres!A:D,2,FALSE)),"PROBLEMAAAAAA",VLOOKUP(E423,Nombres!A:D,2,FALSE))</f>
        <v>Arambarri</v>
      </c>
      <c r="C423" t="str">
        <f>IF(ISERROR(VLOOKUP(E423,Nombres!A:D,4,FALSE)),"PROBLEMAAAAAA",VLOOKUP(E423,Nombres!A:D,4,FALSE))</f>
        <v>MED</v>
      </c>
      <c r="D423" t="str">
        <f>IF(ISERROR(VLOOKUP(E423,Nombres!A:D,3,FALSE)),"PROBLEMAAAAAA",VLOOKUP(E423,Nombres!A:D,3,FALSE))</f>
        <v>Getafe</v>
      </c>
      <c r="E423" t="s">
        <v>73</v>
      </c>
      <c r="F423" s="1">
        <v>45902</v>
      </c>
      <c r="G423" t="s">
        <v>31</v>
      </c>
      <c r="H423" t="s">
        <v>13</v>
      </c>
      <c r="I423" s="2">
        <v>10476412</v>
      </c>
    </row>
    <row r="424" spans="1:9" x14ac:dyDescent="0.25">
      <c r="A424">
        <v>423</v>
      </c>
      <c r="B424" t="str">
        <f>IF(ISERROR(VLOOKUP(E424,Nombres!A:D,2,FALSE)),"PROBLEMAAAAAA",VLOOKUP(E424,Nombres!A:D,2,FALSE))</f>
        <v>Coba</v>
      </c>
      <c r="C424" t="str">
        <f>IF(ISERROR(VLOOKUP(E424,Nombres!A:D,4,FALSE)),"PROBLEMAAAAAA",VLOOKUP(E424,Nombres!A:D,4,FALSE))</f>
        <v>MED</v>
      </c>
      <c r="D424" t="str">
        <f>IF(ISERROR(VLOOKUP(E424,Nombres!A:D,3,FALSE)),"PROBLEMAAAAAA",VLOOKUP(E424,Nombres!A:D,3,FALSE))</f>
        <v>Getafe</v>
      </c>
      <c r="E424" t="s">
        <v>65</v>
      </c>
      <c r="F424" s="1">
        <v>45902</v>
      </c>
      <c r="G424" t="s">
        <v>31</v>
      </c>
      <c r="H424" t="s">
        <v>6</v>
      </c>
      <c r="I424" s="2">
        <v>397823</v>
      </c>
    </row>
    <row r="425" spans="1:9" x14ac:dyDescent="0.25">
      <c r="A425">
        <v>424</v>
      </c>
      <c r="B425" t="str">
        <f>IF(ISERROR(VLOOKUP(E425,Nombres!A:D,2,FALSE)),"PROBLEMAAAAAA",VLOOKUP(E425,Nombres!A:D,2,FALSE))</f>
        <v>Luis Milla</v>
      </c>
      <c r="C425" t="str">
        <f>IF(ISERROR(VLOOKUP(E425,Nombres!A:D,4,FALSE)),"PROBLEMAAAAAA",VLOOKUP(E425,Nombres!A:D,4,FALSE))</f>
        <v>MED</v>
      </c>
      <c r="D425" t="str">
        <f>IF(ISERROR(VLOOKUP(E425,Nombres!A:D,3,FALSE)),"PROBLEMAAAAAA",VLOOKUP(E425,Nombres!A:D,3,FALSE))</f>
        <v>Getafe</v>
      </c>
      <c r="E425" t="s">
        <v>326</v>
      </c>
      <c r="F425" s="1">
        <v>45902</v>
      </c>
      <c r="G425" t="s">
        <v>13</v>
      </c>
      <c r="H425" t="s">
        <v>768</v>
      </c>
      <c r="I425" s="2">
        <v>18956233</v>
      </c>
    </row>
    <row r="426" spans="1:9" x14ac:dyDescent="0.25">
      <c r="A426">
        <v>425</v>
      </c>
      <c r="B426" t="str">
        <f>IF(ISERROR(VLOOKUP(E426,Nombres!A:D,2,FALSE)),"PROBLEMAAAAAA",VLOOKUP(E426,Nombres!A:D,2,FALSE))</f>
        <v>Rafa Mir</v>
      </c>
      <c r="C426" t="str">
        <f>IF(ISERROR(VLOOKUP(E426,Nombres!A:D,4,FALSE)),"PROBLEMAAAAAA",VLOOKUP(E426,Nombres!A:D,4,FALSE))</f>
        <v>DEL</v>
      </c>
      <c r="D426" t="str">
        <f>IF(ISERROR(VLOOKUP(E426,Nombres!A:D,3,FALSE)),"PROBLEMAAAAAA",VLOOKUP(E426,Nombres!A:D,3,FALSE))</f>
        <v>Elche</v>
      </c>
      <c r="E426" t="s">
        <v>287</v>
      </c>
      <c r="F426" s="1">
        <v>45902</v>
      </c>
      <c r="G426" t="s">
        <v>13</v>
      </c>
      <c r="H426" t="s">
        <v>31</v>
      </c>
      <c r="I426" s="2">
        <v>11460297</v>
      </c>
    </row>
    <row r="427" spans="1:9" x14ac:dyDescent="0.25">
      <c r="A427">
        <v>426</v>
      </c>
      <c r="B427" t="str">
        <f>IF(ISERROR(VLOOKUP(E427,Nombres!A:D,2,FALSE)),"PROBLEMAAAAAA",VLOOKUP(E427,Nombres!A:D,2,FALSE))</f>
        <v>Ramazani</v>
      </c>
      <c r="C427" t="str">
        <f>IF(ISERROR(VLOOKUP(E427,Nombres!A:D,4,FALSE)),"PROBLEMAAAAAA",VLOOKUP(E427,Nombres!A:D,4,FALSE))</f>
        <v>DEL</v>
      </c>
      <c r="D427" t="str">
        <f>IF(ISERROR(VLOOKUP(E427,Nombres!A:D,3,FALSE)),"PROBLEMAAAAAA",VLOOKUP(E427,Nombres!A:D,3,FALSE))</f>
        <v>Valencia</v>
      </c>
      <c r="E427" t="s">
        <v>289</v>
      </c>
      <c r="F427" s="1">
        <v>45902</v>
      </c>
      <c r="G427" t="s">
        <v>10</v>
      </c>
      <c r="H427" t="s">
        <v>31</v>
      </c>
      <c r="I427" s="2">
        <v>12878752</v>
      </c>
    </row>
    <row r="428" spans="1:9" x14ac:dyDescent="0.25">
      <c r="A428">
        <v>427</v>
      </c>
      <c r="B428" t="str">
        <f>IF(ISERROR(VLOOKUP(E428,Nombres!A:D,2,FALSE)),"PROBLEMAAAAAA",VLOOKUP(E428,Nombres!A:D,2,FALSE))</f>
        <v>Tenaglia</v>
      </c>
      <c r="C428" t="str">
        <f>IF(ISERROR(VLOOKUP(E428,Nombres!A:D,4,FALSE)),"PROBLEMAAAAAA",VLOOKUP(E428,Nombres!A:D,4,FALSE))</f>
        <v>DEF</v>
      </c>
      <c r="D428" t="str">
        <f>IF(ISERROR(VLOOKUP(E428,Nombres!A:D,3,FALSE)),"PROBLEMAAAAAA",VLOOKUP(E428,Nombres!A:D,3,FALSE))</f>
        <v>Alavés</v>
      </c>
      <c r="E428" t="s">
        <v>288</v>
      </c>
      <c r="F428" s="1">
        <v>45902</v>
      </c>
      <c r="G428" t="s">
        <v>13</v>
      </c>
      <c r="H428" t="s">
        <v>31</v>
      </c>
      <c r="I428" s="2">
        <v>14284108</v>
      </c>
    </row>
    <row r="429" spans="1:9" x14ac:dyDescent="0.25">
      <c r="A429">
        <v>428</v>
      </c>
      <c r="B429" t="str">
        <f>IF(ISERROR(VLOOKUP(E429,Nombres!A:D,2,FALSE)),"PROBLEMAAAAAA",VLOOKUP(E429,Nombres!A:D,2,FALSE))</f>
        <v>Almada</v>
      </c>
      <c r="C429" t="str">
        <f>IF(ISERROR(VLOOKUP(E429,Nombres!A:D,4,FALSE)),"PROBLEMAAAAAA",VLOOKUP(E429,Nombres!A:D,4,FALSE))</f>
        <v>MED</v>
      </c>
      <c r="D429" t="str">
        <f>IF(ISERROR(VLOOKUP(E429,Nombres!A:D,3,FALSE)),"PROBLEMAAAAAA",VLOOKUP(E429,Nombres!A:D,3,FALSE))</f>
        <v>Atlético</v>
      </c>
      <c r="E429" t="s">
        <v>110</v>
      </c>
      <c r="F429" s="1">
        <v>45903</v>
      </c>
      <c r="G429" t="s">
        <v>768</v>
      </c>
      <c r="H429" t="s">
        <v>11</v>
      </c>
      <c r="I429" s="2">
        <v>28577264</v>
      </c>
    </row>
    <row r="430" spans="1:9" x14ac:dyDescent="0.25">
      <c r="A430">
        <v>441</v>
      </c>
      <c r="B430" t="str">
        <f>IF(ISERROR(VLOOKUP(E430,Nombres!A:D,2,FALSE)),"PROBLEMAAAAAA",VLOOKUP(E430,Nombres!A:D,2,FALSE))</f>
        <v>C. Álvarez</v>
      </c>
      <c r="C430" t="str">
        <f>IF(ISERROR(VLOOKUP(E430,Nombres!A:D,4,FALSE)),"PROBLEMAAAAAA",VLOOKUP(E430,Nombres!A:D,4,FALSE))</f>
        <v>MED</v>
      </c>
      <c r="D430" t="str">
        <f>IF(ISERROR(VLOOKUP(E430,Nombres!A:D,3,FALSE)),"PROBLEMAAAAAA",VLOOKUP(E430,Nombres!A:D,3,FALSE))</f>
        <v>Levante</v>
      </c>
      <c r="E430" t="s">
        <v>331</v>
      </c>
      <c r="F430" s="1">
        <v>45904</v>
      </c>
      <c r="G430" t="s">
        <v>13</v>
      </c>
      <c r="H430" t="s">
        <v>12</v>
      </c>
      <c r="I430" s="2">
        <v>2611001</v>
      </c>
    </row>
    <row r="431" spans="1:9" x14ac:dyDescent="0.25">
      <c r="A431">
        <v>430</v>
      </c>
      <c r="B431" t="str">
        <f>IF(ISERROR(VLOOKUP(E431,Nombres!A:D,2,FALSE)),"PROBLEMAAAAAA",VLOOKUP(E431,Nombres!A:D,2,FALSE))</f>
        <v>Boyomo</v>
      </c>
      <c r="C431" t="str">
        <f>IF(ISERROR(VLOOKUP(E431,Nombres!A:D,4,FALSE)),"PROBLEMAAAAAA",VLOOKUP(E431,Nombres!A:D,4,FALSE))</f>
        <v>DEF</v>
      </c>
      <c r="D431" t="str">
        <f>IF(ISERROR(VLOOKUP(E431,Nombres!A:D,3,FALSE)),"PROBLEMAAAAAA",VLOOKUP(E431,Nombres!A:D,3,FALSE))</f>
        <v>Osasuna</v>
      </c>
      <c r="E431" t="s">
        <v>115</v>
      </c>
      <c r="F431" s="1">
        <v>45903</v>
      </c>
      <c r="G431" t="s">
        <v>768</v>
      </c>
      <c r="H431" t="s">
        <v>11</v>
      </c>
      <c r="I431" s="2">
        <v>14947178</v>
      </c>
    </row>
    <row r="432" spans="1:9" x14ac:dyDescent="0.25">
      <c r="A432">
        <v>431</v>
      </c>
      <c r="B432" t="str">
        <f>IF(ISERROR(VLOOKUP(E432,Nombres!A:D,2,FALSE)),"PROBLEMAAAAAA",VLOOKUP(E432,Nombres!A:D,2,FALSE))</f>
        <v>Brahim</v>
      </c>
      <c r="C432" t="str">
        <f>IF(ISERROR(VLOOKUP(E432,Nombres!A:D,4,FALSE)),"PROBLEMAAAAAA",VLOOKUP(E432,Nombres!A:D,4,FALSE))</f>
        <v>MED</v>
      </c>
      <c r="D432" t="str">
        <f>IF(ISERROR(VLOOKUP(E432,Nombres!A:D,3,FALSE)),"PROBLEMAAAAAA",VLOOKUP(E432,Nombres!A:D,3,FALSE))</f>
        <v>Real Madrid</v>
      </c>
      <c r="E432" t="s">
        <v>62</v>
      </c>
      <c r="F432" s="1">
        <v>45903</v>
      </c>
      <c r="G432" t="s">
        <v>31</v>
      </c>
      <c r="H432" t="s">
        <v>12</v>
      </c>
      <c r="I432" s="2">
        <v>18051132</v>
      </c>
    </row>
    <row r="433" spans="1:9" x14ac:dyDescent="0.25">
      <c r="A433">
        <v>432</v>
      </c>
      <c r="B433" t="str">
        <f>IF(ISERROR(VLOOKUP(E433,Nombres!A:D,2,FALSE)),"PROBLEMAAAAAA",VLOOKUP(E433,Nombres!A:D,2,FALSE))</f>
        <v>Castrín</v>
      </c>
      <c r="C433" t="str">
        <f>IF(ISERROR(VLOOKUP(E433,Nombres!A:D,4,FALSE)),"PROBLEMAAAAAA",VLOOKUP(E433,Nombres!A:D,4,FALSE))</f>
        <v>DEF</v>
      </c>
      <c r="D433" t="str">
        <f>IF(ISERROR(VLOOKUP(E433,Nombres!A:D,3,FALSE)),"PROBLEMAAAAAA",VLOOKUP(E433,Nombres!A:D,3,FALSE))</f>
        <v>Sevilla</v>
      </c>
      <c r="E433" t="s">
        <v>292</v>
      </c>
      <c r="F433" s="1">
        <v>45903</v>
      </c>
      <c r="G433" t="s">
        <v>12</v>
      </c>
      <c r="H433" t="s">
        <v>31</v>
      </c>
      <c r="I433" s="2">
        <v>3100010</v>
      </c>
    </row>
    <row r="434" spans="1:9" x14ac:dyDescent="0.25">
      <c r="A434">
        <v>433</v>
      </c>
      <c r="B434" t="str">
        <f>IF(ISERROR(VLOOKUP(E434,Nombres!A:D,2,FALSE)),"PROBLEMAAAAAA",VLOOKUP(E434,Nombres!A:D,2,FALSE))</f>
        <v>Soria</v>
      </c>
      <c r="C434" t="str">
        <f>IF(ISERROR(VLOOKUP(E434,Nombres!A:D,4,FALSE)),"PROBLEMAAAAAA",VLOOKUP(E434,Nombres!A:D,4,FALSE))</f>
        <v>POR</v>
      </c>
      <c r="D434" t="str">
        <f>IF(ISERROR(VLOOKUP(E434,Nombres!A:D,3,FALSE)),"PROBLEMAAAAAA",VLOOKUP(E434,Nombres!A:D,3,FALSE))</f>
        <v>Getafe</v>
      </c>
      <c r="E434" t="s">
        <v>255</v>
      </c>
      <c r="F434" s="1">
        <v>45903</v>
      </c>
      <c r="G434" t="s">
        <v>31</v>
      </c>
      <c r="H434" t="s">
        <v>12</v>
      </c>
      <c r="I434" s="2">
        <v>26425597</v>
      </c>
    </row>
    <row r="435" spans="1:9" x14ac:dyDescent="0.25">
      <c r="A435">
        <v>434</v>
      </c>
      <c r="B435" t="str">
        <f>IF(ISERROR(VLOOKUP(E435,Nombres!A:D,2,FALSE)),"PROBLEMAAAAAA",VLOOKUP(E435,Nombres!A:D,2,FALSE))</f>
        <v>Natan</v>
      </c>
      <c r="C435" t="str">
        <f>IF(ISERROR(VLOOKUP(E435,Nombres!A:D,4,FALSE)),"PROBLEMAAAAAA",VLOOKUP(E435,Nombres!A:D,4,FALSE))</f>
        <v>DEF</v>
      </c>
      <c r="D435" t="str">
        <f>IF(ISERROR(VLOOKUP(E435,Nombres!A:D,3,FALSE)),"PROBLEMAAAAAA",VLOOKUP(E435,Nombres!A:D,3,FALSE))</f>
        <v>Betis</v>
      </c>
      <c r="E435" t="s">
        <v>118</v>
      </c>
      <c r="F435" s="1">
        <v>45903</v>
      </c>
      <c r="G435" t="s">
        <v>31</v>
      </c>
      <c r="H435" t="s">
        <v>768</v>
      </c>
      <c r="I435" s="2">
        <v>20731311</v>
      </c>
    </row>
    <row r="436" spans="1:9" x14ac:dyDescent="0.25">
      <c r="A436">
        <v>435</v>
      </c>
      <c r="B436" t="str">
        <f>IF(ISERROR(VLOOKUP(E436,Nombres!A:D,2,FALSE)),"PROBLEMAAAAAA",VLOOKUP(E436,Nombres!A:D,2,FALSE))</f>
        <v>Pablo García</v>
      </c>
      <c r="C436" t="str">
        <f>IF(ISERROR(VLOOKUP(E436,Nombres!A:D,4,FALSE)),"PROBLEMAAAAAA",VLOOKUP(E436,Nombres!A:D,4,FALSE))</f>
        <v>DEL</v>
      </c>
      <c r="D436" t="str">
        <f>IF(ISERROR(VLOOKUP(E436,Nombres!A:D,3,FALSE)),"PROBLEMAAAAAA",VLOOKUP(E436,Nombres!A:D,3,FALSE))</f>
        <v>Betis</v>
      </c>
      <c r="E436" t="s">
        <v>265</v>
      </c>
      <c r="F436" s="1">
        <v>45903</v>
      </c>
      <c r="G436" t="s">
        <v>31</v>
      </c>
      <c r="H436" t="s">
        <v>9</v>
      </c>
      <c r="I436" s="2">
        <v>3735836</v>
      </c>
    </row>
    <row r="437" spans="1:9" x14ac:dyDescent="0.25">
      <c r="A437">
        <v>436</v>
      </c>
      <c r="B437" t="str">
        <f>IF(ISERROR(VLOOKUP(E437,Nombres!A:D,2,FALSE)),"PROBLEMAAAAAA",VLOOKUP(E437,Nombres!A:D,2,FALSE))</f>
        <v>Puado</v>
      </c>
      <c r="C437" t="str">
        <f>IF(ISERROR(VLOOKUP(E437,Nombres!A:D,4,FALSE)),"PROBLEMAAAAAA",VLOOKUP(E437,Nombres!A:D,4,FALSE))</f>
        <v>MED</v>
      </c>
      <c r="D437" t="str">
        <f>IF(ISERROR(VLOOKUP(E437,Nombres!A:D,3,FALSE)),"PROBLEMAAAAAA",VLOOKUP(E437,Nombres!A:D,3,FALSE))</f>
        <v>Espanyol</v>
      </c>
      <c r="E437" t="s">
        <v>283</v>
      </c>
      <c r="F437" s="1">
        <v>45903</v>
      </c>
      <c r="G437" t="s">
        <v>31</v>
      </c>
      <c r="H437" t="s">
        <v>13</v>
      </c>
      <c r="I437" s="2">
        <v>39923050</v>
      </c>
    </row>
    <row r="438" spans="1:9" x14ac:dyDescent="0.25">
      <c r="A438">
        <v>437</v>
      </c>
      <c r="B438" t="str">
        <f>IF(ISERROR(VLOOKUP(E438,Nombres!A:D,2,FALSE)),"PROBLEMAAAAAA",VLOOKUP(E438,Nombres!A:D,2,FALSE))</f>
        <v>Herrera</v>
      </c>
      <c r="C438" t="str">
        <f>IF(ISERROR(VLOOKUP(E438,Nombres!A:D,4,FALSE)),"PROBLEMAAAAAA",VLOOKUP(E438,Nombres!A:D,4,FALSE))</f>
        <v>POR</v>
      </c>
      <c r="D438" t="str">
        <f>IF(ISERROR(VLOOKUP(E438,Nombres!A:D,3,FALSE)),"PROBLEMAAAAAA",VLOOKUP(E438,Nombres!A:D,3,FALSE))</f>
        <v>Osasuna</v>
      </c>
      <c r="E438" t="s">
        <v>290</v>
      </c>
      <c r="F438" s="1">
        <v>45903</v>
      </c>
      <c r="G438" t="s">
        <v>12</v>
      </c>
      <c r="H438" t="s">
        <v>31</v>
      </c>
      <c r="I438" s="2">
        <v>22159096</v>
      </c>
    </row>
    <row r="439" spans="1:9" x14ac:dyDescent="0.25">
      <c r="A439">
        <v>438</v>
      </c>
      <c r="B439" t="str">
        <f>IF(ISERROR(VLOOKUP(E439,Nombres!A:D,2,FALSE)),"PROBLEMAAAAAA",VLOOKUP(E439,Nombres!A:D,2,FALSE))</f>
        <v>Carlos Soler</v>
      </c>
      <c r="C439" t="str">
        <f>IF(ISERROR(VLOOKUP(E439,Nombres!A:D,4,FALSE)),"PROBLEMAAAAAA",VLOOKUP(E439,Nombres!A:D,4,FALSE))</f>
        <v>MED</v>
      </c>
      <c r="D439" t="str">
        <f>IF(ISERROR(VLOOKUP(E439,Nombres!A:D,3,FALSE)),"PROBLEMAAAAAA",VLOOKUP(E439,Nombres!A:D,3,FALSE))</f>
        <v>Real Sociedad</v>
      </c>
      <c r="E439" t="s">
        <v>291</v>
      </c>
      <c r="F439" s="1">
        <v>45903</v>
      </c>
      <c r="G439" t="s">
        <v>9</v>
      </c>
      <c r="H439" t="s">
        <v>31</v>
      </c>
      <c r="I439" s="2">
        <v>18392778</v>
      </c>
    </row>
    <row r="440" spans="1:9" x14ac:dyDescent="0.25">
      <c r="A440">
        <v>439</v>
      </c>
      <c r="B440" t="str">
        <f>IF(ISERROR(VLOOKUP(E440,Nombres!A:D,2,FALSE)),"PROBLEMAAAAAA",VLOOKUP(E440,Nombres!A:D,2,FALSE))</f>
        <v>Vivian</v>
      </c>
      <c r="C440" t="str">
        <f>IF(ISERROR(VLOOKUP(E440,Nombres!A:D,4,FALSE)),"PROBLEMAAAAAA",VLOOKUP(E440,Nombres!A:D,4,FALSE))</f>
        <v>DEF</v>
      </c>
      <c r="D440" t="str">
        <f>IF(ISERROR(VLOOKUP(E440,Nombres!A:D,3,FALSE)),"PROBLEMAAAAAA",VLOOKUP(E440,Nombres!A:D,3,FALSE))</f>
        <v>Athletic</v>
      </c>
      <c r="E440" t="s">
        <v>213</v>
      </c>
      <c r="F440" s="1">
        <v>45903</v>
      </c>
      <c r="G440" t="s">
        <v>31</v>
      </c>
      <c r="H440" t="s">
        <v>768</v>
      </c>
      <c r="I440" s="2">
        <v>41433383</v>
      </c>
    </row>
    <row r="441" spans="1:9" x14ac:dyDescent="0.25">
      <c r="A441">
        <v>440</v>
      </c>
      <c r="B441" t="str">
        <f>IF(ISERROR(VLOOKUP(E441,Nombres!A:D,2,FALSE)),"PROBLEMAAAAAA",VLOOKUP(E441,Nombres!A:D,2,FALSE))</f>
        <v>Abqar</v>
      </c>
      <c r="C441" t="str">
        <f>IF(ISERROR(VLOOKUP(E441,Nombres!A:D,4,FALSE)),"PROBLEMAAAAAA",VLOOKUP(E441,Nombres!A:D,4,FALSE))</f>
        <v>DEF</v>
      </c>
      <c r="D441" t="str">
        <f>IF(ISERROR(VLOOKUP(E441,Nombres!A:D,3,FALSE)),"PROBLEMAAAAAA",VLOOKUP(E441,Nombres!A:D,3,FALSE))</f>
        <v>Getafe</v>
      </c>
      <c r="E441" t="s">
        <v>294</v>
      </c>
      <c r="F441" s="1">
        <v>45904</v>
      </c>
      <c r="G441" t="s">
        <v>11</v>
      </c>
      <c r="H441" t="s">
        <v>31</v>
      </c>
      <c r="I441" s="2">
        <v>12100000</v>
      </c>
    </row>
    <row r="442" spans="1:9" x14ac:dyDescent="0.25">
      <c r="A442">
        <v>454</v>
      </c>
      <c r="B442" t="str">
        <f>IF(ISERROR(VLOOKUP(E442,Nombres!A:D,2,FALSE)),"PROBLEMAAAAAA",VLOOKUP(E442,Nombres!A:D,2,FALSE))</f>
        <v>Álvaro García</v>
      </c>
      <c r="C442" t="str">
        <f>IF(ISERROR(VLOOKUP(E442,Nombres!A:D,4,FALSE)),"PROBLEMAAAAAA",VLOOKUP(E442,Nombres!A:D,4,FALSE))</f>
        <v>MED</v>
      </c>
      <c r="D442" t="str">
        <f>IF(ISERROR(VLOOKUP(E442,Nombres!A:D,3,FALSE)),"PROBLEMAAAAAA",VLOOKUP(E442,Nombres!A:D,3,FALSE))</f>
        <v>Rayo</v>
      </c>
      <c r="E442" t="s">
        <v>60</v>
      </c>
      <c r="F442" s="1">
        <v>45907</v>
      </c>
      <c r="G442" t="s">
        <v>14</v>
      </c>
      <c r="H442" t="s">
        <v>31</v>
      </c>
      <c r="I442" s="2">
        <v>23000001</v>
      </c>
    </row>
    <row r="443" spans="1:9" x14ac:dyDescent="0.25">
      <c r="A443">
        <v>442</v>
      </c>
      <c r="B443" t="str">
        <f>IF(ISERROR(VLOOKUP(E443,Nombres!A:D,2,FALSE)),"PROBLEMAAAAAA",VLOOKUP(E443,Nombres!A:D,2,FALSE))</f>
        <v>Virgili</v>
      </c>
      <c r="C443" t="str">
        <f>IF(ISERROR(VLOOKUP(E443,Nombres!A:D,4,FALSE)),"PROBLEMAAAAAA",VLOOKUP(E443,Nombres!A:D,4,FALSE))</f>
        <v>DEL</v>
      </c>
      <c r="D443" t="str">
        <f>IF(ISERROR(VLOOKUP(E443,Nombres!A:D,3,FALSE)),"PROBLEMAAAAAA",VLOOKUP(E443,Nombres!A:D,3,FALSE))</f>
        <v>Mallorca</v>
      </c>
      <c r="E443" t="s">
        <v>293</v>
      </c>
      <c r="F443" s="1">
        <v>45904</v>
      </c>
      <c r="G443" t="s">
        <v>9</v>
      </c>
      <c r="H443" t="s">
        <v>31</v>
      </c>
      <c r="I443" s="2">
        <v>2531963</v>
      </c>
    </row>
    <row r="444" spans="1:9" x14ac:dyDescent="0.25">
      <c r="A444">
        <v>443</v>
      </c>
      <c r="B444" t="str">
        <f>IF(ISERROR(VLOOKUP(E444,Nombres!A:D,2,FALSE)),"PROBLEMAAAAAA",VLOOKUP(E444,Nombres!A:D,2,FALSE))</f>
        <v>Dolan</v>
      </c>
      <c r="C444" t="str">
        <f>IF(ISERROR(VLOOKUP(E444,Nombres!A:D,4,FALSE)),"PROBLEMAAAAAA",VLOOKUP(E444,Nombres!A:D,4,FALSE))</f>
        <v>DEL</v>
      </c>
      <c r="D444" t="str">
        <f>IF(ISERROR(VLOOKUP(E444,Nombres!A:D,3,FALSE)),"PROBLEMAAAAAA",VLOOKUP(E444,Nombres!A:D,3,FALSE))</f>
        <v>Espanyol</v>
      </c>
      <c r="E444" t="s">
        <v>295</v>
      </c>
      <c r="F444" s="1">
        <v>45905</v>
      </c>
      <c r="G444" t="s">
        <v>11</v>
      </c>
      <c r="H444" t="s">
        <v>31</v>
      </c>
      <c r="I444" s="2">
        <v>5100000</v>
      </c>
    </row>
    <row r="445" spans="1:9" x14ac:dyDescent="0.25">
      <c r="A445">
        <v>444</v>
      </c>
      <c r="B445" t="str">
        <f>IF(ISERROR(VLOOKUP(E445,Nombres!A:D,2,FALSE)),"PROBLEMAAAAAA",VLOOKUP(E445,Nombres!A:D,2,FALSE))</f>
        <v>Romero</v>
      </c>
      <c r="C445" t="str">
        <f>IF(ISERROR(VLOOKUP(E445,Nombres!A:D,4,FALSE)),"PROBLEMAAAAAA",VLOOKUP(E445,Nombres!A:D,4,FALSE))</f>
        <v>DEL</v>
      </c>
      <c r="D445" t="str">
        <f>IF(ISERROR(VLOOKUP(E445,Nombres!A:D,3,FALSE)),"PROBLEMAAAAAA",VLOOKUP(E445,Nombres!A:D,3,FALSE))</f>
        <v>Sevilla</v>
      </c>
      <c r="E445" t="s">
        <v>187</v>
      </c>
      <c r="F445" s="1">
        <v>45905</v>
      </c>
      <c r="G445" t="s">
        <v>10</v>
      </c>
      <c r="H445" t="s">
        <v>31</v>
      </c>
      <c r="I445" s="2">
        <v>7987987</v>
      </c>
    </row>
    <row r="446" spans="1:9" x14ac:dyDescent="0.25">
      <c r="A446">
        <v>445</v>
      </c>
      <c r="B446" t="str">
        <f>IF(ISERROR(VLOOKUP(E446,Nombres!A:D,2,FALSE)),"PROBLEMAAAAAA",VLOOKUP(E446,Nombres!A:D,2,FALSE))</f>
        <v>Joan Garcia</v>
      </c>
      <c r="C446" t="str">
        <f>IF(ISERROR(VLOOKUP(E446,Nombres!A:D,4,FALSE)),"PROBLEMAAAAAA",VLOOKUP(E446,Nombres!A:D,4,FALSE))</f>
        <v>POR</v>
      </c>
      <c r="D446" t="str">
        <f>IF(ISERROR(VLOOKUP(E446,Nombres!A:D,3,FALSE)),"PROBLEMAAAAAA",VLOOKUP(E446,Nombres!A:D,3,FALSE))</f>
        <v>Barcelona</v>
      </c>
      <c r="E446" t="s">
        <v>297</v>
      </c>
      <c r="F446" s="1">
        <v>45905</v>
      </c>
      <c r="G446" t="s">
        <v>768</v>
      </c>
      <c r="H446" t="s">
        <v>31</v>
      </c>
      <c r="I446" s="2">
        <v>76000000</v>
      </c>
    </row>
    <row r="447" spans="1:9" x14ac:dyDescent="0.25">
      <c r="A447">
        <v>446</v>
      </c>
      <c r="B447" t="str">
        <f>IF(ISERROR(VLOOKUP(E447,Nombres!A:D,2,FALSE)),"PROBLEMAAAAAA",VLOOKUP(E447,Nombres!A:D,2,FALSE))</f>
        <v>Lejeune</v>
      </c>
      <c r="C447" t="str">
        <f>IF(ISERROR(VLOOKUP(E447,Nombres!A:D,4,FALSE)),"PROBLEMAAAAAA",VLOOKUP(E447,Nombres!A:D,4,FALSE))</f>
        <v>DEF</v>
      </c>
      <c r="D447" t="str">
        <f>IF(ISERROR(VLOOKUP(E447,Nombres!A:D,3,FALSE)),"PROBLEMAAAAAA",VLOOKUP(E447,Nombres!A:D,3,FALSE))</f>
        <v>Rayo</v>
      </c>
      <c r="E447" t="s">
        <v>127</v>
      </c>
      <c r="F447" s="1">
        <v>45905</v>
      </c>
      <c r="G447" t="s">
        <v>31</v>
      </c>
      <c r="H447" t="s">
        <v>9</v>
      </c>
      <c r="I447" s="2">
        <v>16501453</v>
      </c>
    </row>
    <row r="448" spans="1:9" x14ac:dyDescent="0.25">
      <c r="A448">
        <v>447</v>
      </c>
      <c r="B448" t="str">
        <f>IF(ISERROR(VLOOKUP(E448,Nombres!A:D,2,FALSE)),"PROBLEMAAAAAA",VLOOKUP(E448,Nombres!A:D,2,FALSE))</f>
        <v>D. Llorente</v>
      </c>
      <c r="C448" t="str">
        <f>IF(ISERROR(VLOOKUP(E448,Nombres!A:D,4,FALSE)),"PROBLEMAAAAAA",VLOOKUP(E448,Nombres!A:D,4,FALSE))</f>
        <v>DEF</v>
      </c>
      <c r="D448" t="str">
        <f>IF(ISERROR(VLOOKUP(E448,Nombres!A:D,3,FALSE)),"PROBLEMAAAAAA",VLOOKUP(E448,Nombres!A:D,3,FALSE))</f>
        <v>Betis</v>
      </c>
      <c r="E448" t="s">
        <v>83</v>
      </c>
      <c r="F448" s="1">
        <v>45905</v>
      </c>
      <c r="G448" t="s">
        <v>13</v>
      </c>
      <c r="H448" t="s">
        <v>31</v>
      </c>
      <c r="I448" s="2">
        <v>3760715</v>
      </c>
    </row>
    <row r="449" spans="1:9" x14ac:dyDescent="0.25">
      <c r="A449">
        <v>448</v>
      </c>
      <c r="B449" t="str">
        <f>IF(ISERROR(VLOOKUP(E449,Nombres!A:D,2,FALSE)),"PROBLEMAAAAAA",VLOOKUP(E449,Nombres!A:D,2,FALSE))</f>
        <v>Suazo</v>
      </c>
      <c r="C449" t="str">
        <f>IF(ISERROR(VLOOKUP(E449,Nombres!A:D,4,FALSE)),"PROBLEMAAAAAA",VLOOKUP(E449,Nombres!A:D,4,FALSE))</f>
        <v>DEF</v>
      </c>
      <c r="D449" t="str">
        <f>IF(ISERROR(VLOOKUP(E449,Nombres!A:D,3,FALSE)),"PROBLEMAAAAAA",VLOOKUP(E449,Nombres!A:D,3,FALSE))</f>
        <v>Sevilla</v>
      </c>
      <c r="E449" t="s">
        <v>296</v>
      </c>
      <c r="F449" s="1">
        <v>45905</v>
      </c>
      <c r="G449" t="s">
        <v>10</v>
      </c>
      <c r="H449" t="s">
        <v>31</v>
      </c>
      <c r="I449" s="2">
        <v>8975124</v>
      </c>
    </row>
    <row r="450" spans="1:9" x14ac:dyDescent="0.25">
      <c r="A450">
        <v>449</v>
      </c>
      <c r="B450" t="str">
        <f>IF(ISERROR(VLOOKUP(E450,Nombres!A:D,2,FALSE)),"PROBLEMAAAAAA",VLOOKUP(E450,Nombres!A:D,2,FALSE))</f>
        <v>Arambarri</v>
      </c>
      <c r="C450" t="str">
        <f>IF(ISERROR(VLOOKUP(E450,Nombres!A:D,4,FALSE)),"PROBLEMAAAAAA",VLOOKUP(E450,Nombres!A:D,4,FALSE))</f>
        <v>MED</v>
      </c>
      <c r="D450" t="str">
        <f>IF(ISERROR(VLOOKUP(E450,Nombres!A:D,3,FALSE)),"PROBLEMAAAAAA",VLOOKUP(E450,Nombres!A:D,3,FALSE))</f>
        <v>Getafe</v>
      </c>
      <c r="E450" t="s">
        <v>73</v>
      </c>
      <c r="F450" s="1">
        <v>45906</v>
      </c>
      <c r="G450" t="s">
        <v>12</v>
      </c>
      <c r="H450" t="s">
        <v>31</v>
      </c>
      <c r="I450" s="2">
        <v>13100100</v>
      </c>
    </row>
    <row r="451" spans="1:9" x14ac:dyDescent="0.25">
      <c r="A451">
        <v>450</v>
      </c>
      <c r="B451" t="str">
        <f>IF(ISERROR(VLOOKUP(E451,Nombres!A:D,2,FALSE)),"PROBLEMAAAAAA",VLOOKUP(E451,Nombres!A:D,2,FALSE))</f>
        <v>Brais</v>
      </c>
      <c r="C451" t="str">
        <f>IF(ISERROR(VLOOKUP(E451,Nombres!A:D,4,FALSE)),"PROBLEMAAAAAA",VLOOKUP(E451,Nombres!A:D,4,FALSE))</f>
        <v>MED</v>
      </c>
      <c r="D451" t="str">
        <f>IF(ISERROR(VLOOKUP(E451,Nombres!A:D,3,FALSE)),"PROBLEMAAAAAA",VLOOKUP(E451,Nombres!A:D,3,FALSE))</f>
        <v>Real Sociedad</v>
      </c>
      <c r="E451" t="s">
        <v>158</v>
      </c>
      <c r="F451" s="1">
        <v>45906</v>
      </c>
      <c r="G451" t="s">
        <v>31</v>
      </c>
      <c r="H451" t="s">
        <v>768</v>
      </c>
      <c r="I451" s="2">
        <v>15794931</v>
      </c>
    </row>
    <row r="452" spans="1:9" x14ac:dyDescent="0.25">
      <c r="A452">
        <v>451</v>
      </c>
      <c r="B452" t="str">
        <f>IF(ISERROR(VLOOKUP(E452,Nombres!A:D,2,FALSE)),"PROBLEMAAAAAA",VLOOKUP(E452,Nombres!A:D,2,FALSE))</f>
        <v>Bryan</v>
      </c>
      <c r="C452" t="str">
        <f>IF(ISERROR(VLOOKUP(E452,Nombres!A:D,4,FALSE)),"PROBLEMAAAAAA",VLOOKUP(E452,Nombres!A:D,4,FALSE))</f>
        <v>DEL</v>
      </c>
      <c r="D452" t="str">
        <f>IF(ISERROR(VLOOKUP(E452,Nombres!A:D,3,FALSE)),"PROBLEMAAAAAA",VLOOKUP(E452,Nombres!A:D,3,FALSE))</f>
        <v>Celta</v>
      </c>
      <c r="E452" t="s">
        <v>298</v>
      </c>
      <c r="F452" s="1">
        <v>45906</v>
      </c>
      <c r="G452" t="s">
        <v>13</v>
      </c>
      <c r="H452" t="s">
        <v>31</v>
      </c>
      <c r="I452" s="2">
        <v>17019211</v>
      </c>
    </row>
    <row r="453" spans="1:9" x14ac:dyDescent="0.25">
      <c r="A453">
        <v>452</v>
      </c>
      <c r="B453" t="str">
        <f>IF(ISERROR(VLOOKUP(E453,Nombres!A:D,2,FALSE)),"PROBLEMAAAAAA",VLOOKUP(E453,Nombres!A:D,2,FALSE))</f>
        <v>D. Duarte</v>
      </c>
      <c r="C453" t="str">
        <f>IF(ISERROR(VLOOKUP(E453,Nombres!A:D,4,FALSE)),"PROBLEMAAAAAA",VLOOKUP(E453,Nombres!A:D,4,FALSE))</f>
        <v>DEF</v>
      </c>
      <c r="D453" t="str">
        <f>IF(ISERROR(VLOOKUP(E453,Nombres!A:D,3,FALSE)),"PROBLEMAAAAAA",VLOOKUP(E453,Nombres!A:D,3,FALSE))</f>
        <v>Getafe</v>
      </c>
      <c r="E453" t="s">
        <v>108</v>
      </c>
      <c r="F453" s="1">
        <v>45906</v>
      </c>
      <c r="G453" t="s">
        <v>768</v>
      </c>
      <c r="H453" t="s">
        <v>8</v>
      </c>
      <c r="I453" s="2">
        <v>1672958</v>
      </c>
    </row>
    <row r="454" spans="1:9" x14ac:dyDescent="0.25">
      <c r="A454">
        <v>453</v>
      </c>
      <c r="B454" t="str">
        <f>IF(ISERROR(VLOOKUP(E454,Nombres!A:D,2,FALSE)),"PROBLEMAAAAAA",VLOOKUP(E454,Nombres!A:D,2,FALSE))</f>
        <v>Lo Celso</v>
      </c>
      <c r="C454" t="str">
        <f>IF(ISERROR(VLOOKUP(E454,Nombres!A:D,4,FALSE)),"PROBLEMAAAAAA",VLOOKUP(E454,Nombres!A:D,4,FALSE))</f>
        <v>MED</v>
      </c>
      <c r="D454" t="str">
        <f>IF(ISERROR(VLOOKUP(E454,Nombres!A:D,3,FALSE)),"PROBLEMAAAAAA",VLOOKUP(E454,Nombres!A:D,3,FALSE))</f>
        <v>Betis</v>
      </c>
      <c r="E454" t="s">
        <v>299</v>
      </c>
      <c r="F454" s="1">
        <v>45906</v>
      </c>
      <c r="G454" t="s">
        <v>13</v>
      </c>
      <c r="H454" t="s">
        <v>31</v>
      </c>
      <c r="I454" s="2">
        <v>75609428</v>
      </c>
    </row>
    <row r="455" spans="1:9" x14ac:dyDescent="0.25">
      <c r="A455">
        <v>586</v>
      </c>
      <c r="B455" t="str">
        <f>IF(ISERROR(VLOOKUP(E455,Nombres!A:D,2,FALSE)),"PROBLEMAAAAAA",VLOOKUP(E455,Nombres!A:D,2,FALSE))</f>
        <v>C. Álvarez</v>
      </c>
      <c r="C455" t="str">
        <f>IF(ISERROR(VLOOKUP(E455,Nombres!A:D,4,FALSE)),"PROBLEMAAAAAA",VLOOKUP(E455,Nombres!A:D,4,FALSE))</f>
        <v>MED</v>
      </c>
      <c r="D455" t="str">
        <f>IF(ISERROR(VLOOKUP(E455,Nombres!A:D,3,FALSE)),"PROBLEMAAAAAA",VLOOKUP(E455,Nombres!A:D,3,FALSE))</f>
        <v>Levante</v>
      </c>
      <c r="E455" t="s">
        <v>331</v>
      </c>
      <c r="F455" s="1">
        <v>45920</v>
      </c>
      <c r="G455" t="s">
        <v>9</v>
      </c>
      <c r="H455" t="s">
        <v>13</v>
      </c>
      <c r="I455" s="2">
        <v>7411401</v>
      </c>
    </row>
    <row r="456" spans="1:9" x14ac:dyDescent="0.25">
      <c r="A456">
        <v>455</v>
      </c>
      <c r="B456" t="str">
        <f>IF(ISERROR(VLOOKUP(E456,Nombres!A:D,2,FALSE)),"PROBLEMAAAAAA",VLOOKUP(E456,Nombres!A:D,2,FALSE))</f>
        <v>Asprilla</v>
      </c>
      <c r="C456" t="str">
        <f>IF(ISERROR(VLOOKUP(E456,Nombres!A:D,4,FALSE)),"PROBLEMAAAAAA",VLOOKUP(E456,Nombres!A:D,4,FALSE))</f>
        <v>DEL</v>
      </c>
      <c r="D456" t="str">
        <f>IF(ISERROR(VLOOKUP(E456,Nombres!A:D,3,FALSE)),"PROBLEMAAAAAA",VLOOKUP(E456,Nombres!A:D,3,FALSE))</f>
        <v>Girona</v>
      </c>
      <c r="E456" t="s">
        <v>168</v>
      </c>
      <c r="F456" s="1">
        <v>45907</v>
      </c>
      <c r="G456" t="s">
        <v>11</v>
      </c>
      <c r="H456" t="s">
        <v>31</v>
      </c>
      <c r="I456" s="2">
        <v>3173836</v>
      </c>
    </row>
    <row r="457" spans="1:9" x14ac:dyDescent="0.25">
      <c r="A457">
        <v>456</v>
      </c>
      <c r="B457" t="str">
        <f>IF(ISERROR(VLOOKUP(E457,Nombres!A:D,2,FALSE)),"PROBLEMAAAAAA",VLOOKUP(E457,Nombres!A:D,2,FALSE))</f>
        <v>Moriba</v>
      </c>
      <c r="C457" t="str">
        <f>IF(ISERROR(VLOOKUP(E457,Nombres!A:D,4,FALSE)),"PROBLEMAAAAAA",VLOOKUP(E457,Nombres!A:D,4,FALSE))</f>
        <v>MED</v>
      </c>
      <c r="D457" t="str">
        <f>IF(ISERROR(VLOOKUP(E457,Nombres!A:D,3,FALSE)),"PROBLEMAAAAAA",VLOOKUP(E457,Nombres!A:D,3,FALSE))</f>
        <v>Celta</v>
      </c>
      <c r="E457" t="s">
        <v>300</v>
      </c>
      <c r="F457" s="1">
        <v>45907</v>
      </c>
      <c r="G457" t="s">
        <v>11</v>
      </c>
      <c r="H457" t="s">
        <v>31</v>
      </c>
      <c r="I457" s="2">
        <v>5153533</v>
      </c>
    </row>
    <row r="458" spans="1:9" x14ac:dyDescent="0.25">
      <c r="A458">
        <v>457</v>
      </c>
      <c r="B458" t="str">
        <f>IF(ISERROR(VLOOKUP(E458,Nombres!A:D,2,FALSE)),"PROBLEMAAAAAA",VLOOKUP(E458,Nombres!A:D,2,FALSE))</f>
        <v>Mouriño</v>
      </c>
      <c r="C458" t="str">
        <f>IF(ISERROR(VLOOKUP(E458,Nombres!A:D,4,FALSE)),"PROBLEMAAAAAA",VLOOKUP(E458,Nombres!A:D,4,FALSE))</f>
        <v>DEF</v>
      </c>
      <c r="D458" t="str">
        <f>IF(ISERROR(VLOOKUP(E458,Nombres!A:D,3,FALSE)),"PROBLEMAAAAAA",VLOOKUP(E458,Nombres!A:D,3,FALSE))</f>
        <v>Villarreal</v>
      </c>
      <c r="E458" t="s">
        <v>70</v>
      </c>
      <c r="F458" s="1">
        <v>45907</v>
      </c>
      <c r="G458" t="s">
        <v>11</v>
      </c>
      <c r="H458" t="s">
        <v>14</v>
      </c>
      <c r="I458" s="2">
        <v>23676456</v>
      </c>
    </row>
    <row r="459" spans="1:9" x14ac:dyDescent="0.25">
      <c r="A459">
        <v>458</v>
      </c>
      <c r="B459" t="str">
        <f>IF(ISERROR(VLOOKUP(E459,Nombres!A:D,2,FALSE)),"PROBLEMAAAAAA",VLOOKUP(E459,Nombres!A:D,2,FALSE))</f>
        <v>Barrenetxea</v>
      </c>
      <c r="C459" t="str">
        <f>IF(ISERROR(VLOOKUP(E459,Nombres!A:D,4,FALSE)),"PROBLEMAAAAAA",VLOOKUP(E459,Nombres!A:D,4,FALSE))</f>
        <v>MED</v>
      </c>
      <c r="D459" t="str">
        <f>IF(ISERROR(VLOOKUP(E459,Nombres!A:D,3,FALSE)),"PROBLEMAAAAAA",VLOOKUP(E459,Nombres!A:D,3,FALSE))</f>
        <v>Real Sociedad</v>
      </c>
      <c r="E459" t="s">
        <v>47</v>
      </c>
      <c r="F459" s="1">
        <v>45908</v>
      </c>
      <c r="G459" t="s">
        <v>768</v>
      </c>
      <c r="H459" t="s">
        <v>6</v>
      </c>
      <c r="I459" s="2">
        <v>17498557</v>
      </c>
    </row>
    <row r="460" spans="1:9" x14ac:dyDescent="0.25">
      <c r="A460">
        <v>459</v>
      </c>
      <c r="B460" t="str">
        <f>IF(ISERROR(VLOOKUP(E460,Nombres!A:D,2,FALSE)),"PROBLEMAAAAAA",VLOOKUP(E460,Nombres!A:D,2,FALSE))</f>
        <v>Carvajal</v>
      </c>
      <c r="C460" t="str">
        <f>IF(ISERROR(VLOOKUP(E460,Nombres!A:D,4,FALSE)),"PROBLEMAAAAAA",VLOOKUP(E460,Nombres!A:D,4,FALSE))</f>
        <v>DEF</v>
      </c>
      <c r="D460" t="str">
        <f>IF(ISERROR(VLOOKUP(E460,Nombres!A:D,3,FALSE)),"PROBLEMAAAAAA",VLOOKUP(E460,Nombres!A:D,3,FALSE))</f>
        <v>Real Madrid</v>
      </c>
      <c r="E460" t="s">
        <v>81</v>
      </c>
      <c r="F460" s="1">
        <v>45908</v>
      </c>
      <c r="G460" t="s">
        <v>31</v>
      </c>
      <c r="H460" t="s">
        <v>12</v>
      </c>
      <c r="I460" s="2">
        <v>26884333</v>
      </c>
    </row>
    <row r="461" spans="1:9" x14ac:dyDescent="0.25">
      <c r="A461">
        <v>460</v>
      </c>
      <c r="B461" t="str">
        <f>IF(ISERROR(VLOOKUP(E461,Nombres!A:D,2,FALSE)),"PROBLEMAAAAAA",VLOOKUP(E461,Nombres!A:D,2,FALSE))</f>
        <v>Domínguez</v>
      </c>
      <c r="C461" t="str">
        <f>IF(ISERROR(VLOOKUP(E461,Nombres!A:D,4,FALSE)),"PROBLEMAAAAAA",VLOOKUP(E461,Nombres!A:D,4,FALSE))</f>
        <v>DEF</v>
      </c>
      <c r="D461" t="str">
        <f>IF(ISERROR(VLOOKUP(E461,Nombres!A:D,3,FALSE)),"PROBLEMAAAAAA",VLOOKUP(E461,Nombres!A:D,3,FALSE))</f>
        <v>Celta</v>
      </c>
      <c r="E461" t="s">
        <v>172</v>
      </c>
      <c r="F461" s="1">
        <v>45908</v>
      </c>
      <c r="G461" t="s">
        <v>768</v>
      </c>
      <c r="H461" t="s">
        <v>13</v>
      </c>
      <c r="I461" s="2">
        <v>1805368</v>
      </c>
    </row>
    <row r="462" spans="1:9" x14ac:dyDescent="0.25">
      <c r="A462">
        <v>461</v>
      </c>
      <c r="B462" t="str">
        <f>IF(ISERROR(VLOOKUP(E462,Nombres!A:D,2,FALSE)),"PROBLEMAAAAAA",VLOOKUP(E462,Nombres!A:D,2,FALSE))</f>
        <v>Giuliano</v>
      </c>
      <c r="C462" t="str">
        <f>IF(ISERROR(VLOOKUP(E462,Nombres!A:D,4,FALSE)),"PROBLEMAAAAAA",VLOOKUP(E462,Nombres!A:D,4,FALSE))</f>
        <v>DEL</v>
      </c>
      <c r="D462" t="str">
        <f>IF(ISERROR(VLOOKUP(E462,Nombres!A:D,3,FALSE)),"PROBLEMAAAAAA",VLOOKUP(E462,Nombres!A:D,3,FALSE))</f>
        <v>Atlético</v>
      </c>
      <c r="E462" t="s">
        <v>303</v>
      </c>
      <c r="F462" s="1">
        <v>45908</v>
      </c>
      <c r="G462" t="s">
        <v>11</v>
      </c>
      <c r="H462" t="s">
        <v>7</v>
      </c>
      <c r="I462" s="2">
        <v>40021696</v>
      </c>
    </row>
    <row r="463" spans="1:9" x14ac:dyDescent="0.25">
      <c r="A463">
        <v>462</v>
      </c>
      <c r="B463" t="str">
        <f>IF(ISERROR(VLOOKUP(E463,Nombres!A:D,2,FALSE)),"PROBLEMAAAAAA",VLOOKUP(E463,Nombres!A:D,2,FALSE))</f>
        <v>Lenglet</v>
      </c>
      <c r="C463" t="str">
        <f>IF(ISERROR(VLOOKUP(E463,Nombres!A:D,4,FALSE)),"PROBLEMAAAAAA",VLOOKUP(E463,Nombres!A:D,4,FALSE))</f>
        <v>DEF</v>
      </c>
      <c r="D463" t="str">
        <f>IF(ISERROR(VLOOKUP(E463,Nombres!A:D,3,FALSE)),"PROBLEMAAAAAA",VLOOKUP(E463,Nombres!A:D,3,FALSE))</f>
        <v>Atlético</v>
      </c>
      <c r="E463" t="s">
        <v>174</v>
      </c>
      <c r="F463" s="1">
        <v>45908</v>
      </c>
      <c r="G463" t="s">
        <v>11</v>
      </c>
      <c r="H463" t="s">
        <v>31</v>
      </c>
      <c r="I463" s="2">
        <v>3764915</v>
      </c>
    </row>
    <row r="464" spans="1:9" x14ac:dyDescent="0.25">
      <c r="A464">
        <v>463</v>
      </c>
      <c r="B464" t="str">
        <f>IF(ISERROR(VLOOKUP(E464,Nombres!A:D,2,FALSE)),"PROBLEMAAAAAA",VLOOKUP(E464,Nombres!A:D,2,FALSE))</f>
        <v>Bernal</v>
      </c>
      <c r="C464" t="str">
        <f>IF(ISERROR(VLOOKUP(E464,Nombres!A:D,4,FALSE)),"PROBLEMAAAAAA",VLOOKUP(E464,Nombres!A:D,4,FALSE))</f>
        <v>MED</v>
      </c>
      <c r="D464" t="str">
        <f>IF(ISERROR(VLOOKUP(E464,Nombres!A:D,3,FALSE)),"PROBLEMAAAAAA",VLOOKUP(E464,Nombres!A:D,3,FALSE))</f>
        <v>Barcelona</v>
      </c>
      <c r="E464" t="s">
        <v>302</v>
      </c>
      <c r="F464" s="1">
        <v>45908</v>
      </c>
      <c r="G464" t="s">
        <v>10</v>
      </c>
      <c r="H464" t="s">
        <v>31</v>
      </c>
      <c r="I464" s="2">
        <v>2313366</v>
      </c>
    </row>
    <row r="465" spans="1:9" x14ac:dyDescent="0.25">
      <c r="A465">
        <v>464</v>
      </c>
      <c r="B465" t="str">
        <f>IF(ISERROR(VLOOKUP(E465,Nombres!A:D,2,FALSE)),"PROBLEMAAAAAA",VLOOKUP(E465,Nombres!A:D,2,FALSE))</f>
        <v>Nacho Vidal</v>
      </c>
      <c r="C465" t="str">
        <f>IF(ISERROR(VLOOKUP(E465,Nombres!A:D,4,FALSE)),"PROBLEMAAAAAA",VLOOKUP(E465,Nombres!A:D,4,FALSE))</f>
        <v>DEF</v>
      </c>
      <c r="D465" t="str">
        <f>IF(ISERROR(VLOOKUP(E465,Nombres!A:D,3,FALSE)),"PROBLEMAAAAAA",VLOOKUP(E465,Nombres!A:D,3,FALSE))</f>
        <v>Real Oviedo</v>
      </c>
      <c r="E465" t="s">
        <v>249</v>
      </c>
      <c r="F465" s="1">
        <v>45908</v>
      </c>
      <c r="G465" t="s">
        <v>768</v>
      </c>
      <c r="H465" t="s">
        <v>8</v>
      </c>
      <c r="I465" s="2">
        <v>3100011</v>
      </c>
    </row>
    <row r="466" spans="1:9" x14ac:dyDescent="0.25">
      <c r="A466">
        <v>465</v>
      </c>
      <c r="B466" t="str">
        <f>IF(ISERROR(VLOOKUP(E466,Nombres!A:D,2,FALSE)),"PROBLEMAAAAAA",VLOOKUP(E466,Nombres!A:D,2,FALSE))</f>
        <v>N. Williams</v>
      </c>
      <c r="C466" t="str">
        <f>IF(ISERROR(VLOOKUP(E466,Nombres!A:D,4,FALSE)),"PROBLEMAAAAAA",VLOOKUP(E466,Nombres!A:D,4,FALSE))</f>
        <v>DEL</v>
      </c>
      <c r="D466" t="str">
        <f>IF(ISERROR(VLOOKUP(E466,Nombres!A:D,3,FALSE)),"PROBLEMAAAAAA",VLOOKUP(E466,Nombres!A:D,3,FALSE))</f>
        <v>Athletic</v>
      </c>
      <c r="E466" t="s">
        <v>205</v>
      </c>
      <c r="F466" s="1">
        <v>45908</v>
      </c>
      <c r="G466" t="s">
        <v>31</v>
      </c>
      <c r="H466" t="s">
        <v>11</v>
      </c>
      <c r="I466" s="2">
        <v>120829386</v>
      </c>
    </row>
    <row r="467" spans="1:9" x14ac:dyDescent="0.25">
      <c r="A467">
        <v>466</v>
      </c>
      <c r="B467" t="str">
        <f>IF(ISERROR(VLOOKUP(E467,Nombres!A:D,2,FALSE)),"PROBLEMAAAAAA",VLOOKUP(E467,Nombres!A:D,2,FALSE))</f>
        <v>Pablo Torre</v>
      </c>
      <c r="C467" t="str">
        <f>IF(ISERROR(VLOOKUP(E467,Nombres!A:D,4,FALSE)),"PROBLEMAAAAAA",VLOOKUP(E467,Nombres!A:D,4,FALSE))</f>
        <v>MED</v>
      </c>
      <c r="D467" t="str">
        <f>IF(ISERROR(VLOOKUP(E467,Nombres!A:D,3,FALSE)),"PROBLEMAAAAAA",VLOOKUP(E467,Nombres!A:D,3,FALSE))</f>
        <v>Mallorca</v>
      </c>
      <c r="E467" t="s">
        <v>74</v>
      </c>
      <c r="F467" s="1">
        <v>45908</v>
      </c>
      <c r="G467" t="s">
        <v>768</v>
      </c>
      <c r="H467" t="s">
        <v>9</v>
      </c>
      <c r="I467" s="2">
        <v>10000000</v>
      </c>
    </row>
    <row r="468" spans="1:9" x14ac:dyDescent="0.25">
      <c r="A468">
        <v>467</v>
      </c>
      <c r="B468" t="str">
        <f>IF(ISERROR(VLOOKUP(E468,Nombres!A:D,2,FALSE)),"PROBLEMAAAAAA",VLOOKUP(E468,Nombres!A:D,2,FALSE))</f>
        <v>Vargas</v>
      </c>
      <c r="C468" t="str">
        <f>IF(ISERROR(VLOOKUP(E468,Nombres!A:D,4,FALSE)),"PROBLEMAAAAAA",VLOOKUP(E468,Nombres!A:D,4,FALSE))</f>
        <v>DEL</v>
      </c>
      <c r="D468" t="str">
        <f>IF(ISERROR(VLOOKUP(E468,Nombres!A:D,3,FALSE)),"PROBLEMAAAAAA",VLOOKUP(E468,Nombres!A:D,3,FALSE))</f>
        <v>Sevilla</v>
      </c>
      <c r="E468" t="s">
        <v>301</v>
      </c>
      <c r="F468" s="1">
        <v>45908</v>
      </c>
      <c r="G468" t="s">
        <v>13</v>
      </c>
      <c r="H468" t="s">
        <v>31</v>
      </c>
      <c r="I468" s="2">
        <v>15298469</v>
      </c>
    </row>
    <row r="469" spans="1:9" x14ac:dyDescent="0.25">
      <c r="A469">
        <v>468</v>
      </c>
      <c r="B469" t="str">
        <f>IF(ISERROR(VLOOKUP(E469,Nombres!A:D,2,FALSE)),"PROBLEMAAAAAA",VLOOKUP(E469,Nombres!A:D,2,FALSE))</f>
        <v>Aleñá</v>
      </c>
      <c r="C469" t="str">
        <f>IF(ISERROR(VLOOKUP(E469,Nombres!A:D,4,FALSE)),"PROBLEMAAAAAA",VLOOKUP(E469,Nombres!A:D,4,FALSE))</f>
        <v>MED</v>
      </c>
      <c r="D469" t="str">
        <f>IF(ISERROR(VLOOKUP(E469,Nombres!A:D,3,FALSE)),"PROBLEMAAAAAA",VLOOKUP(E469,Nombres!A:D,3,FALSE))</f>
        <v>Alavés</v>
      </c>
      <c r="E469" t="s">
        <v>198</v>
      </c>
      <c r="F469" s="1">
        <v>45909</v>
      </c>
      <c r="G469" t="s">
        <v>9</v>
      </c>
      <c r="H469" t="s">
        <v>768</v>
      </c>
      <c r="I469" s="2">
        <v>9829793</v>
      </c>
    </row>
    <row r="470" spans="1:9" x14ac:dyDescent="0.25">
      <c r="A470">
        <v>469</v>
      </c>
      <c r="B470" t="str">
        <f>IF(ISERROR(VLOOKUP(E470,Nombres!A:D,2,FALSE)),"PROBLEMAAAAAA",VLOOKUP(E470,Nombres!A:D,2,FALSE))</f>
        <v>Güler</v>
      </c>
      <c r="C470" t="str">
        <f>IF(ISERROR(VLOOKUP(E470,Nombres!A:D,4,FALSE)),"PROBLEMAAAAAA",VLOOKUP(E470,Nombres!A:D,4,FALSE))</f>
        <v>MED</v>
      </c>
      <c r="D470" t="str">
        <f>IF(ISERROR(VLOOKUP(E470,Nombres!A:D,3,FALSE)),"PROBLEMAAAAAA",VLOOKUP(E470,Nombres!A:D,3,FALSE))</f>
        <v>Real Madrid</v>
      </c>
      <c r="E470" t="s">
        <v>38</v>
      </c>
      <c r="F470" s="1">
        <v>45909</v>
      </c>
      <c r="G470" t="s">
        <v>11</v>
      </c>
      <c r="H470" t="s">
        <v>10</v>
      </c>
      <c r="I470" s="2">
        <v>92986881</v>
      </c>
    </row>
    <row r="471" spans="1:9" x14ac:dyDescent="0.25">
      <c r="A471">
        <v>470</v>
      </c>
      <c r="B471" t="str">
        <f>IF(ISERROR(VLOOKUP(E471,Nombres!A:D,2,FALSE)),"PROBLEMAAAAAA",VLOOKUP(E471,Nombres!A:D,2,FALSE))</f>
        <v>Bartra</v>
      </c>
      <c r="C471" t="str">
        <f>IF(ISERROR(VLOOKUP(E471,Nombres!A:D,4,FALSE)),"PROBLEMAAAAAA",VLOOKUP(E471,Nombres!A:D,4,FALSE))</f>
        <v>DEF</v>
      </c>
      <c r="D471" t="str">
        <f>IF(ISERROR(VLOOKUP(E471,Nombres!A:D,3,FALSE)),"PROBLEMAAAAAA",VLOOKUP(E471,Nombres!A:D,3,FALSE))</f>
        <v>Betis</v>
      </c>
      <c r="E471" t="s">
        <v>150</v>
      </c>
      <c r="F471" s="1">
        <v>45909</v>
      </c>
      <c r="G471" t="s">
        <v>13</v>
      </c>
      <c r="H471" t="s">
        <v>768</v>
      </c>
      <c r="I471" s="2">
        <v>34151526</v>
      </c>
    </row>
    <row r="472" spans="1:9" x14ac:dyDescent="0.25">
      <c r="A472">
        <v>471</v>
      </c>
      <c r="B472" t="str">
        <f>IF(ISERROR(VLOOKUP(E472,Nombres!A:D,2,FALSE)),"PROBLEMAAAAAA",VLOOKUP(E472,Nombres!A:D,2,FALSE))</f>
        <v>Berenguer</v>
      </c>
      <c r="C472" t="str">
        <f>IF(ISERROR(VLOOKUP(E472,Nombres!A:D,4,FALSE)),"PROBLEMAAAAAA",VLOOKUP(E472,Nombres!A:D,4,FALSE))</f>
        <v>DEL</v>
      </c>
      <c r="D472" t="str">
        <f>IF(ISERROR(VLOOKUP(E472,Nombres!A:D,3,FALSE)),"PROBLEMAAAAAA",VLOOKUP(E472,Nombres!A:D,3,FALSE))</f>
        <v>Athletic</v>
      </c>
      <c r="E472" t="s">
        <v>186</v>
      </c>
      <c r="F472" s="1">
        <v>45909</v>
      </c>
      <c r="G472" t="s">
        <v>6</v>
      </c>
      <c r="H472" t="s">
        <v>14</v>
      </c>
      <c r="I472" s="2">
        <v>30366706</v>
      </c>
    </row>
    <row r="473" spans="1:9" x14ac:dyDescent="0.25">
      <c r="A473">
        <v>472</v>
      </c>
      <c r="B473" t="str">
        <f>IF(ISERROR(VLOOKUP(E473,Nombres!A:D,2,FALSE)),"PROBLEMAAAAAA",VLOOKUP(E473,Nombres!A:D,2,FALSE))</f>
        <v>Pep Chavarría</v>
      </c>
      <c r="C473" t="str">
        <f>IF(ISERROR(VLOOKUP(E473,Nombres!A:D,4,FALSE)),"PROBLEMAAAAAA",VLOOKUP(E473,Nombres!A:D,4,FALSE))</f>
        <v>DEF</v>
      </c>
      <c r="D473" t="str">
        <f>IF(ISERROR(VLOOKUP(E473,Nombres!A:D,3,FALSE)),"PROBLEMAAAAAA",VLOOKUP(E473,Nombres!A:D,3,FALSE))</f>
        <v>Rayo</v>
      </c>
      <c r="E473" t="s">
        <v>226</v>
      </c>
      <c r="F473" s="1">
        <v>45909</v>
      </c>
      <c r="G473" t="s">
        <v>11</v>
      </c>
      <c r="H473" t="s">
        <v>12</v>
      </c>
      <c r="I473" s="2">
        <v>5150010</v>
      </c>
    </row>
    <row r="474" spans="1:9" x14ac:dyDescent="0.25">
      <c r="A474">
        <v>473</v>
      </c>
      <c r="B474" t="str">
        <f>IF(ISERROR(VLOOKUP(E474,Nombres!A:D,2,FALSE)),"PROBLEMAAAAAA",VLOOKUP(E474,Nombres!A:D,2,FALSE))</f>
        <v>F. de Jong</v>
      </c>
      <c r="C474" t="str">
        <f>IF(ISERROR(VLOOKUP(E474,Nombres!A:D,4,FALSE)),"PROBLEMAAAAAA",VLOOKUP(E474,Nombres!A:D,4,FALSE))</f>
        <v>MED</v>
      </c>
      <c r="D474" t="str">
        <f>IF(ISERROR(VLOOKUP(E474,Nombres!A:D,3,FALSE)),"PROBLEMAAAAAA",VLOOKUP(E474,Nombres!A:D,3,FALSE))</f>
        <v>Barcelona</v>
      </c>
      <c r="E474" t="s">
        <v>66</v>
      </c>
      <c r="F474" s="1">
        <v>45909</v>
      </c>
      <c r="G474" t="s">
        <v>31</v>
      </c>
      <c r="H474" t="s">
        <v>6</v>
      </c>
      <c r="I474" s="2">
        <v>51562350</v>
      </c>
    </row>
    <row r="475" spans="1:9" x14ac:dyDescent="0.25">
      <c r="A475">
        <v>474</v>
      </c>
      <c r="B475" t="str">
        <f>IF(ISERROR(VLOOKUP(E475,Nombres!A:D,2,FALSE)),"PROBLEMAAAAAA",VLOOKUP(E475,Nombres!A:D,2,FALSE))</f>
        <v>Jauregizar</v>
      </c>
      <c r="C475" t="str">
        <f>IF(ISERROR(VLOOKUP(E475,Nombres!A:D,4,FALSE)),"PROBLEMAAAAAA",VLOOKUP(E475,Nombres!A:D,4,FALSE))</f>
        <v>MED</v>
      </c>
      <c r="D475" t="str">
        <f>IF(ISERROR(VLOOKUP(E475,Nombres!A:D,3,FALSE)),"PROBLEMAAAAAA",VLOOKUP(E475,Nombres!A:D,3,FALSE))</f>
        <v>Athletic</v>
      </c>
      <c r="E475" t="s">
        <v>176</v>
      </c>
      <c r="F475" s="1">
        <v>45909</v>
      </c>
      <c r="G475" t="s">
        <v>31</v>
      </c>
      <c r="H475" t="s">
        <v>13</v>
      </c>
      <c r="I475" s="2">
        <v>12759618</v>
      </c>
    </row>
    <row r="476" spans="1:9" x14ac:dyDescent="0.25">
      <c r="A476">
        <v>475</v>
      </c>
      <c r="B476" t="str">
        <f>IF(ISERROR(VLOOKUP(E476,Nombres!A:D,2,FALSE)),"PROBLEMAAAAAA",VLOOKUP(E476,Nombres!A:D,2,FALSE))</f>
        <v>Moi Gómez</v>
      </c>
      <c r="C476" t="str">
        <f>IF(ISERROR(VLOOKUP(E476,Nombres!A:D,4,FALSE)),"PROBLEMAAAAAA",VLOOKUP(E476,Nombres!A:D,4,FALSE))</f>
        <v>MED</v>
      </c>
      <c r="D476" t="str">
        <f>IF(ISERROR(VLOOKUP(E476,Nombres!A:D,3,FALSE)),"PROBLEMAAAAAA",VLOOKUP(E476,Nombres!A:D,3,FALSE))</f>
        <v>Osasuna</v>
      </c>
      <c r="E476" t="s">
        <v>102</v>
      </c>
      <c r="F476" s="1">
        <v>45909</v>
      </c>
      <c r="G476" t="s">
        <v>31</v>
      </c>
      <c r="H476" t="s">
        <v>10</v>
      </c>
      <c r="I476" s="2">
        <v>5282841</v>
      </c>
    </row>
    <row r="477" spans="1:9" x14ac:dyDescent="0.25">
      <c r="A477">
        <v>476</v>
      </c>
      <c r="B477" t="str">
        <f>IF(ISERROR(VLOOKUP(E477,Nombres!A:D,2,FALSE)),"PROBLEMAAAAAA",VLOOKUP(E477,Nombres!A:D,2,FALSE))</f>
        <v>Rúben Montero</v>
      </c>
      <c r="C477" t="str">
        <f>IF(ISERROR(VLOOKUP(E477,Nombres!A:D,4,FALSE)),"PROBLEMAAAAAA",VLOOKUP(E477,Nombres!A:D,4,FALSE))</f>
        <v>POR</v>
      </c>
      <c r="D477" t="str">
        <f>IF(ISERROR(VLOOKUP(E477,Nombres!A:D,3,FALSE)),"PROBLEMAAAAAA",VLOOKUP(E477,Nombres!A:D,3,FALSE))</f>
        <v>Alavés</v>
      </c>
      <c r="E477" t="s">
        <v>304</v>
      </c>
      <c r="F477" s="1">
        <v>45909</v>
      </c>
      <c r="G477" t="s">
        <v>11</v>
      </c>
      <c r="H477" t="s">
        <v>31</v>
      </c>
      <c r="I477" s="2">
        <v>400907</v>
      </c>
    </row>
    <row r="478" spans="1:9" x14ac:dyDescent="0.25">
      <c r="A478">
        <v>477</v>
      </c>
      <c r="B478" t="str">
        <f>IF(ISERROR(VLOOKUP(E478,Nombres!A:D,2,FALSE)),"PROBLEMAAAAAA",VLOOKUP(E478,Nombres!A:D,2,FALSE))</f>
        <v>Neyou</v>
      </c>
      <c r="C478" t="str">
        <f>IF(ISERROR(VLOOKUP(E478,Nombres!A:D,4,FALSE)),"PROBLEMAAAAAA",VLOOKUP(E478,Nombres!A:D,4,FALSE))</f>
        <v>MED</v>
      </c>
      <c r="D478" t="str">
        <f>IF(ISERROR(VLOOKUP(E478,Nombres!A:D,3,FALSE)),"PROBLEMAAAAAA",VLOOKUP(E478,Nombres!A:D,3,FALSE))</f>
        <v>Getafe</v>
      </c>
      <c r="E478" t="s">
        <v>305</v>
      </c>
      <c r="F478" s="1">
        <v>45909</v>
      </c>
      <c r="G478" t="s">
        <v>11</v>
      </c>
      <c r="H478" t="s">
        <v>31</v>
      </c>
      <c r="I478" s="2">
        <v>4023985</v>
      </c>
    </row>
    <row r="479" spans="1:9" x14ac:dyDescent="0.25">
      <c r="A479">
        <v>478</v>
      </c>
      <c r="B479" t="str">
        <f>IF(ISERROR(VLOOKUP(E479,Nombres!A:D,2,FALSE)),"PROBLEMAAAAAA",VLOOKUP(E479,Nombres!A:D,2,FALSE))</f>
        <v>Roberto</v>
      </c>
      <c r="C479" t="str">
        <f>IF(ISERROR(VLOOKUP(E479,Nombres!A:D,4,FALSE)),"PROBLEMAAAAAA",VLOOKUP(E479,Nombres!A:D,4,FALSE))</f>
        <v>DEL</v>
      </c>
      <c r="D479" t="str">
        <f>IF(ISERROR(VLOOKUP(E479,Nombres!A:D,3,FALSE)),"PROBLEMAAAAAA",VLOOKUP(E479,Nombres!A:D,3,FALSE))</f>
        <v>Espanyol</v>
      </c>
      <c r="E479" t="s">
        <v>306</v>
      </c>
      <c r="F479" s="1">
        <v>45909</v>
      </c>
      <c r="G479" t="s">
        <v>7</v>
      </c>
      <c r="H479" t="s">
        <v>31</v>
      </c>
      <c r="I479" s="2">
        <v>5545277</v>
      </c>
    </row>
    <row r="480" spans="1:9" x14ac:dyDescent="0.25">
      <c r="A480">
        <v>479</v>
      </c>
      <c r="B480" t="str">
        <f>IF(ISERROR(VLOOKUP(E480,Nombres!A:D,2,FALSE)),"PROBLEMAAAAAA",VLOOKUP(E480,Nombres!A:D,2,FALSE))</f>
        <v>Agoume</v>
      </c>
      <c r="C480" t="str">
        <f>IF(ISERROR(VLOOKUP(E480,Nombres!A:D,4,FALSE)),"PROBLEMAAAAAA",VLOOKUP(E480,Nombres!A:D,4,FALSE))</f>
        <v>MED</v>
      </c>
      <c r="D480" t="str">
        <f>IF(ISERROR(VLOOKUP(E480,Nombres!A:D,3,FALSE)),"PROBLEMAAAAAA",VLOOKUP(E480,Nombres!A:D,3,FALSE))</f>
        <v>Sevilla</v>
      </c>
      <c r="E480" t="s">
        <v>68</v>
      </c>
      <c r="F480" s="1">
        <v>45910</v>
      </c>
      <c r="G480" t="s">
        <v>14</v>
      </c>
      <c r="H480" t="s">
        <v>768</v>
      </c>
      <c r="I480" s="2">
        <v>7541427</v>
      </c>
    </row>
    <row r="481" spans="1:9" x14ac:dyDescent="0.25">
      <c r="A481">
        <v>480</v>
      </c>
      <c r="B481" t="str">
        <f>IF(ISERROR(VLOOKUP(E481,Nombres!A:D,2,FALSE)),"PROBLEMAAAAAA",VLOOKUP(E481,Nombres!A:D,2,FALSE))</f>
        <v>Alexis</v>
      </c>
      <c r="C481" t="str">
        <f>IF(ISERROR(VLOOKUP(E481,Nombres!A:D,4,FALSE)),"PROBLEMAAAAAA",VLOOKUP(E481,Nombres!A:D,4,FALSE))</f>
        <v>DEL</v>
      </c>
      <c r="D481" t="str">
        <f>IF(ISERROR(VLOOKUP(E481,Nombres!A:D,3,FALSE)),"PROBLEMAAAAAA",VLOOKUP(E481,Nombres!A:D,3,FALSE))</f>
        <v>Sevilla</v>
      </c>
      <c r="E481" t="s">
        <v>309</v>
      </c>
      <c r="F481" s="1">
        <v>45910</v>
      </c>
      <c r="G481" t="s">
        <v>6</v>
      </c>
      <c r="H481" t="s">
        <v>31</v>
      </c>
      <c r="I481" s="2">
        <v>3600000</v>
      </c>
    </row>
    <row r="482" spans="1:9" x14ac:dyDescent="0.25">
      <c r="A482">
        <v>481</v>
      </c>
      <c r="B482" t="str">
        <f>IF(ISERROR(VLOOKUP(E482,Nombres!A:D,2,FALSE)),"PROBLEMAAAAAA",VLOOKUP(E482,Nombres!A:D,2,FALSE))</f>
        <v>Carlos Vicente</v>
      </c>
      <c r="C482" t="str">
        <f>IF(ISERROR(VLOOKUP(E482,Nombres!A:D,4,FALSE)),"PROBLEMAAAAAA",VLOOKUP(E482,Nombres!A:D,4,FALSE))</f>
        <v>DEL</v>
      </c>
      <c r="D482" t="str">
        <f>IF(ISERROR(VLOOKUP(E482,Nombres!A:D,3,FALSE)),"PROBLEMAAAAAA",VLOOKUP(E482,Nombres!A:D,3,FALSE))</f>
        <v>Alavés</v>
      </c>
      <c r="E482" t="s">
        <v>311</v>
      </c>
      <c r="F482" s="1">
        <v>45910</v>
      </c>
      <c r="G482" t="s">
        <v>768</v>
      </c>
      <c r="H482" t="s">
        <v>14</v>
      </c>
      <c r="I482" s="2">
        <v>32487271</v>
      </c>
    </row>
    <row r="483" spans="1:9" x14ac:dyDescent="0.25">
      <c r="A483">
        <v>482</v>
      </c>
      <c r="B483" t="str">
        <f>IF(ISERROR(VLOOKUP(E483,Nombres!A:D,2,FALSE)),"PROBLEMAAAAAA",VLOOKUP(E483,Nombres!A:D,2,FALSE))</f>
        <v>Diego López</v>
      </c>
      <c r="C483" t="str">
        <f>IF(ISERROR(VLOOKUP(E483,Nombres!A:D,4,FALSE)),"PROBLEMAAAAAA",VLOOKUP(E483,Nombres!A:D,4,FALSE))</f>
        <v>DEL</v>
      </c>
      <c r="D483" t="str">
        <f>IF(ISERROR(VLOOKUP(E483,Nombres!A:D,3,FALSE)),"PROBLEMAAAAAA",VLOOKUP(E483,Nombres!A:D,3,FALSE))</f>
        <v>Valencia</v>
      </c>
      <c r="E483" t="s">
        <v>159</v>
      </c>
      <c r="F483" s="1">
        <v>45910</v>
      </c>
      <c r="G483" t="s">
        <v>14</v>
      </c>
      <c r="H483" t="s">
        <v>768</v>
      </c>
      <c r="I483" s="2">
        <v>27177700</v>
      </c>
    </row>
    <row r="484" spans="1:9" x14ac:dyDescent="0.25">
      <c r="A484">
        <v>483</v>
      </c>
      <c r="B484" t="str">
        <f>IF(ISERROR(VLOOKUP(E484,Nombres!A:D,2,FALSE)),"PROBLEMAAAAAA",VLOOKUP(E484,Nombres!A:D,2,FALSE))</f>
        <v>Eric García</v>
      </c>
      <c r="C484" t="str">
        <f>IF(ISERROR(VLOOKUP(E484,Nombres!A:D,4,FALSE)),"PROBLEMAAAAAA",VLOOKUP(E484,Nombres!A:D,4,FALSE))</f>
        <v>DEF</v>
      </c>
      <c r="D484" t="str">
        <f>IF(ISERROR(VLOOKUP(E484,Nombres!A:D,3,FALSE)),"PROBLEMAAAAAA",VLOOKUP(E484,Nombres!A:D,3,FALSE))</f>
        <v>Barcelona</v>
      </c>
      <c r="E484" t="s">
        <v>152</v>
      </c>
      <c r="F484" s="1">
        <v>45910</v>
      </c>
      <c r="G484" t="s">
        <v>7</v>
      </c>
      <c r="H484" t="s">
        <v>10</v>
      </c>
      <c r="I484" s="2">
        <v>18083316</v>
      </c>
    </row>
    <row r="485" spans="1:9" x14ac:dyDescent="0.25">
      <c r="A485">
        <v>484</v>
      </c>
      <c r="B485" t="str">
        <f>IF(ISERROR(VLOOKUP(E485,Nombres!A:D,2,FALSE)),"PROBLEMAAAAAA",VLOOKUP(E485,Nombres!A:D,2,FALSE))</f>
        <v>Foulquier</v>
      </c>
      <c r="C485" t="str">
        <f>IF(ISERROR(VLOOKUP(E485,Nombres!A:D,4,FALSE)),"PROBLEMAAAAAA",VLOOKUP(E485,Nombres!A:D,4,FALSE))</f>
        <v>DEF</v>
      </c>
      <c r="D485" t="str">
        <f>IF(ISERROR(VLOOKUP(E485,Nombres!A:D,3,FALSE)),"PROBLEMAAAAAA",VLOOKUP(E485,Nombres!A:D,3,FALSE))</f>
        <v>Valencia</v>
      </c>
      <c r="E485" t="s">
        <v>307</v>
      </c>
      <c r="F485" s="1">
        <v>45910</v>
      </c>
      <c r="G485" t="s">
        <v>14</v>
      </c>
      <c r="H485" t="s">
        <v>31</v>
      </c>
      <c r="I485" s="2">
        <v>10552100</v>
      </c>
    </row>
    <row r="486" spans="1:9" x14ac:dyDescent="0.25">
      <c r="A486">
        <v>485</v>
      </c>
      <c r="B486" t="str">
        <f>IF(ISERROR(VLOOKUP(E486,Nombres!A:D,2,FALSE)),"PROBLEMAAAAAA",VLOOKUP(E486,Nombres!A:D,2,FALSE))</f>
        <v>P. Gueye</v>
      </c>
      <c r="C486" t="str">
        <f>IF(ISERROR(VLOOKUP(E486,Nombres!A:D,4,FALSE)),"PROBLEMAAAAAA",VLOOKUP(E486,Nombres!A:D,4,FALSE))</f>
        <v>MED</v>
      </c>
      <c r="D486" t="str">
        <f>IF(ISERROR(VLOOKUP(E486,Nombres!A:D,3,FALSE)),"PROBLEMAAAAAA",VLOOKUP(E486,Nombres!A:D,3,FALSE))</f>
        <v>Villarreal</v>
      </c>
      <c r="E486" t="s">
        <v>45</v>
      </c>
      <c r="F486" s="1">
        <v>45910</v>
      </c>
      <c r="G486" t="s">
        <v>768</v>
      </c>
      <c r="H486" t="s">
        <v>10</v>
      </c>
      <c r="I486" s="2">
        <v>36878878</v>
      </c>
    </row>
    <row r="487" spans="1:9" x14ac:dyDescent="0.25">
      <c r="A487">
        <v>486</v>
      </c>
      <c r="B487" t="str">
        <f>IF(ISERROR(VLOOKUP(E487,Nombres!A:D,2,FALSE)),"PROBLEMAAAAAA",VLOOKUP(E487,Nombres!A:D,2,FALSE))</f>
        <v>Juan Cruz</v>
      </c>
      <c r="C487" t="str">
        <f>IF(ISERROR(VLOOKUP(E487,Nombres!A:D,4,FALSE)),"PROBLEMAAAAAA",VLOOKUP(E487,Nombres!A:D,4,FALSE))</f>
        <v>DEF</v>
      </c>
      <c r="D487" t="str">
        <f>IF(ISERROR(VLOOKUP(E487,Nombres!A:D,3,FALSE)),"PROBLEMAAAAAA",VLOOKUP(E487,Nombres!A:D,3,FALSE))</f>
        <v>Osasuna</v>
      </c>
      <c r="E487" t="s">
        <v>262</v>
      </c>
      <c r="F487" s="1">
        <v>45910</v>
      </c>
      <c r="G487" t="s">
        <v>7</v>
      </c>
      <c r="H487" t="s">
        <v>8</v>
      </c>
      <c r="I487" s="2">
        <v>2090983</v>
      </c>
    </row>
    <row r="488" spans="1:9" x14ac:dyDescent="0.25">
      <c r="A488">
        <v>487</v>
      </c>
      <c r="B488" t="str">
        <f>IF(ISERROR(VLOOKUP(E488,Nombres!A:D,2,FALSE)),"PROBLEMAAAAAA",VLOOKUP(E488,Nombres!A:D,2,FALSE))</f>
        <v>Mikautadze</v>
      </c>
      <c r="C488" t="str">
        <f>IF(ISERROR(VLOOKUP(E488,Nombres!A:D,4,FALSE)),"PROBLEMAAAAAA",VLOOKUP(E488,Nombres!A:D,4,FALSE))</f>
        <v>DEL</v>
      </c>
      <c r="D488" t="str">
        <f>IF(ISERROR(VLOOKUP(E488,Nombres!A:D,3,FALSE)),"PROBLEMAAAAAA",VLOOKUP(E488,Nombres!A:D,3,FALSE))</f>
        <v>Villarreal</v>
      </c>
      <c r="E488" t="s">
        <v>308</v>
      </c>
      <c r="F488" s="1">
        <v>45910</v>
      </c>
      <c r="G488" t="s">
        <v>11</v>
      </c>
      <c r="H488" t="s">
        <v>31</v>
      </c>
      <c r="I488" s="2">
        <v>35100000</v>
      </c>
    </row>
    <row r="489" spans="1:9" x14ac:dyDescent="0.25">
      <c r="A489">
        <v>488</v>
      </c>
      <c r="B489" t="str">
        <f>IF(ISERROR(VLOOKUP(E489,Nombres!A:D,2,FALSE)),"PROBLEMAAAAAA",VLOOKUP(E489,Nombres!A:D,2,FALSE))</f>
        <v>Portu</v>
      </c>
      <c r="C489" t="str">
        <f>IF(ISERROR(VLOOKUP(E489,Nombres!A:D,4,FALSE)),"PROBLEMAAAAAA",VLOOKUP(E489,Nombres!A:D,4,FALSE))</f>
        <v>DEL</v>
      </c>
      <c r="D489" t="str">
        <f>IF(ISERROR(VLOOKUP(E489,Nombres!A:D,3,FALSE)),"PROBLEMAAAAAA",VLOOKUP(E489,Nombres!A:D,3,FALSE))</f>
        <v>Girona</v>
      </c>
      <c r="E489" t="s">
        <v>199</v>
      </c>
      <c r="F489" s="1">
        <v>45910</v>
      </c>
      <c r="G489" t="s">
        <v>31</v>
      </c>
      <c r="H489" t="s">
        <v>7</v>
      </c>
      <c r="I489" s="2">
        <v>1306600</v>
      </c>
    </row>
    <row r="490" spans="1:9" x14ac:dyDescent="0.25">
      <c r="A490">
        <v>489</v>
      </c>
      <c r="B490" t="str">
        <f>IF(ISERROR(VLOOKUP(E490,Nombres!A:D,2,FALSE)),"PROBLEMAAAAAA",VLOOKUP(E490,Nombres!A:D,2,FALSE))</f>
        <v>Ratiu</v>
      </c>
      <c r="C490" t="str">
        <f>IF(ISERROR(VLOOKUP(E490,Nombres!A:D,4,FALSE)),"PROBLEMAAAAAA",VLOOKUP(E490,Nombres!A:D,4,FALSE))</f>
        <v>DEF</v>
      </c>
      <c r="D490" t="str">
        <f>IF(ISERROR(VLOOKUP(E490,Nombres!A:D,3,FALSE)),"PROBLEMAAAAAA",VLOOKUP(E490,Nombres!A:D,3,FALSE))</f>
        <v>Rayo</v>
      </c>
      <c r="E490" t="s">
        <v>310</v>
      </c>
      <c r="F490" s="1">
        <v>45910</v>
      </c>
      <c r="G490" t="s">
        <v>10</v>
      </c>
      <c r="H490" t="s">
        <v>31</v>
      </c>
      <c r="I490" s="2">
        <v>21741587</v>
      </c>
    </row>
    <row r="491" spans="1:9" x14ac:dyDescent="0.25">
      <c r="A491">
        <v>490</v>
      </c>
      <c r="B491" t="str">
        <f>IF(ISERROR(VLOOKUP(E491,Nombres!A:D,2,FALSE)),"PROBLEMAAAAAA",VLOOKUP(E491,Nombres!A:D,2,FALSE))</f>
        <v>Bryan Gil</v>
      </c>
      <c r="C491" t="str">
        <f>IF(ISERROR(VLOOKUP(E491,Nombres!A:D,4,FALSE)),"PROBLEMAAAAAA",VLOOKUP(E491,Nombres!A:D,4,FALSE))</f>
        <v>DEL</v>
      </c>
      <c r="D491" t="str">
        <f>IF(ISERROR(VLOOKUP(E491,Nombres!A:D,3,FALSE)),"PROBLEMAAAAAA",VLOOKUP(E491,Nombres!A:D,3,FALSE))</f>
        <v>Girona</v>
      </c>
      <c r="E491" t="s">
        <v>312</v>
      </c>
      <c r="F491" s="1">
        <v>45911</v>
      </c>
      <c r="G491" t="s">
        <v>9</v>
      </c>
      <c r="H491" t="s">
        <v>31</v>
      </c>
      <c r="I491" s="2">
        <v>17000000</v>
      </c>
    </row>
    <row r="492" spans="1:9" x14ac:dyDescent="0.25">
      <c r="A492">
        <v>491</v>
      </c>
      <c r="B492" t="str">
        <f>IF(ISERROR(VLOOKUP(E492,Nombres!A:D,2,FALSE)),"PROBLEMAAAAAA",VLOOKUP(E492,Nombres!A:D,2,FALSE))</f>
        <v>Foyth</v>
      </c>
      <c r="C492" t="str">
        <f>IF(ISERROR(VLOOKUP(E492,Nombres!A:D,4,FALSE)),"PROBLEMAAAAAA",VLOOKUP(E492,Nombres!A:D,4,FALSE))</f>
        <v>DEF</v>
      </c>
      <c r="D492" t="str">
        <f>IF(ISERROR(VLOOKUP(E492,Nombres!A:D,3,FALSE)),"PROBLEMAAAAAA",VLOOKUP(E492,Nombres!A:D,3,FALSE))</f>
        <v>Villarreal</v>
      </c>
      <c r="E492" t="s">
        <v>99</v>
      </c>
      <c r="F492" s="1">
        <v>45911</v>
      </c>
      <c r="G492" t="s">
        <v>7</v>
      </c>
      <c r="H492" t="s">
        <v>9</v>
      </c>
      <c r="I492" s="2">
        <v>31796533</v>
      </c>
    </row>
    <row r="493" spans="1:9" x14ac:dyDescent="0.25">
      <c r="A493">
        <v>492</v>
      </c>
      <c r="B493" t="str">
        <f>IF(ISERROR(VLOOKUP(E493,Nombres!A:D,2,FALSE)),"PROBLEMAAAAAA",VLOOKUP(E493,Nombres!A:D,2,FALSE))</f>
        <v>Martín</v>
      </c>
      <c r="C493" t="str">
        <f>IF(ISERROR(VLOOKUP(E493,Nombres!A:D,4,FALSE)),"PROBLEMAAAAAA",VLOOKUP(E493,Nombres!A:D,4,FALSE))</f>
        <v>DEF</v>
      </c>
      <c r="D493" t="str">
        <f>IF(ISERROR(VLOOKUP(E493,Nombres!A:D,3,FALSE)),"PROBLEMAAAAAA",VLOOKUP(E493,Nombres!A:D,3,FALSE))</f>
        <v>Barcelona</v>
      </c>
      <c r="E493" t="s">
        <v>313</v>
      </c>
      <c r="F493" s="1">
        <v>45911</v>
      </c>
      <c r="G493" t="s">
        <v>10</v>
      </c>
      <c r="H493" t="s">
        <v>31</v>
      </c>
      <c r="I493" s="2">
        <v>16875421</v>
      </c>
    </row>
    <row r="494" spans="1:9" x14ac:dyDescent="0.25">
      <c r="A494">
        <v>381</v>
      </c>
      <c r="B494" t="str">
        <f>IF(ISERROR(VLOOKUP(E494,Nombres!A:D,2,FALSE)),"PROBLEMAAAAAA",VLOOKUP(E494,Nombres!A:D,2,FALSE))</f>
        <v>Durán</v>
      </c>
      <c r="C494" t="str">
        <f>IF(ISERROR(VLOOKUP(E494,Nombres!A:D,4,FALSE)),"PROBLEMAAAAAA",VLOOKUP(E494,Nombres!A:D,4,FALSE))</f>
        <v>DEL</v>
      </c>
      <c r="D494" t="str">
        <f>IF(ISERROR(VLOOKUP(E494,Nombres!A:D,3,FALSE)),"PROBLEMAAAAAA",VLOOKUP(E494,Nombres!A:D,3,FALSE))</f>
        <v>Celta</v>
      </c>
      <c r="E494" t="s">
        <v>51</v>
      </c>
      <c r="F494" s="1">
        <v>45897</v>
      </c>
      <c r="G494" t="s">
        <v>768</v>
      </c>
      <c r="H494" t="s">
        <v>13</v>
      </c>
      <c r="I494" s="2">
        <v>1600000</v>
      </c>
    </row>
    <row r="495" spans="1:9" x14ac:dyDescent="0.25">
      <c r="A495">
        <v>494</v>
      </c>
      <c r="B495" t="str">
        <f>IF(ISERROR(VLOOKUP(E495,Nombres!A:D,2,FALSE)),"PROBLEMAAAAAA",VLOOKUP(E495,Nombres!A:D,2,FALSE))</f>
        <v>Iván Romero</v>
      </c>
      <c r="C495" t="str">
        <f>IF(ISERROR(VLOOKUP(E495,Nombres!A:D,4,FALSE)),"PROBLEMAAAAAA",VLOOKUP(E495,Nombres!A:D,4,FALSE))</f>
        <v>DEL</v>
      </c>
      <c r="D495" t="str">
        <f>IF(ISERROR(VLOOKUP(E495,Nombres!A:D,3,FALSE)),"PROBLEMAAAAAA",VLOOKUP(E495,Nombres!A:D,3,FALSE))</f>
        <v>Levante</v>
      </c>
      <c r="E495" t="s">
        <v>281</v>
      </c>
      <c r="F495" s="1">
        <v>45911</v>
      </c>
      <c r="G495" t="s">
        <v>7</v>
      </c>
      <c r="H495" t="s">
        <v>10</v>
      </c>
      <c r="I495" s="2">
        <v>5987878</v>
      </c>
    </row>
    <row r="496" spans="1:9" x14ac:dyDescent="0.25">
      <c r="A496">
        <v>495</v>
      </c>
      <c r="B496" t="str">
        <f>IF(ISERROR(VLOOKUP(E496,Nombres!A:D,2,FALSE)),"PROBLEMAAAAAA",VLOOKUP(E496,Nombres!A:D,2,FALSE))</f>
        <v>Jofre</v>
      </c>
      <c r="C496" t="str">
        <f>IF(ISERROR(VLOOKUP(E496,Nombres!A:D,4,FALSE)),"PROBLEMAAAAAA",VLOOKUP(E496,Nombres!A:D,4,FALSE))</f>
        <v>DEL</v>
      </c>
      <c r="D496" t="str">
        <f>IF(ISERROR(VLOOKUP(E496,Nombres!A:D,3,FALSE)),"PROBLEMAAAAAA",VLOOKUP(E496,Nombres!A:D,3,FALSE))</f>
        <v>Espanyol</v>
      </c>
      <c r="E496" t="s">
        <v>254</v>
      </c>
      <c r="F496" s="1">
        <v>45911</v>
      </c>
      <c r="G496" t="s">
        <v>31</v>
      </c>
      <c r="H496" t="s">
        <v>7</v>
      </c>
      <c r="I496" s="2">
        <v>1036290</v>
      </c>
    </row>
    <row r="497" spans="1:9" x14ac:dyDescent="0.25">
      <c r="A497">
        <v>496</v>
      </c>
      <c r="B497" t="str">
        <f>IF(ISERROR(VLOOKUP(E497,Nombres!A:D,2,FALSE)),"PROBLEMAAAAAA",VLOOKUP(E497,Nombres!A:D,2,FALSE))</f>
        <v>Boyé</v>
      </c>
      <c r="C497" t="str">
        <f>IF(ISERROR(VLOOKUP(E497,Nombres!A:D,4,FALSE)),"PROBLEMAAAAAA",VLOOKUP(E497,Nombres!A:D,4,FALSE))</f>
        <v>DEL</v>
      </c>
      <c r="D497" t="str">
        <f>IF(ISERROR(VLOOKUP(E497,Nombres!A:D,3,FALSE)),"PROBLEMAAAAAA",VLOOKUP(E497,Nombres!A:D,3,FALSE))</f>
        <v>Alavés</v>
      </c>
      <c r="E497" t="s">
        <v>314</v>
      </c>
      <c r="F497" s="1">
        <v>45911</v>
      </c>
      <c r="G497" t="s">
        <v>10</v>
      </c>
      <c r="H497" t="s">
        <v>31</v>
      </c>
      <c r="I497" s="2">
        <v>2506689</v>
      </c>
    </row>
    <row r="498" spans="1:9" x14ac:dyDescent="0.25">
      <c r="A498">
        <v>497</v>
      </c>
      <c r="B498" t="str">
        <f>IF(ISERROR(VLOOKUP(E498,Nombres!A:D,2,FALSE)),"PROBLEMAAAAAA",VLOOKUP(E498,Nombres!A:D,2,FALSE))</f>
        <v>Pablo Martínez</v>
      </c>
      <c r="C498" t="str">
        <f>IF(ISERROR(VLOOKUP(E498,Nombres!A:D,4,FALSE)),"PROBLEMAAAAAA",VLOOKUP(E498,Nombres!A:D,4,FALSE))</f>
        <v>MED</v>
      </c>
      <c r="D498" t="str">
        <f>IF(ISERROR(VLOOKUP(E498,Nombres!A:D,3,FALSE)),"PROBLEMAAAAAA",VLOOKUP(E498,Nombres!A:D,3,FALSE))</f>
        <v>Levante</v>
      </c>
      <c r="E498" t="s">
        <v>263</v>
      </c>
      <c r="F498" s="1">
        <v>45911</v>
      </c>
      <c r="G498" t="s">
        <v>768</v>
      </c>
      <c r="H498" t="s">
        <v>14</v>
      </c>
      <c r="I498" s="2">
        <v>3000010</v>
      </c>
    </row>
    <row r="499" spans="1:9" x14ac:dyDescent="0.25">
      <c r="A499">
        <v>498</v>
      </c>
      <c r="B499" t="str">
        <f>IF(ISERROR(VLOOKUP(E499,Nombres!A:D,2,FALSE)),"PROBLEMAAAAAA",VLOOKUP(E499,Nombres!A:D,2,FALSE))</f>
        <v>Parejo</v>
      </c>
      <c r="C499" t="str">
        <f>IF(ISERROR(VLOOKUP(E499,Nombres!A:D,4,FALSE)),"PROBLEMAAAAAA",VLOOKUP(E499,Nombres!A:D,4,FALSE))</f>
        <v>MED</v>
      </c>
      <c r="D499" t="str">
        <f>IF(ISERROR(VLOOKUP(E499,Nombres!A:D,3,FALSE)),"PROBLEMAAAAAA",VLOOKUP(E499,Nombres!A:D,3,FALSE))</f>
        <v>Villarreal</v>
      </c>
      <c r="E499" t="s">
        <v>40</v>
      </c>
      <c r="F499" s="1">
        <v>45911</v>
      </c>
      <c r="G499" t="s">
        <v>7</v>
      </c>
      <c r="H499" t="s">
        <v>31</v>
      </c>
      <c r="I499" s="2">
        <v>7125049</v>
      </c>
    </row>
    <row r="500" spans="1:9" x14ac:dyDescent="0.25">
      <c r="A500">
        <v>499</v>
      </c>
      <c r="B500" t="str">
        <f>IF(ISERROR(VLOOKUP(E500,Nombres!A:D,2,FALSE)),"PROBLEMAAAAAA",VLOOKUP(E500,Nombres!A:D,2,FALSE))</f>
        <v>Sow</v>
      </c>
      <c r="C500" t="str">
        <f>IF(ISERROR(VLOOKUP(E500,Nombres!A:D,4,FALSE)),"PROBLEMAAAAAA",VLOOKUP(E500,Nombres!A:D,4,FALSE))</f>
        <v>MED</v>
      </c>
      <c r="D500" t="str">
        <f>IF(ISERROR(VLOOKUP(E500,Nombres!A:D,3,FALSE)),"PROBLEMAAAAAA",VLOOKUP(E500,Nombres!A:D,3,FALSE))</f>
        <v>Sevilla</v>
      </c>
      <c r="E500" t="s">
        <v>132</v>
      </c>
      <c r="F500" s="1">
        <v>45911</v>
      </c>
      <c r="G500" t="s">
        <v>13</v>
      </c>
      <c r="H500" t="s">
        <v>31</v>
      </c>
      <c r="I500" s="2">
        <v>2213460</v>
      </c>
    </row>
    <row r="501" spans="1:9" x14ac:dyDescent="0.25">
      <c r="A501">
        <v>500</v>
      </c>
      <c r="B501" t="str">
        <f>IF(ISERROR(VLOOKUP(E501,Nombres!A:D,2,FALSE)),"PROBLEMAAAAAA",VLOOKUP(E501,Nombres!A:D,2,FALSE))</f>
        <v>Tchouaméni</v>
      </c>
      <c r="C501" t="str">
        <f>IF(ISERROR(VLOOKUP(E501,Nombres!A:D,4,FALSE)),"PROBLEMAAAAAA",VLOOKUP(E501,Nombres!A:D,4,FALSE))</f>
        <v>MED</v>
      </c>
      <c r="D501" t="str">
        <f>IF(ISERROR(VLOOKUP(E501,Nombres!A:D,3,FALSE)),"PROBLEMAAAAAA",VLOOKUP(E501,Nombres!A:D,3,FALSE))</f>
        <v>Real Madrid</v>
      </c>
      <c r="E501" t="s">
        <v>196</v>
      </c>
      <c r="F501" s="1">
        <v>45911</v>
      </c>
      <c r="G501" t="s">
        <v>10</v>
      </c>
      <c r="H501" t="s">
        <v>11</v>
      </c>
      <c r="I501" s="2">
        <v>56259306</v>
      </c>
    </row>
    <row r="502" spans="1:9" x14ac:dyDescent="0.25">
      <c r="A502">
        <v>501</v>
      </c>
      <c r="B502" t="str">
        <f>IF(ISERROR(VLOOKUP(E502,Nombres!A:D,2,FALSE)),"PROBLEMAAAAAA",VLOOKUP(E502,Nombres!A:D,2,FALSE))</f>
        <v>Yuri</v>
      </c>
      <c r="C502" t="str">
        <f>IF(ISERROR(VLOOKUP(E502,Nombres!A:D,4,FALSE)),"PROBLEMAAAAAA",VLOOKUP(E502,Nombres!A:D,4,FALSE))</f>
        <v>DEF</v>
      </c>
      <c r="D502" t="str">
        <f>IF(ISERROR(VLOOKUP(E502,Nombres!A:D,3,FALSE)),"PROBLEMAAAAAA",VLOOKUP(E502,Nombres!A:D,3,FALSE))</f>
        <v>Athletic</v>
      </c>
      <c r="E502" t="s">
        <v>126</v>
      </c>
      <c r="F502" s="1">
        <v>45911</v>
      </c>
      <c r="G502" t="s">
        <v>12</v>
      </c>
      <c r="H502" t="s">
        <v>9</v>
      </c>
      <c r="I502" s="2">
        <v>18734306</v>
      </c>
    </row>
    <row r="503" spans="1:9" x14ac:dyDescent="0.25">
      <c r="A503">
        <v>493</v>
      </c>
      <c r="B503" t="str">
        <f>IF(ISERROR(VLOOKUP(E503,Nombres!A:D,2,FALSE)),"PROBLEMAAAAAA",VLOOKUP(E503,Nombres!A:D,2,FALSE))</f>
        <v>Gudelj</v>
      </c>
      <c r="C503" t="str">
        <f>IF(ISERROR(VLOOKUP(E503,Nombres!A:D,4,FALSE)),"PROBLEMAAAAAA",VLOOKUP(E503,Nombres!A:D,4,FALSE))</f>
        <v>MED</v>
      </c>
      <c r="D503" t="str">
        <f>IF(ISERROR(VLOOKUP(E503,Nombres!A:D,3,FALSE)),"PROBLEMAAAAAA",VLOOKUP(E503,Nombres!A:D,3,FALSE))</f>
        <v>Sevilla</v>
      </c>
      <c r="E503" t="s">
        <v>52</v>
      </c>
      <c r="F503" s="1">
        <v>45911</v>
      </c>
      <c r="G503" t="s">
        <v>6</v>
      </c>
      <c r="H503" t="s">
        <v>13</v>
      </c>
      <c r="I503" s="2">
        <v>7900000</v>
      </c>
    </row>
    <row r="504" spans="1:9" x14ac:dyDescent="0.25">
      <c r="A504">
        <v>503</v>
      </c>
      <c r="B504" t="str">
        <f>IF(ISERROR(VLOOKUP(E504,Nombres!A:D,2,FALSE)),"PROBLEMAAAAAA",VLOOKUP(E504,Nombres!A:D,2,FALSE))</f>
        <v>Toljan</v>
      </c>
      <c r="C504" t="str">
        <f>IF(ISERROR(VLOOKUP(E504,Nombres!A:D,4,FALSE)),"PROBLEMAAAAAA",VLOOKUP(E504,Nombres!A:D,4,FALSE))</f>
        <v>DEF</v>
      </c>
      <c r="D504" t="str">
        <f>IF(ISERROR(VLOOKUP(E504,Nombres!A:D,3,FALSE)),"PROBLEMAAAAAA",VLOOKUP(E504,Nombres!A:D,3,FALSE))</f>
        <v>Levante</v>
      </c>
      <c r="E504" t="s">
        <v>315</v>
      </c>
      <c r="F504" s="1">
        <v>45912</v>
      </c>
      <c r="G504" t="s">
        <v>6</v>
      </c>
      <c r="H504" t="s">
        <v>31</v>
      </c>
      <c r="I504" s="2">
        <v>4823354</v>
      </c>
    </row>
    <row r="505" spans="1:9" x14ac:dyDescent="0.25">
      <c r="A505">
        <v>504</v>
      </c>
      <c r="B505" t="str">
        <f>IF(ISERROR(VLOOKUP(E505,Nombres!A:D,2,FALSE)),"PROBLEMAAAAAA",VLOOKUP(E505,Nombres!A:D,2,FALSE))</f>
        <v>Manu González</v>
      </c>
      <c r="C505" t="str">
        <f>IF(ISERROR(VLOOKUP(E505,Nombres!A:D,4,FALSE)),"PROBLEMAAAAAA",VLOOKUP(E505,Nombres!A:D,4,FALSE))</f>
        <v>POR</v>
      </c>
      <c r="D505" t="str">
        <f>IF(ISERROR(VLOOKUP(E505,Nombres!A:D,3,FALSE)),"PROBLEMAAAAAA",VLOOKUP(E505,Nombres!A:D,3,FALSE))</f>
        <v>Betis</v>
      </c>
      <c r="E505" t="s">
        <v>316</v>
      </c>
      <c r="F505" s="1">
        <v>45912</v>
      </c>
      <c r="G505" t="s">
        <v>9</v>
      </c>
      <c r="H505" t="s">
        <v>31</v>
      </c>
      <c r="I505" s="2">
        <v>336318</v>
      </c>
    </row>
    <row r="506" spans="1:9" x14ac:dyDescent="0.25">
      <c r="A506">
        <v>505</v>
      </c>
      <c r="B506" t="str">
        <f>IF(ISERROR(VLOOKUP(E506,Nombres!A:D,2,FALSE)),"PROBLEMAAAAAA",VLOOKUP(E506,Nombres!A:D,2,FALSE))</f>
        <v>Vitor Reis</v>
      </c>
      <c r="C506" t="str">
        <f>IF(ISERROR(VLOOKUP(E506,Nombres!A:D,4,FALSE)),"PROBLEMAAAAAA",VLOOKUP(E506,Nombres!A:D,4,FALSE))</f>
        <v>DEF</v>
      </c>
      <c r="D506" t="str">
        <f>IF(ISERROR(VLOOKUP(E506,Nombres!A:D,3,FALSE)),"PROBLEMAAAAAA",VLOOKUP(E506,Nombres!A:D,3,FALSE))</f>
        <v>Girona</v>
      </c>
      <c r="E506" t="s">
        <v>317</v>
      </c>
      <c r="F506" s="1">
        <v>45912</v>
      </c>
      <c r="G506" t="s">
        <v>9</v>
      </c>
      <c r="H506" t="s">
        <v>31</v>
      </c>
      <c r="I506" s="2">
        <v>10085577</v>
      </c>
    </row>
    <row r="507" spans="1:9" x14ac:dyDescent="0.25">
      <c r="A507">
        <v>506</v>
      </c>
      <c r="B507" t="str">
        <f>IF(ISERROR(VLOOKUP(E507,Nombres!A:D,2,FALSE)),"PROBLEMAAAAAA",VLOOKUP(E507,Nombres!A:D,2,FALSE))</f>
        <v>Alemão</v>
      </c>
      <c r="C507" t="str">
        <f>IF(ISERROR(VLOOKUP(E507,Nombres!A:D,4,FALSE)),"PROBLEMAAAAAA",VLOOKUP(E507,Nombres!A:D,4,FALSE))</f>
        <v>DEL</v>
      </c>
      <c r="D507" t="str">
        <f>IF(ISERROR(VLOOKUP(E507,Nombres!A:D,3,FALSE)),"PROBLEMAAAAAA",VLOOKUP(E507,Nombres!A:D,3,FALSE))</f>
        <v>Rayo</v>
      </c>
      <c r="E507" t="s">
        <v>318</v>
      </c>
      <c r="F507" s="1">
        <v>45913</v>
      </c>
      <c r="G507" t="s">
        <v>13</v>
      </c>
      <c r="H507" t="s">
        <v>31</v>
      </c>
      <c r="I507" s="2">
        <v>5000000</v>
      </c>
    </row>
    <row r="508" spans="1:9" x14ac:dyDescent="0.25">
      <c r="A508">
        <v>507</v>
      </c>
      <c r="B508" t="str">
        <f>IF(ISERROR(VLOOKUP(E508,Nombres!A:D,2,FALSE)),"PROBLEMAAAAAA",VLOOKUP(E508,Nombres!A:D,2,FALSE))</f>
        <v>André Silva</v>
      </c>
      <c r="C508" t="str">
        <f>IF(ISERROR(VLOOKUP(E508,Nombres!A:D,4,FALSE)),"PROBLEMAAAAAA",VLOOKUP(E508,Nombres!A:D,4,FALSE))</f>
        <v>DEL</v>
      </c>
      <c r="D508" t="str">
        <f>IF(ISERROR(VLOOKUP(E508,Nombres!A:D,3,FALSE)),"PROBLEMAAAAAA",VLOOKUP(E508,Nombres!A:D,3,FALSE))</f>
        <v>Elche</v>
      </c>
      <c r="E508" t="s">
        <v>319</v>
      </c>
      <c r="F508" s="1">
        <v>45913</v>
      </c>
      <c r="G508" t="s">
        <v>12</v>
      </c>
      <c r="H508" t="s">
        <v>31</v>
      </c>
      <c r="I508" s="2">
        <v>7100010</v>
      </c>
    </row>
    <row r="509" spans="1:9" x14ac:dyDescent="0.25">
      <c r="A509">
        <v>508</v>
      </c>
      <c r="B509" t="str">
        <f>IF(ISERROR(VLOOKUP(E509,Nombres!A:D,2,FALSE)),"PROBLEMAAAAAA",VLOOKUP(E509,Nombres!A:D,2,FALSE))</f>
        <v>Gorosabel</v>
      </c>
      <c r="C509" t="str">
        <f>IF(ISERROR(VLOOKUP(E509,Nombres!A:D,4,FALSE)),"PROBLEMAAAAAA",VLOOKUP(E509,Nombres!A:D,4,FALSE))</f>
        <v>DEF</v>
      </c>
      <c r="D509" t="str">
        <f>IF(ISERROR(VLOOKUP(E509,Nombres!A:D,3,FALSE)),"PROBLEMAAAAAA",VLOOKUP(E509,Nombres!A:D,3,FALSE))</f>
        <v>Athletic</v>
      </c>
      <c r="E509" t="s">
        <v>55</v>
      </c>
      <c r="F509" s="1">
        <v>45913</v>
      </c>
      <c r="G509" t="s">
        <v>31</v>
      </c>
      <c r="H509" t="s">
        <v>7</v>
      </c>
      <c r="I509" s="2">
        <v>2519608</v>
      </c>
    </row>
    <row r="510" spans="1:9" x14ac:dyDescent="0.25">
      <c r="A510">
        <v>509</v>
      </c>
      <c r="B510" t="str">
        <f>IF(ISERROR(VLOOKUP(E510,Nombres!A:D,2,FALSE)),"PROBLEMAAAAAA",VLOOKUP(E510,Nombres!A:D,2,FALSE))</f>
        <v>Tchouaméni</v>
      </c>
      <c r="C510" t="str">
        <f>IF(ISERROR(VLOOKUP(E510,Nombres!A:D,4,FALSE)),"PROBLEMAAAAAA",VLOOKUP(E510,Nombres!A:D,4,FALSE))</f>
        <v>MED</v>
      </c>
      <c r="D510" t="str">
        <f>IF(ISERROR(VLOOKUP(E510,Nombres!A:D,3,FALSE)),"PROBLEMAAAAAA",VLOOKUP(E510,Nombres!A:D,3,FALSE))</f>
        <v>Real Madrid</v>
      </c>
      <c r="E510" t="s">
        <v>196</v>
      </c>
      <c r="F510" s="1">
        <v>45913</v>
      </c>
      <c r="G510" t="s">
        <v>31</v>
      </c>
      <c r="H510" t="s">
        <v>10</v>
      </c>
      <c r="I510" s="2">
        <v>61760477</v>
      </c>
    </row>
    <row r="511" spans="1:9" x14ac:dyDescent="0.25">
      <c r="A511">
        <v>510</v>
      </c>
      <c r="B511" t="str">
        <f>IF(ISERROR(VLOOKUP(E511,Nombres!A:D,2,FALSE)),"PROBLEMAAAAAA",VLOOKUP(E511,Nombres!A:D,2,FALSE))</f>
        <v>Almada</v>
      </c>
      <c r="C511" t="str">
        <f>IF(ISERROR(VLOOKUP(E511,Nombres!A:D,4,FALSE)),"PROBLEMAAAAAA",VLOOKUP(E511,Nombres!A:D,4,FALSE))</f>
        <v>MED</v>
      </c>
      <c r="D511" t="str">
        <f>IF(ISERROR(VLOOKUP(E511,Nombres!A:D,3,FALSE)),"PROBLEMAAAAAA",VLOOKUP(E511,Nombres!A:D,3,FALSE))</f>
        <v>Atlético</v>
      </c>
      <c r="E511" t="s">
        <v>110</v>
      </c>
      <c r="F511" s="1">
        <v>45914</v>
      </c>
      <c r="G511" t="s">
        <v>31</v>
      </c>
      <c r="H511" t="s">
        <v>768</v>
      </c>
      <c r="I511" s="2">
        <v>32871309</v>
      </c>
    </row>
    <row r="512" spans="1:9" x14ac:dyDescent="0.25">
      <c r="A512">
        <v>511</v>
      </c>
      <c r="B512" t="str">
        <f>IF(ISERROR(VLOOKUP(E512,Nombres!A:D,2,FALSE)),"PROBLEMAAAAAA",VLOOKUP(E512,Nombres!A:D,2,FALSE))</f>
        <v>Asprilla</v>
      </c>
      <c r="C512" t="str">
        <f>IF(ISERROR(VLOOKUP(E512,Nombres!A:D,4,FALSE)),"PROBLEMAAAAAA",VLOOKUP(E512,Nombres!A:D,4,FALSE))</f>
        <v>DEL</v>
      </c>
      <c r="D512" t="str">
        <f>IF(ISERROR(VLOOKUP(E512,Nombres!A:D,3,FALSE)),"PROBLEMAAAAAA",VLOOKUP(E512,Nombres!A:D,3,FALSE))</f>
        <v>Girona</v>
      </c>
      <c r="E512" t="s">
        <v>168</v>
      </c>
      <c r="F512" s="1">
        <v>45914</v>
      </c>
      <c r="G512" t="s">
        <v>31</v>
      </c>
      <c r="H512" t="s">
        <v>11</v>
      </c>
      <c r="I512" s="2">
        <v>3361511</v>
      </c>
    </row>
    <row r="513" spans="1:9" x14ac:dyDescent="0.25">
      <c r="A513">
        <v>512</v>
      </c>
      <c r="B513" t="str">
        <f>IF(ISERROR(VLOOKUP(E513,Nombres!A:D,2,FALSE)),"PROBLEMAAAAAA",VLOOKUP(E513,Nombres!A:D,2,FALSE))</f>
        <v>Romero</v>
      </c>
      <c r="C513" t="str">
        <f>IF(ISERROR(VLOOKUP(E513,Nombres!A:D,4,FALSE)),"PROBLEMAAAAAA",VLOOKUP(E513,Nombres!A:D,4,FALSE))</f>
        <v>DEF</v>
      </c>
      <c r="D513" t="str">
        <f>IF(ISERROR(VLOOKUP(E513,Nombres!A:D,3,FALSE)),"PROBLEMAAAAAA",VLOOKUP(E513,Nombres!A:D,3,FALSE))</f>
        <v>Espanyol</v>
      </c>
      <c r="E513" t="s">
        <v>321</v>
      </c>
      <c r="F513" s="1">
        <v>45914</v>
      </c>
      <c r="G513" t="s">
        <v>9</v>
      </c>
      <c r="H513" t="s">
        <v>31</v>
      </c>
      <c r="I513" s="2">
        <v>8500000</v>
      </c>
    </row>
    <row r="514" spans="1:9" x14ac:dyDescent="0.25">
      <c r="A514">
        <v>513</v>
      </c>
      <c r="B514" t="str">
        <f>IF(ISERROR(VLOOKUP(E514,Nombres!A:D,2,FALSE)),"PROBLEMAAAAAA",VLOOKUP(E514,Nombres!A:D,2,FALSE))</f>
        <v>Cucho</v>
      </c>
      <c r="C514" t="str">
        <f>IF(ISERROR(VLOOKUP(E514,Nombres!A:D,4,FALSE)),"PROBLEMAAAAAA",VLOOKUP(E514,Nombres!A:D,4,FALSE))</f>
        <v>DEL</v>
      </c>
      <c r="D514" t="str">
        <f>IF(ISERROR(VLOOKUP(E514,Nombres!A:D,3,FALSE)),"PROBLEMAAAAAA",VLOOKUP(E514,Nombres!A:D,3,FALSE))</f>
        <v>Betis</v>
      </c>
      <c r="E514" t="s">
        <v>323</v>
      </c>
      <c r="F514" s="1">
        <v>45914</v>
      </c>
      <c r="G514" t="s">
        <v>6</v>
      </c>
      <c r="H514" t="s">
        <v>31</v>
      </c>
      <c r="I514" s="2">
        <v>9998645</v>
      </c>
    </row>
    <row r="515" spans="1:9" x14ac:dyDescent="0.25">
      <c r="A515">
        <v>514</v>
      </c>
      <c r="B515" t="str">
        <f>IF(ISERROR(VLOOKUP(E515,Nombres!A:D,2,FALSE)),"PROBLEMAAAAAA",VLOOKUP(E515,Nombres!A:D,2,FALSE))</f>
        <v>El Hilali</v>
      </c>
      <c r="C515" t="str">
        <f>IF(ISERROR(VLOOKUP(E515,Nombres!A:D,4,FALSE)),"PROBLEMAAAAAA",VLOOKUP(E515,Nombres!A:D,4,FALSE))</f>
        <v>DEF</v>
      </c>
      <c r="D515" t="str">
        <f>IF(ISERROR(VLOOKUP(E515,Nombres!A:D,3,FALSE)),"PROBLEMAAAAAA",VLOOKUP(E515,Nombres!A:D,3,FALSE))</f>
        <v>Espanyol</v>
      </c>
      <c r="E515" t="s">
        <v>276</v>
      </c>
      <c r="F515" s="1">
        <v>45914</v>
      </c>
      <c r="G515" t="s">
        <v>768</v>
      </c>
      <c r="H515" t="s">
        <v>8</v>
      </c>
      <c r="I515" s="2">
        <v>5110000</v>
      </c>
    </row>
    <row r="516" spans="1:9" x14ac:dyDescent="0.25">
      <c r="A516">
        <v>515</v>
      </c>
      <c r="B516" t="str">
        <f>IF(ISERROR(VLOOKUP(E516,Nombres!A:D,2,FALSE)),"PROBLEMAAAAAA",VLOOKUP(E516,Nombres!A:D,2,FALSE))</f>
        <v>Etta Eyong</v>
      </c>
      <c r="C516" t="str">
        <f>IF(ISERROR(VLOOKUP(E516,Nombres!A:D,4,FALSE)),"PROBLEMAAAAAA",VLOOKUP(E516,Nombres!A:D,4,FALSE))</f>
        <v>DEL</v>
      </c>
      <c r="D516" t="str">
        <f>IF(ISERROR(VLOOKUP(E516,Nombres!A:D,3,FALSE)),"PROBLEMAAAAAA",VLOOKUP(E516,Nombres!A:D,3,FALSE))</f>
        <v>Levante</v>
      </c>
      <c r="E516" t="s">
        <v>274</v>
      </c>
      <c r="F516" s="1">
        <v>45914</v>
      </c>
      <c r="G516" t="s">
        <v>10</v>
      </c>
      <c r="H516" t="s">
        <v>6</v>
      </c>
      <c r="I516" s="2">
        <v>45041480</v>
      </c>
    </row>
    <row r="517" spans="1:9" x14ac:dyDescent="0.25">
      <c r="A517">
        <v>516</v>
      </c>
      <c r="B517" t="str">
        <f>IF(ISERROR(VLOOKUP(E517,Nombres!A:D,2,FALSE)),"PROBLEMAAAAAA",VLOOKUP(E517,Nombres!A:D,2,FALSE))</f>
        <v>Luiz Felipe</v>
      </c>
      <c r="C517" t="str">
        <f>IF(ISERROR(VLOOKUP(E517,Nombres!A:D,4,FALSE)),"PROBLEMAAAAAA",VLOOKUP(E517,Nombres!A:D,4,FALSE))</f>
        <v>DEF</v>
      </c>
      <c r="D517" t="str">
        <f>IF(ISERROR(VLOOKUP(E517,Nombres!A:D,3,FALSE)),"PROBLEMAAAAAA",VLOOKUP(E517,Nombres!A:D,3,FALSE))</f>
        <v>Rayo</v>
      </c>
      <c r="E517" t="s">
        <v>69</v>
      </c>
      <c r="F517" s="1">
        <v>45914</v>
      </c>
      <c r="G517" t="s">
        <v>31</v>
      </c>
      <c r="H517" t="s">
        <v>10</v>
      </c>
      <c r="I517" s="2">
        <v>5028925</v>
      </c>
    </row>
    <row r="518" spans="1:9" x14ac:dyDescent="0.25">
      <c r="A518">
        <v>517</v>
      </c>
      <c r="B518" t="str">
        <f>IF(ISERROR(VLOOKUP(E518,Nombres!A:D,2,FALSE)),"PROBLEMAAAAAA",VLOOKUP(E518,Nombres!A:D,2,FALSE))</f>
        <v>Martim Neto</v>
      </c>
      <c r="C518" t="str">
        <f>IF(ISERROR(VLOOKUP(E518,Nombres!A:D,4,FALSE)),"PROBLEMAAAAAA",VLOOKUP(E518,Nombres!A:D,4,FALSE))</f>
        <v>MED</v>
      </c>
      <c r="D518" t="str">
        <f>IF(ISERROR(VLOOKUP(E518,Nombres!A:D,3,FALSE)),"PROBLEMAAAAAA",VLOOKUP(E518,Nombres!A:D,3,FALSE))</f>
        <v>Elche</v>
      </c>
      <c r="E518" t="s">
        <v>320</v>
      </c>
      <c r="F518" s="1">
        <v>45914</v>
      </c>
      <c r="G518" t="s">
        <v>6</v>
      </c>
      <c r="H518" t="s">
        <v>31</v>
      </c>
      <c r="I518" s="2">
        <v>6085841</v>
      </c>
    </row>
    <row r="519" spans="1:9" x14ac:dyDescent="0.25">
      <c r="A519">
        <v>518</v>
      </c>
      <c r="B519" t="str">
        <f>IF(ISERROR(VLOOKUP(E519,Nombres!A:D,2,FALSE)),"PROBLEMAAAAAA",VLOOKUP(E519,Nombres!A:D,2,FALSE))</f>
        <v>Natan</v>
      </c>
      <c r="C519" t="str">
        <f>IF(ISERROR(VLOOKUP(E519,Nombres!A:D,4,FALSE)),"PROBLEMAAAAAA",VLOOKUP(E519,Nombres!A:D,4,FALSE))</f>
        <v>DEF</v>
      </c>
      <c r="D519" t="str">
        <f>IF(ISERROR(VLOOKUP(E519,Nombres!A:D,3,FALSE)),"PROBLEMAAAAAA",VLOOKUP(E519,Nombres!A:D,3,FALSE))</f>
        <v>Betis</v>
      </c>
      <c r="E519" t="s">
        <v>118</v>
      </c>
      <c r="F519" s="1">
        <v>45914</v>
      </c>
      <c r="G519" t="s">
        <v>6</v>
      </c>
      <c r="H519" t="s">
        <v>31</v>
      </c>
      <c r="I519" s="2">
        <v>26058471</v>
      </c>
    </row>
    <row r="520" spans="1:9" x14ac:dyDescent="0.25">
      <c r="A520">
        <v>519</v>
      </c>
      <c r="B520" t="str">
        <f>IF(ISERROR(VLOOKUP(E520,Nombres!A:D,2,FALSE)),"PROBLEMAAAAAA",VLOOKUP(E520,Nombres!A:D,2,FALSE))</f>
        <v>Neyou</v>
      </c>
      <c r="C520" t="str">
        <f>IF(ISERROR(VLOOKUP(E520,Nombres!A:D,4,FALSE)),"PROBLEMAAAAAA",VLOOKUP(E520,Nombres!A:D,4,FALSE))</f>
        <v>MED</v>
      </c>
      <c r="D520" t="str">
        <f>IF(ISERROR(VLOOKUP(E520,Nombres!A:D,3,FALSE)),"PROBLEMAAAAAA",VLOOKUP(E520,Nombres!A:D,3,FALSE))</f>
        <v>Getafe</v>
      </c>
      <c r="E520" t="s">
        <v>305</v>
      </c>
      <c r="F520" s="1">
        <v>45914</v>
      </c>
      <c r="G520" t="s">
        <v>31</v>
      </c>
      <c r="H520" t="s">
        <v>11</v>
      </c>
      <c r="I520" s="2">
        <v>4045446</v>
      </c>
    </row>
    <row r="521" spans="1:9" x14ac:dyDescent="0.25">
      <c r="A521">
        <v>520</v>
      </c>
      <c r="B521" t="str">
        <f>IF(ISERROR(VLOOKUP(E521,Nombres!A:D,2,FALSE)),"PROBLEMAAAAAA",VLOOKUP(E521,Nombres!A:D,2,FALSE))</f>
        <v>Ryan</v>
      </c>
      <c r="C521" t="str">
        <f>IF(ISERROR(VLOOKUP(E521,Nombres!A:D,4,FALSE)),"PROBLEMAAAAAA",VLOOKUP(E521,Nombres!A:D,4,FALSE))</f>
        <v>POR</v>
      </c>
      <c r="D521" t="str">
        <f>IF(ISERROR(VLOOKUP(E521,Nombres!A:D,3,FALSE)),"PROBLEMAAAAAA",VLOOKUP(E521,Nombres!A:D,3,FALSE))</f>
        <v>Levante</v>
      </c>
      <c r="E521" t="s">
        <v>322</v>
      </c>
      <c r="F521" s="1">
        <v>45914</v>
      </c>
      <c r="G521" t="s">
        <v>6</v>
      </c>
      <c r="H521" t="s">
        <v>31</v>
      </c>
      <c r="I521" s="2">
        <v>4000000</v>
      </c>
    </row>
    <row r="522" spans="1:9" x14ac:dyDescent="0.25">
      <c r="A522">
        <v>521</v>
      </c>
      <c r="B522" t="str">
        <f>IF(ISERROR(VLOOKUP(E522,Nombres!A:D,2,FALSE)),"PROBLEMAAAAAA",VLOOKUP(E522,Nombres!A:D,2,FALSE))</f>
        <v>Herrera</v>
      </c>
      <c r="C522" t="str">
        <f>IF(ISERROR(VLOOKUP(E522,Nombres!A:D,4,FALSE)),"PROBLEMAAAAAA",VLOOKUP(E522,Nombres!A:D,4,FALSE))</f>
        <v>POR</v>
      </c>
      <c r="D522" t="str">
        <f>IF(ISERROR(VLOOKUP(E522,Nombres!A:D,3,FALSE)),"PROBLEMAAAAAA",VLOOKUP(E522,Nombres!A:D,3,FALSE))</f>
        <v>Osasuna</v>
      </c>
      <c r="E522" t="s">
        <v>290</v>
      </c>
      <c r="F522" s="1">
        <v>45914</v>
      </c>
      <c r="G522" t="s">
        <v>31</v>
      </c>
      <c r="H522" t="s">
        <v>12</v>
      </c>
      <c r="I522" s="2">
        <v>22460839</v>
      </c>
    </row>
    <row r="523" spans="1:9" x14ac:dyDescent="0.25">
      <c r="A523">
        <v>522</v>
      </c>
      <c r="B523" t="str">
        <f>IF(ISERROR(VLOOKUP(E523,Nombres!A:D,2,FALSE)),"PROBLEMAAAAAA",VLOOKUP(E523,Nombres!A:D,2,FALSE))</f>
        <v>Antony</v>
      </c>
      <c r="C523" t="str">
        <f>IF(ISERROR(VLOOKUP(E523,Nombres!A:D,4,FALSE)),"PROBLEMAAAAAA",VLOOKUP(E523,Nombres!A:D,4,FALSE))</f>
        <v>DEL</v>
      </c>
      <c r="D523" t="str">
        <f>IF(ISERROR(VLOOKUP(E523,Nombres!A:D,3,FALSE)),"PROBLEMAAAAAA",VLOOKUP(E523,Nombres!A:D,3,FALSE))</f>
        <v>Betis</v>
      </c>
      <c r="E523" t="s">
        <v>324</v>
      </c>
      <c r="F523" s="1">
        <v>45915</v>
      </c>
      <c r="G523" t="s">
        <v>10</v>
      </c>
      <c r="H523" t="s">
        <v>31</v>
      </c>
      <c r="I523" s="2">
        <v>105511535</v>
      </c>
    </row>
    <row r="524" spans="1:9" x14ac:dyDescent="0.25">
      <c r="A524">
        <v>594</v>
      </c>
      <c r="B524" t="str">
        <f>IF(ISERROR(VLOOKUP(E524,Nombres!A:D,2,FALSE)),"PROBLEMAAAAAA",VLOOKUP(E524,Nombres!A:D,2,FALSE))</f>
        <v>Lo Celso</v>
      </c>
      <c r="C524" t="str">
        <f>IF(ISERROR(VLOOKUP(E524,Nombres!A:D,4,FALSE)),"PROBLEMAAAAAA",VLOOKUP(E524,Nombres!A:D,4,FALSE))</f>
        <v>MED</v>
      </c>
      <c r="D524" t="str">
        <f>IF(ISERROR(VLOOKUP(E524,Nombres!A:D,3,FALSE)),"PROBLEMAAAAAA",VLOOKUP(E524,Nombres!A:D,3,FALSE))</f>
        <v>Betis</v>
      </c>
      <c r="E524" t="s">
        <v>299</v>
      </c>
      <c r="F524" s="1">
        <v>45920</v>
      </c>
      <c r="G524" t="s">
        <v>9</v>
      </c>
      <c r="H524" t="s">
        <v>13</v>
      </c>
      <c r="I524" s="2">
        <v>75609428</v>
      </c>
    </row>
    <row r="525" spans="1:9" x14ac:dyDescent="0.25">
      <c r="A525">
        <v>524</v>
      </c>
      <c r="B525" t="str">
        <f>IF(ISERROR(VLOOKUP(E525,Nombres!A:D,2,FALSE)),"PROBLEMAAAAAA",VLOOKUP(E525,Nombres!A:D,2,FALSE))</f>
        <v>De Frutos</v>
      </c>
      <c r="C525" t="str">
        <f>IF(ISERROR(VLOOKUP(E525,Nombres!A:D,4,FALSE)),"PROBLEMAAAAAA",VLOOKUP(E525,Nombres!A:D,4,FALSE))</f>
        <v>DEL</v>
      </c>
      <c r="D525" t="str">
        <f>IF(ISERROR(VLOOKUP(E525,Nombres!A:D,3,FALSE)),"PROBLEMAAAAAA",VLOOKUP(E525,Nombres!A:D,3,FALSE))</f>
        <v>Rayo</v>
      </c>
      <c r="E525" t="s">
        <v>119</v>
      </c>
      <c r="F525" s="1">
        <v>45915</v>
      </c>
      <c r="G525" t="s">
        <v>31</v>
      </c>
      <c r="H525" t="s">
        <v>13</v>
      </c>
      <c r="I525" s="2">
        <v>29486340</v>
      </c>
    </row>
    <row r="526" spans="1:9" x14ac:dyDescent="0.25">
      <c r="A526">
        <v>525</v>
      </c>
      <c r="B526" t="str">
        <f>IF(ISERROR(VLOOKUP(E526,Nombres!A:D,2,FALSE)),"PROBLEMAAAAAA",VLOOKUP(E526,Nombres!A:D,2,FALSE))</f>
        <v>Garcés</v>
      </c>
      <c r="C526" t="str">
        <f>IF(ISERROR(VLOOKUP(E526,Nombres!A:D,4,FALSE)),"PROBLEMAAAAAA",VLOOKUP(E526,Nombres!A:D,4,FALSE))</f>
        <v>DEF</v>
      </c>
      <c r="D526" t="str">
        <f>IF(ISERROR(VLOOKUP(E526,Nombres!A:D,3,FALSE)),"PROBLEMAAAAAA",VLOOKUP(E526,Nombres!A:D,3,FALSE))</f>
        <v>Alavés</v>
      </c>
      <c r="E526" t="s">
        <v>183</v>
      </c>
      <c r="F526" s="1">
        <v>45915</v>
      </c>
      <c r="G526" t="s">
        <v>13</v>
      </c>
      <c r="H526" t="s">
        <v>6</v>
      </c>
      <c r="I526" s="2">
        <v>3431812</v>
      </c>
    </row>
    <row r="527" spans="1:9" x14ac:dyDescent="0.25">
      <c r="A527">
        <v>526</v>
      </c>
      <c r="B527" t="str">
        <f>IF(ISERROR(VLOOKUP(E527,Nombres!A:D,2,FALSE)),"PROBLEMAAAAAA",VLOOKUP(E527,Nombres!A:D,2,FALSE))</f>
        <v>Valera</v>
      </c>
      <c r="C527" t="str">
        <f>IF(ISERROR(VLOOKUP(E527,Nombres!A:D,4,FALSE)),"PROBLEMAAAAAA",VLOOKUP(E527,Nombres!A:D,4,FALSE))</f>
        <v>MED</v>
      </c>
      <c r="D527" t="str">
        <f>IF(ISERROR(VLOOKUP(E527,Nombres!A:D,3,FALSE)),"PROBLEMAAAAAA",VLOOKUP(E527,Nombres!A:D,3,FALSE))</f>
        <v>Elche</v>
      </c>
      <c r="E527" t="s">
        <v>325</v>
      </c>
      <c r="F527" s="1">
        <v>45915</v>
      </c>
      <c r="G527" t="s">
        <v>13</v>
      </c>
      <c r="H527" t="s">
        <v>31</v>
      </c>
      <c r="I527" s="2">
        <v>12098300</v>
      </c>
    </row>
    <row r="528" spans="1:9" x14ac:dyDescent="0.25">
      <c r="A528">
        <v>527</v>
      </c>
      <c r="B528" t="str">
        <f>IF(ISERROR(VLOOKUP(E528,Nombres!A:D,2,FALSE)),"PROBLEMAAAAAA",VLOOKUP(E528,Nombres!A:D,2,FALSE))</f>
        <v>Leo Román</v>
      </c>
      <c r="C528" t="str">
        <f>IF(ISERROR(VLOOKUP(E528,Nombres!A:D,4,FALSE)),"PROBLEMAAAAAA",VLOOKUP(E528,Nombres!A:D,4,FALSE))</f>
        <v>POR</v>
      </c>
      <c r="D528" t="str">
        <f>IF(ISERROR(VLOOKUP(E528,Nombres!A:D,3,FALSE)),"PROBLEMAAAAAA",VLOOKUP(E528,Nombres!A:D,3,FALSE))</f>
        <v>Mallorca</v>
      </c>
      <c r="E528" t="s">
        <v>78</v>
      </c>
      <c r="F528" s="1">
        <v>45915</v>
      </c>
      <c r="G528" t="s">
        <v>31</v>
      </c>
      <c r="H528" t="s">
        <v>11</v>
      </c>
      <c r="I528" s="2">
        <v>6136418</v>
      </c>
    </row>
    <row r="529" spans="1:9" x14ac:dyDescent="0.25">
      <c r="A529">
        <v>528</v>
      </c>
      <c r="B529" t="str">
        <f>IF(ISERROR(VLOOKUP(E529,Nombres!A:D,2,FALSE)),"PROBLEMAAAAAA",VLOOKUP(E529,Nombres!A:D,2,FALSE))</f>
        <v>Mojica</v>
      </c>
      <c r="C529" t="str">
        <f>IF(ISERROR(VLOOKUP(E529,Nombres!A:D,4,FALSE)),"PROBLEMAAAAAA",VLOOKUP(E529,Nombres!A:D,4,FALSE))</f>
        <v>DEF</v>
      </c>
      <c r="D529" t="str">
        <f>IF(ISERROR(VLOOKUP(E529,Nombres!A:D,3,FALSE)),"PROBLEMAAAAAA",VLOOKUP(E529,Nombres!A:D,3,FALSE))</f>
        <v>Mallorca</v>
      </c>
      <c r="E529" t="s">
        <v>173</v>
      </c>
      <c r="F529" s="1">
        <v>45915</v>
      </c>
      <c r="G529" t="s">
        <v>31</v>
      </c>
      <c r="H529" t="s">
        <v>11</v>
      </c>
      <c r="I529" s="2">
        <v>8505525</v>
      </c>
    </row>
    <row r="530" spans="1:9" x14ac:dyDescent="0.25">
      <c r="A530">
        <v>529</v>
      </c>
      <c r="B530" t="str">
        <f>IF(ISERROR(VLOOKUP(E530,Nombres!A:D,2,FALSE)),"PROBLEMAAAAAA",VLOOKUP(E530,Nombres!A:D,2,FALSE))</f>
        <v>Rafa Marín</v>
      </c>
      <c r="C530" t="str">
        <f>IF(ISERROR(VLOOKUP(E530,Nombres!A:D,4,FALSE)),"PROBLEMAAAAAA",VLOOKUP(E530,Nombres!A:D,4,FALSE))</f>
        <v>DEF</v>
      </c>
      <c r="D530" t="str">
        <f>IF(ISERROR(VLOOKUP(E530,Nombres!A:D,3,FALSE)),"PROBLEMAAAAAA",VLOOKUP(E530,Nombres!A:D,3,FALSE))</f>
        <v>Villarreal</v>
      </c>
      <c r="E530" t="s">
        <v>234</v>
      </c>
      <c r="F530" s="1">
        <v>45915</v>
      </c>
      <c r="G530" t="s">
        <v>31</v>
      </c>
      <c r="H530" t="s">
        <v>13</v>
      </c>
      <c r="I530" s="2">
        <v>30094284</v>
      </c>
    </row>
    <row r="531" spans="1:9" x14ac:dyDescent="0.25">
      <c r="A531">
        <v>530</v>
      </c>
      <c r="B531" t="str">
        <f>IF(ISERROR(VLOOKUP(E531,Nombres!A:D,2,FALSE)),"PROBLEMAAAAAA",VLOOKUP(E531,Nombres!A:D,2,FALSE))</f>
        <v>Riquelme</v>
      </c>
      <c r="C531" t="str">
        <f>IF(ISERROR(VLOOKUP(E531,Nombres!A:D,4,FALSE)),"PROBLEMAAAAAA",VLOOKUP(E531,Nombres!A:D,4,FALSE))</f>
        <v>MED</v>
      </c>
      <c r="D531" t="str">
        <f>IF(ISERROR(VLOOKUP(E531,Nombres!A:D,3,FALSE)),"PROBLEMAAAAAA",VLOOKUP(E531,Nombres!A:D,3,FALSE))</f>
        <v>Betis</v>
      </c>
      <c r="E531" t="s">
        <v>109</v>
      </c>
      <c r="F531" s="1">
        <v>45915</v>
      </c>
      <c r="G531" t="s">
        <v>31</v>
      </c>
      <c r="H531" t="s">
        <v>12</v>
      </c>
      <c r="I531" s="2">
        <v>33788946</v>
      </c>
    </row>
    <row r="532" spans="1:9" x14ac:dyDescent="0.25">
      <c r="A532">
        <v>531</v>
      </c>
      <c r="B532" t="str">
        <f>IF(ISERROR(VLOOKUP(E532,Nombres!A:D,2,FALSE)),"PROBLEMAAAAAA",VLOOKUP(E532,Nombres!A:D,2,FALSE))</f>
        <v>Rüdiger</v>
      </c>
      <c r="C532" t="str">
        <f>IF(ISERROR(VLOOKUP(E532,Nombres!A:D,4,FALSE)),"PROBLEMAAAAAA",VLOOKUP(E532,Nombres!A:D,4,FALSE))</f>
        <v>DEF</v>
      </c>
      <c r="D532" t="str">
        <f>IF(ISERROR(VLOOKUP(E532,Nombres!A:D,3,FALSE)),"PROBLEMAAAAAA",VLOOKUP(E532,Nombres!A:D,3,FALSE))</f>
        <v>Real Madrid</v>
      </c>
      <c r="E532" t="s">
        <v>39</v>
      </c>
      <c r="F532" s="1">
        <v>45915</v>
      </c>
      <c r="G532" t="s">
        <v>31</v>
      </c>
      <c r="H532" t="s">
        <v>8</v>
      </c>
      <c r="I532" s="2">
        <v>19072395</v>
      </c>
    </row>
    <row r="533" spans="1:9" x14ac:dyDescent="0.25">
      <c r="A533">
        <v>532</v>
      </c>
      <c r="B533" t="str">
        <f>IF(ISERROR(VLOOKUP(E533,Nombres!A:D,2,FALSE)),"PROBLEMAAAAAA",VLOOKUP(E533,Nombres!A:D,2,FALSE))</f>
        <v>Valjent</v>
      </c>
      <c r="C533" t="str">
        <f>IF(ISERROR(VLOOKUP(E533,Nombres!A:D,4,FALSE)),"PROBLEMAAAAAA",VLOOKUP(E533,Nombres!A:D,4,FALSE))</f>
        <v>DEF</v>
      </c>
      <c r="D533" t="str">
        <f>IF(ISERROR(VLOOKUP(E533,Nombres!A:D,3,FALSE)),"PROBLEMAAAAAA",VLOOKUP(E533,Nombres!A:D,3,FALSE))</f>
        <v>Mallorca</v>
      </c>
      <c r="E533" t="s">
        <v>197</v>
      </c>
      <c r="F533" s="1">
        <v>45915</v>
      </c>
      <c r="G533" t="s">
        <v>31</v>
      </c>
      <c r="H533" t="s">
        <v>12</v>
      </c>
      <c r="I533" s="2">
        <v>6095596</v>
      </c>
    </row>
    <row r="534" spans="1:9" x14ac:dyDescent="0.25">
      <c r="A534">
        <v>533</v>
      </c>
      <c r="B534" t="str">
        <f>IF(ISERROR(VLOOKUP(E534,Nombres!A:D,2,FALSE)),"PROBLEMAAAAAA",VLOOKUP(E534,Nombres!A:D,2,FALSE))</f>
        <v>Alfon</v>
      </c>
      <c r="C534" t="str">
        <f>IF(ISERROR(VLOOKUP(E534,Nombres!A:D,4,FALSE)),"PROBLEMAAAAAA",VLOOKUP(E534,Nombres!A:D,4,FALSE))</f>
        <v>DEL</v>
      </c>
      <c r="D534" t="str">
        <f>IF(ISERROR(VLOOKUP(E534,Nombres!A:D,3,FALSE)),"PROBLEMAAAAAA",VLOOKUP(E534,Nombres!A:D,3,FALSE))</f>
        <v>Sevilla</v>
      </c>
      <c r="E534" t="s">
        <v>329</v>
      </c>
      <c r="F534" s="1">
        <v>45916</v>
      </c>
      <c r="G534" t="s">
        <v>12</v>
      </c>
      <c r="H534" t="s">
        <v>31</v>
      </c>
      <c r="I534" s="2">
        <v>9163132</v>
      </c>
    </row>
    <row r="535" spans="1:9" x14ac:dyDescent="0.25">
      <c r="A535">
        <v>534</v>
      </c>
      <c r="B535" t="str">
        <f>IF(ISERROR(VLOOKUP(E535,Nombres!A:D,2,FALSE)),"PROBLEMAAAAAA",VLOOKUP(E535,Nombres!A:D,2,FALSE))</f>
        <v>Altimira</v>
      </c>
      <c r="C535" t="str">
        <f>IF(ISERROR(VLOOKUP(E535,Nombres!A:D,4,FALSE)),"PROBLEMAAAAAA",VLOOKUP(E535,Nombres!A:D,4,FALSE))</f>
        <v>MED</v>
      </c>
      <c r="D535" t="str">
        <f>IF(ISERROR(VLOOKUP(E535,Nombres!A:D,3,FALSE)),"PROBLEMAAAAAA",VLOOKUP(E535,Nombres!A:D,3,FALSE))</f>
        <v>Betis</v>
      </c>
      <c r="E535" t="s">
        <v>330</v>
      </c>
      <c r="F535" s="1">
        <v>45916</v>
      </c>
      <c r="G535" t="s">
        <v>7</v>
      </c>
      <c r="H535" t="s">
        <v>8</v>
      </c>
      <c r="I535" s="2">
        <v>14285808</v>
      </c>
    </row>
    <row r="536" spans="1:9" x14ac:dyDescent="0.25">
      <c r="A536">
        <v>535</v>
      </c>
      <c r="B536" t="str">
        <f>IF(ISERROR(VLOOKUP(E536,Nombres!A:D,2,FALSE)),"PROBLEMAAAAAA",VLOOKUP(E536,Nombres!A:D,2,FALSE))</f>
        <v>Bryan</v>
      </c>
      <c r="C536" t="str">
        <f>IF(ISERROR(VLOOKUP(E536,Nombres!A:D,4,FALSE)),"PROBLEMAAAAAA",VLOOKUP(E536,Nombres!A:D,4,FALSE))</f>
        <v>DEL</v>
      </c>
      <c r="D536" t="str">
        <f>IF(ISERROR(VLOOKUP(E536,Nombres!A:D,3,FALSE)),"PROBLEMAAAAAA",VLOOKUP(E536,Nombres!A:D,3,FALSE))</f>
        <v>Celta</v>
      </c>
      <c r="E536" t="s">
        <v>298</v>
      </c>
      <c r="F536" s="1">
        <v>45916</v>
      </c>
      <c r="G536" t="s">
        <v>31</v>
      </c>
      <c r="H536" t="s">
        <v>13</v>
      </c>
      <c r="I536" s="2">
        <v>15661683</v>
      </c>
    </row>
    <row r="537" spans="1:9" x14ac:dyDescent="0.25">
      <c r="A537">
        <v>536</v>
      </c>
      <c r="B537" t="str">
        <f>IF(ISERROR(VLOOKUP(E537,Nombres!A:D,2,FALSE)),"PROBLEMAAAAAA",VLOOKUP(E537,Nombres!A:D,2,FALSE))</f>
        <v>Eric García</v>
      </c>
      <c r="C537" t="str">
        <f>IF(ISERROR(VLOOKUP(E537,Nombres!A:D,4,FALSE)),"PROBLEMAAAAAA",VLOOKUP(E537,Nombres!A:D,4,FALSE))</f>
        <v>DEF</v>
      </c>
      <c r="D537" t="str">
        <f>IF(ISERROR(VLOOKUP(E537,Nombres!A:D,3,FALSE)),"PROBLEMAAAAAA",VLOOKUP(E537,Nombres!A:D,3,FALSE))</f>
        <v>Barcelona</v>
      </c>
      <c r="E537" t="s">
        <v>152</v>
      </c>
      <c r="F537" s="1">
        <v>45916</v>
      </c>
      <c r="G537" t="s">
        <v>31</v>
      </c>
      <c r="H537" t="s">
        <v>7</v>
      </c>
      <c r="I537" s="2">
        <v>21721246</v>
      </c>
    </row>
    <row r="538" spans="1:9" x14ac:dyDescent="0.25">
      <c r="A538">
        <v>537</v>
      </c>
      <c r="B538" t="str">
        <f>IF(ISERROR(VLOOKUP(E538,Nombres!A:D,2,FALSE)),"PROBLEMAAAAAA",VLOOKUP(E538,Nombres!A:D,2,FALSE))</f>
        <v>Duro</v>
      </c>
      <c r="C538" t="str">
        <f>IF(ISERROR(VLOOKUP(E538,Nombres!A:D,4,FALSE)),"PROBLEMAAAAAA",VLOOKUP(E538,Nombres!A:D,4,FALSE))</f>
        <v>DEL</v>
      </c>
      <c r="D538" t="str">
        <f>IF(ISERROR(VLOOKUP(E538,Nombres!A:D,3,FALSE)),"PROBLEMAAAAAA",VLOOKUP(E538,Nombres!A:D,3,FALSE))</f>
        <v>Valencia</v>
      </c>
      <c r="E538" t="s">
        <v>134</v>
      </c>
      <c r="F538" s="1">
        <v>45916</v>
      </c>
      <c r="G538" t="s">
        <v>31</v>
      </c>
      <c r="H538" t="s">
        <v>9</v>
      </c>
      <c r="I538" s="2">
        <v>17006883</v>
      </c>
    </row>
    <row r="539" spans="1:9" x14ac:dyDescent="0.25">
      <c r="A539">
        <v>538</v>
      </c>
      <c r="B539" t="str">
        <f>IF(ISERROR(VLOOKUP(E539,Nombres!A:D,2,FALSE)),"PROBLEMAAAAAA",VLOOKUP(E539,Nombres!A:D,2,FALSE))</f>
        <v>Jauregizar</v>
      </c>
      <c r="C539" t="str">
        <f>IF(ISERROR(VLOOKUP(E539,Nombres!A:D,4,FALSE)),"PROBLEMAAAAAA",VLOOKUP(E539,Nombres!A:D,4,FALSE))</f>
        <v>MED</v>
      </c>
      <c r="D539" t="str">
        <f>IF(ISERROR(VLOOKUP(E539,Nombres!A:D,3,FALSE)),"PROBLEMAAAAAA",VLOOKUP(E539,Nombres!A:D,3,FALSE))</f>
        <v>Athletic</v>
      </c>
      <c r="E539" t="s">
        <v>176</v>
      </c>
      <c r="F539" s="1">
        <v>45916</v>
      </c>
      <c r="G539" t="s">
        <v>14</v>
      </c>
      <c r="H539" t="s">
        <v>31</v>
      </c>
      <c r="I539" s="2">
        <v>18000010</v>
      </c>
    </row>
    <row r="540" spans="1:9" x14ac:dyDescent="0.25">
      <c r="A540">
        <v>539</v>
      </c>
      <c r="B540" t="str">
        <f>IF(ISERROR(VLOOKUP(E540,Nombres!A:D,2,FALSE)),"PROBLEMAAAAAA",VLOOKUP(E540,Nombres!A:D,2,FALSE))</f>
        <v>Juan Cruz</v>
      </c>
      <c r="C540" t="str">
        <f>IF(ISERROR(VLOOKUP(E540,Nombres!A:D,4,FALSE)),"PROBLEMAAAAAA",VLOOKUP(E540,Nombres!A:D,4,FALSE))</f>
        <v>DEF</v>
      </c>
      <c r="D540" t="str">
        <f>IF(ISERROR(VLOOKUP(E540,Nombres!A:D,3,FALSE)),"PROBLEMAAAAAA",VLOOKUP(E540,Nombres!A:D,3,FALSE))</f>
        <v>Osasuna</v>
      </c>
      <c r="E540" t="s">
        <v>262</v>
      </c>
      <c r="F540" s="1">
        <v>45916</v>
      </c>
      <c r="G540" t="s">
        <v>31</v>
      </c>
      <c r="H540" t="s">
        <v>7</v>
      </c>
      <c r="I540" s="2">
        <v>2424598</v>
      </c>
    </row>
    <row r="541" spans="1:9" x14ac:dyDescent="0.25">
      <c r="A541">
        <v>540</v>
      </c>
      <c r="B541" t="str">
        <f>IF(ISERROR(VLOOKUP(E541,Nombres!A:D,2,FALSE)),"PROBLEMAAAAAA",VLOOKUP(E541,Nombres!A:D,2,FALSE))</f>
        <v>Luis Milla</v>
      </c>
      <c r="C541" t="str">
        <f>IF(ISERROR(VLOOKUP(E541,Nombres!A:D,4,FALSE)),"PROBLEMAAAAAA",VLOOKUP(E541,Nombres!A:D,4,FALSE))</f>
        <v>MED</v>
      </c>
      <c r="D541" t="str">
        <f>IF(ISERROR(VLOOKUP(E541,Nombres!A:D,3,FALSE)),"PROBLEMAAAAAA",VLOOKUP(E541,Nombres!A:D,3,FALSE))</f>
        <v>Getafe</v>
      </c>
      <c r="E541" t="s">
        <v>326</v>
      </c>
      <c r="F541" s="1">
        <v>45916</v>
      </c>
      <c r="G541" t="s">
        <v>768</v>
      </c>
      <c r="H541" t="s">
        <v>13</v>
      </c>
      <c r="I541" s="2">
        <v>40232141</v>
      </c>
    </row>
    <row r="542" spans="1:9" x14ac:dyDescent="0.25">
      <c r="A542">
        <v>541</v>
      </c>
      <c r="B542" t="str">
        <f>IF(ISERROR(VLOOKUP(E542,Nombres!A:D,2,FALSE)),"PROBLEMAAAAAA",VLOOKUP(E542,Nombres!A:D,2,FALSE))</f>
        <v>Sannadi</v>
      </c>
      <c r="C542" t="str">
        <f>IF(ISERROR(VLOOKUP(E542,Nombres!A:D,4,FALSE)),"PROBLEMAAAAAA",VLOOKUP(E542,Nombres!A:D,4,FALSE))</f>
        <v>DEL</v>
      </c>
      <c r="D542" t="str">
        <f>IF(ISERROR(VLOOKUP(E542,Nombres!A:D,3,FALSE)),"PROBLEMAAAAAA",VLOOKUP(E542,Nombres!A:D,3,FALSE))</f>
        <v>Athletic</v>
      </c>
      <c r="E542" t="s">
        <v>194</v>
      </c>
      <c r="F542" s="1">
        <v>45916</v>
      </c>
      <c r="G542" t="s">
        <v>31</v>
      </c>
      <c r="H542" t="s">
        <v>9</v>
      </c>
      <c r="I542" s="2">
        <v>5552631</v>
      </c>
    </row>
    <row r="543" spans="1:9" x14ac:dyDescent="0.25">
      <c r="A543">
        <v>542</v>
      </c>
      <c r="B543" t="str">
        <f>IF(ISERROR(VLOOKUP(E543,Nombres!A:D,2,FALSE)),"PROBLEMAAAAAA",VLOOKUP(E543,Nombres!A:D,2,FALSE))</f>
        <v>Mbappé</v>
      </c>
      <c r="C543" t="str">
        <f>IF(ISERROR(VLOOKUP(E543,Nombres!A:D,4,FALSE)),"PROBLEMAAAAAA",VLOOKUP(E543,Nombres!A:D,4,FALSE))</f>
        <v>DEL</v>
      </c>
      <c r="D543" t="str">
        <f>IF(ISERROR(VLOOKUP(E543,Nombres!A:D,3,FALSE)),"PROBLEMAAAAAA",VLOOKUP(E543,Nombres!A:D,3,FALSE))</f>
        <v>Real Madrid</v>
      </c>
      <c r="E543" t="s">
        <v>328</v>
      </c>
      <c r="F543" s="1">
        <v>45916</v>
      </c>
      <c r="G543" t="s">
        <v>13</v>
      </c>
      <c r="H543" t="s">
        <v>31</v>
      </c>
      <c r="I543" s="2">
        <v>154612000</v>
      </c>
    </row>
    <row r="544" spans="1:9" x14ac:dyDescent="0.25">
      <c r="A544">
        <v>543</v>
      </c>
      <c r="B544" t="str">
        <f>IF(ISERROR(VLOOKUP(E544,Nombres!A:D,2,FALSE)),"PROBLEMAAAAAA",VLOOKUP(E544,Nombres!A:D,2,FALSE))</f>
        <v>Mendoza</v>
      </c>
      <c r="C544" t="str">
        <f>IF(ISERROR(VLOOKUP(E544,Nombres!A:D,4,FALSE)),"PROBLEMAAAAAA",VLOOKUP(E544,Nombres!A:D,4,FALSE))</f>
        <v>MED</v>
      </c>
      <c r="D544" t="str">
        <f>IF(ISERROR(VLOOKUP(E544,Nombres!A:D,3,FALSE)),"PROBLEMAAAAAA",VLOOKUP(E544,Nombres!A:D,3,FALSE))</f>
        <v>Elche</v>
      </c>
      <c r="E544" t="s">
        <v>327</v>
      </c>
      <c r="F544" s="1">
        <v>45916</v>
      </c>
      <c r="G544" t="s">
        <v>14</v>
      </c>
      <c r="H544" t="s">
        <v>31</v>
      </c>
      <c r="I544" s="2">
        <v>4172591</v>
      </c>
    </row>
    <row r="545" spans="1:9" x14ac:dyDescent="0.25">
      <c r="A545">
        <v>544</v>
      </c>
      <c r="B545" t="str">
        <f>IF(ISERROR(VLOOKUP(E545,Nombres!A:D,2,FALSE)),"PROBLEMAAAAAA",VLOOKUP(E545,Nombres!A:D,2,FALSE))</f>
        <v>Parejo</v>
      </c>
      <c r="C545" t="str">
        <f>IF(ISERROR(VLOOKUP(E545,Nombres!A:D,4,FALSE)),"PROBLEMAAAAAA",VLOOKUP(E545,Nombres!A:D,4,FALSE))</f>
        <v>MED</v>
      </c>
      <c r="D545" t="str">
        <f>IF(ISERROR(VLOOKUP(E545,Nombres!A:D,3,FALSE)),"PROBLEMAAAAAA",VLOOKUP(E545,Nombres!A:D,3,FALSE))</f>
        <v>Villarreal</v>
      </c>
      <c r="E545" t="s">
        <v>40</v>
      </c>
      <c r="F545" s="1">
        <v>45916</v>
      </c>
      <c r="G545" t="s">
        <v>31</v>
      </c>
      <c r="H545" t="s">
        <v>7</v>
      </c>
      <c r="I545" s="2">
        <v>6735366</v>
      </c>
    </row>
    <row r="546" spans="1:9" x14ac:dyDescent="0.25">
      <c r="A546">
        <v>710</v>
      </c>
      <c r="B546" t="str">
        <f>IF(ISERROR(VLOOKUP(E546,Nombres!A:D,2,FALSE)),"PROBLEMAAAAAA",VLOOKUP(E546,Nombres!A:D,2,FALSE))</f>
        <v>Mbappé</v>
      </c>
      <c r="C546" t="str">
        <f>IF(ISERROR(VLOOKUP(E546,Nombres!A:D,4,FALSE)),"PROBLEMAAAAAA",VLOOKUP(E546,Nombres!A:D,4,FALSE))</f>
        <v>DEL</v>
      </c>
      <c r="D546" t="str">
        <f>IF(ISERROR(VLOOKUP(E546,Nombres!A:D,3,FALSE)),"PROBLEMAAAAAA",VLOOKUP(E546,Nombres!A:D,3,FALSE))</f>
        <v>Real Madrid</v>
      </c>
      <c r="E546" t="s">
        <v>328</v>
      </c>
      <c r="F546" s="1">
        <v>45930</v>
      </c>
      <c r="G546" t="s">
        <v>9</v>
      </c>
      <c r="H546" t="s">
        <v>13</v>
      </c>
      <c r="I546" s="2">
        <v>172998122</v>
      </c>
    </row>
    <row r="547" spans="1:9" x14ac:dyDescent="0.25">
      <c r="A547">
        <v>546</v>
      </c>
      <c r="B547" t="str">
        <f>IF(ISERROR(VLOOKUP(E547,Nombres!A:D,2,FALSE)),"PROBLEMAAAAAA",VLOOKUP(E547,Nombres!A:D,2,FALSE))</f>
        <v>Raíllo</v>
      </c>
      <c r="C547" t="str">
        <f>IF(ISERROR(VLOOKUP(E547,Nombres!A:D,4,FALSE)),"PROBLEMAAAAAA",VLOOKUP(E547,Nombres!A:D,4,FALSE))</f>
        <v>DEF</v>
      </c>
      <c r="D547" t="str">
        <f>IF(ISERROR(VLOOKUP(E547,Nombres!A:D,3,FALSE)),"PROBLEMAAAAAA",VLOOKUP(E547,Nombres!A:D,3,FALSE))</f>
        <v>Mallorca</v>
      </c>
      <c r="E547" t="s">
        <v>141</v>
      </c>
      <c r="F547" s="1">
        <v>45916</v>
      </c>
      <c r="G547" t="s">
        <v>31</v>
      </c>
      <c r="H547" t="s">
        <v>10</v>
      </c>
      <c r="I547" s="2">
        <v>14859139</v>
      </c>
    </row>
    <row r="548" spans="1:9" x14ac:dyDescent="0.25">
      <c r="A548">
        <v>547</v>
      </c>
      <c r="B548" t="str">
        <f>IF(ISERROR(VLOOKUP(E548,Nombres!A:D,2,FALSE)),"PROBLEMAAAAAA",VLOOKUP(E548,Nombres!A:D,2,FALSE))</f>
        <v>Ristic</v>
      </c>
      <c r="C548" t="str">
        <f>IF(ISERROR(VLOOKUP(E548,Nombres!A:D,4,FALSE)),"PROBLEMAAAAAA",VLOOKUP(E548,Nombres!A:D,4,FALSE))</f>
        <v>DEF</v>
      </c>
      <c r="D548" t="str">
        <f>IF(ISERROR(VLOOKUP(E548,Nombres!A:D,3,FALSE)),"PROBLEMAAAAAA",VLOOKUP(E548,Nombres!A:D,3,FALSE))</f>
        <v>Celta</v>
      </c>
      <c r="E548" t="s">
        <v>153</v>
      </c>
      <c r="F548" s="1">
        <v>45916</v>
      </c>
      <c r="G548" t="s">
        <v>7</v>
      </c>
      <c r="H548" t="s">
        <v>11</v>
      </c>
      <c r="I548" s="2">
        <v>1000000</v>
      </c>
    </row>
    <row r="549" spans="1:9" x14ac:dyDescent="0.25">
      <c r="A549">
        <v>548</v>
      </c>
      <c r="B549" t="str">
        <f>IF(ISERROR(VLOOKUP(E549,Nombres!A:D,2,FALSE)),"PROBLEMAAAAAA",VLOOKUP(E549,Nombres!A:D,2,FALSE))</f>
        <v>Sibo</v>
      </c>
      <c r="C549" t="str">
        <f>IF(ISERROR(VLOOKUP(E549,Nombres!A:D,4,FALSE)),"PROBLEMAAAAAA",VLOOKUP(E549,Nombres!A:D,4,FALSE))</f>
        <v>MED</v>
      </c>
      <c r="D549" t="str">
        <f>IF(ISERROR(VLOOKUP(E549,Nombres!A:D,3,FALSE)),"PROBLEMAAAAAA",VLOOKUP(E549,Nombres!A:D,3,FALSE))</f>
        <v>Real Oviedo</v>
      </c>
      <c r="E549" t="s">
        <v>206</v>
      </c>
      <c r="F549" s="1">
        <v>45916</v>
      </c>
      <c r="G549" t="s">
        <v>31</v>
      </c>
      <c r="H549" t="s">
        <v>13</v>
      </c>
      <c r="I549" s="2">
        <v>1301089</v>
      </c>
    </row>
    <row r="550" spans="1:9" x14ac:dyDescent="0.25">
      <c r="A550">
        <v>338</v>
      </c>
      <c r="B550" t="str">
        <f>IF(ISERROR(VLOOKUP(E550,Nombres!A:D,2,FALSE)),"PROBLEMAAAAAA",VLOOKUP(E550,Nombres!A:D,2,FALSE))</f>
        <v>Mouriño</v>
      </c>
      <c r="C550" t="str">
        <f>IF(ISERROR(VLOOKUP(E550,Nombres!A:D,4,FALSE)),"PROBLEMAAAAAA",VLOOKUP(E550,Nombres!A:D,4,FALSE))</f>
        <v>DEF</v>
      </c>
      <c r="D550" t="str">
        <f>IF(ISERROR(VLOOKUP(E550,Nombres!A:D,3,FALSE)),"PROBLEMAAAAAA",VLOOKUP(E550,Nombres!A:D,3,FALSE))</f>
        <v>Villarreal</v>
      </c>
      <c r="E550" t="s">
        <v>70</v>
      </c>
      <c r="F550" s="1">
        <v>45893</v>
      </c>
      <c r="G550" t="s">
        <v>14</v>
      </c>
      <c r="H550" t="s">
        <v>13</v>
      </c>
      <c r="I550" s="2">
        <v>16430000</v>
      </c>
    </row>
    <row r="551" spans="1:9" x14ac:dyDescent="0.25">
      <c r="A551">
        <v>550</v>
      </c>
      <c r="B551" t="str">
        <f>IF(ISERROR(VLOOKUP(E551,Nombres!A:D,2,FALSE)),"PROBLEMAAAAAA",VLOOKUP(E551,Nombres!A:D,2,FALSE))</f>
        <v>Alberto</v>
      </c>
      <c r="C551" t="str">
        <f>IF(ISERROR(VLOOKUP(E551,Nombres!A:D,4,FALSE)),"PROBLEMAAAAAA",VLOOKUP(E551,Nombres!A:D,4,FALSE))</f>
        <v>POR</v>
      </c>
      <c r="D551" t="str">
        <f>IF(ISERROR(VLOOKUP(E551,Nombres!A:D,3,FALSE)),"PROBLEMAAAAAA",VLOOKUP(E551,Nombres!A:D,3,FALSE))</f>
        <v>Sevilla</v>
      </c>
      <c r="E551" t="s">
        <v>336</v>
      </c>
      <c r="F551" s="1">
        <v>45917</v>
      </c>
      <c r="G551" t="s">
        <v>12</v>
      </c>
      <c r="H551" t="s">
        <v>31</v>
      </c>
      <c r="I551" s="2">
        <v>441181</v>
      </c>
    </row>
    <row r="552" spans="1:9" x14ac:dyDescent="0.25">
      <c r="A552">
        <v>551</v>
      </c>
      <c r="B552" t="str">
        <f>IF(ISERROR(VLOOKUP(E552,Nombres!A:D,2,FALSE)),"PROBLEMAAAAAA",VLOOKUP(E552,Nombres!A:D,2,FALSE))</f>
        <v>Azpilicueta</v>
      </c>
      <c r="C552" t="str">
        <f>IF(ISERROR(VLOOKUP(E552,Nombres!A:D,4,FALSE)),"PROBLEMAAAAAA",VLOOKUP(E552,Nombres!A:D,4,FALSE))</f>
        <v>DEF</v>
      </c>
      <c r="D552" t="str">
        <f>IF(ISERROR(VLOOKUP(E552,Nombres!A:D,3,FALSE)),"PROBLEMAAAAAA",VLOOKUP(E552,Nombres!A:D,3,FALSE))</f>
        <v>Sevilla</v>
      </c>
      <c r="E552" t="s">
        <v>337</v>
      </c>
      <c r="F552" s="1">
        <v>45917</v>
      </c>
      <c r="G552" t="s">
        <v>6</v>
      </c>
      <c r="H552" t="s">
        <v>31</v>
      </c>
      <c r="I552" s="2">
        <v>6776097</v>
      </c>
    </row>
    <row r="553" spans="1:9" x14ac:dyDescent="0.25">
      <c r="A553">
        <v>552</v>
      </c>
      <c r="B553" t="str">
        <f>IF(ISERROR(VLOOKUP(E553,Nombres!A:D,2,FALSE)),"PROBLEMAAAAAA",VLOOKUP(E553,Nombres!A:D,2,FALSE))</f>
        <v>Boyomo</v>
      </c>
      <c r="C553" t="str">
        <f>IF(ISERROR(VLOOKUP(E553,Nombres!A:D,4,FALSE)),"PROBLEMAAAAAA",VLOOKUP(E553,Nombres!A:D,4,FALSE))</f>
        <v>DEF</v>
      </c>
      <c r="D553" t="str">
        <f>IF(ISERROR(VLOOKUP(E553,Nombres!A:D,3,FALSE)),"PROBLEMAAAAAA",VLOOKUP(E553,Nombres!A:D,3,FALSE))</f>
        <v>Osasuna</v>
      </c>
      <c r="E553" t="s">
        <v>115</v>
      </c>
      <c r="F553" s="1">
        <v>45917</v>
      </c>
      <c r="G553" t="s">
        <v>7</v>
      </c>
      <c r="H553" t="s">
        <v>768</v>
      </c>
      <c r="I553" s="2">
        <v>19778592</v>
      </c>
    </row>
    <row r="554" spans="1:9" x14ac:dyDescent="0.25">
      <c r="A554">
        <v>553</v>
      </c>
      <c r="B554" t="str">
        <f>IF(ISERROR(VLOOKUP(E554,Nombres!A:D,2,FALSE)),"PROBLEMAAAAAA",VLOOKUP(E554,Nombres!A:D,2,FALSE))</f>
        <v>Buchanan</v>
      </c>
      <c r="C554" t="str">
        <f>IF(ISERROR(VLOOKUP(E554,Nombres!A:D,4,FALSE)),"PROBLEMAAAAAA",VLOOKUP(E554,Nombres!A:D,4,FALSE))</f>
        <v>MED</v>
      </c>
      <c r="D554" t="str">
        <f>IF(ISERROR(VLOOKUP(E554,Nombres!A:D,3,FALSE)),"PROBLEMAAAAAA",VLOOKUP(E554,Nombres!A:D,3,FALSE))</f>
        <v>Villarreal</v>
      </c>
      <c r="E554" t="s">
        <v>239</v>
      </c>
      <c r="F554" s="1">
        <v>45917</v>
      </c>
      <c r="G554" t="s">
        <v>11</v>
      </c>
      <c r="H554" t="s">
        <v>6</v>
      </c>
      <c r="I554" s="2">
        <v>30373255</v>
      </c>
    </row>
    <row r="555" spans="1:9" x14ac:dyDescent="0.25">
      <c r="A555">
        <v>554</v>
      </c>
      <c r="B555" t="str">
        <f>IF(ISERROR(VLOOKUP(E555,Nombres!A:D,2,FALSE)),"PROBLEMAAAAAA",VLOOKUP(E555,Nombres!A:D,2,FALSE))</f>
        <v>Carlos Vicente</v>
      </c>
      <c r="C555" t="str">
        <f>IF(ISERROR(VLOOKUP(E555,Nombres!A:D,4,FALSE)),"PROBLEMAAAAAA",VLOOKUP(E555,Nombres!A:D,4,FALSE))</f>
        <v>DEL</v>
      </c>
      <c r="D555" t="str">
        <f>IF(ISERROR(VLOOKUP(E555,Nombres!A:D,3,FALSE)),"PROBLEMAAAAAA",VLOOKUP(E555,Nombres!A:D,3,FALSE))</f>
        <v>Alavés</v>
      </c>
      <c r="E555" t="s">
        <v>311</v>
      </c>
      <c r="F555" s="1">
        <v>45917</v>
      </c>
      <c r="G555" t="s">
        <v>31</v>
      </c>
      <c r="H555" t="s">
        <v>768</v>
      </c>
      <c r="I555" s="2">
        <v>20943871</v>
      </c>
    </row>
    <row r="556" spans="1:9" x14ac:dyDescent="0.25">
      <c r="A556">
        <v>555</v>
      </c>
      <c r="B556" t="str">
        <f>IF(ISERROR(VLOOKUP(E556,Nombres!A:D,2,FALSE)),"PROBLEMAAAAAA",VLOOKUP(E556,Nombres!A:D,2,FALSE))</f>
        <v>A. F. Carreras</v>
      </c>
      <c r="C556" t="str">
        <f>IF(ISERROR(VLOOKUP(E556,Nombres!A:D,4,FALSE)),"PROBLEMAAAAAA",VLOOKUP(E556,Nombres!A:D,4,FALSE))</f>
        <v>DEF</v>
      </c>
      <c r="D556" t="str">
        <f>IF(ISERROR(VLOOKUP(E556,Nombres!A:D,3,FALSE)),"PROBLEMAAAAAA",VLOOKUP(E556,Nombres!A:D,3,FALSE))</f>
        <v>Real Madrid</v>
      </c>
      <c r="E556" t="s">
        <v>36</v>
      </c>
      <c r="F556" s="1">
        <v>45917</v>
      </c>
      <c r="G556" t="s">
        <v>31</v>
      </c>
      <c r="H556" t="s">
        <v>11</v>
      </c>
      <c r="I556" s="2">
        <v>69513806</v>
      </c>
    </row>
    <row r="557" spans="1:9" x14ac:dyDescent="0.25">
      <c r="A557">
        <v>344</v>
      </c>
      <c r="B557" t="str">
        <f>IF(ISERROR(VLOOKUP(E557,Nombres!A:D,2,FALSE)),"PROBLEMAAAAAA",VLOOKUP(E557,Nombres!A:D,2,FALSE))</f>
        <v>N. Williams</v>
      </c>
      <c r="C557" t="str">
        <f>IF(ISERROR(VLOOKUP(E557,Nombres!A:D,4,FALSE)),"PROBLEMAAAAAA",VLOOKUP(E557,Nombres!A:D,4,FALSE))</f>
        <v>DEL</v>
      </c>
      <c r="D557" t="str">
        <f>IF(ISERROR(VLOOKUP(E557,Nombres!A:D,3,FALSE)),"PROBLEMAAAAAA",VLOOKUP(E557,Nombres!A:D,3,FALSE))</f>
        <v>Athletic</v>
      </c>
      <c r="E557" t="s">
        <v>205</v>
      </c>
      <c r="F557" s="1">
        <v>45894</v>
      </c>
      <c r="G557" t="s">
        <v>11</v>
      </c>
      <c r="H557" t="s">
        <v>13</v>
      </c>
      <c r="I557" s="2">
        <v>102089122</v>
      </c>
    </row>
    <row r="558" spans="1:9" x14ac:dyDescent="0.25">
      <c r="A558">
        <v>557</v>
      </c>
      <c r="B558" t="str">
        <f>IF(ISERROR(VLOOKUP(E558,Nombres!A:D,2,FALSE)),"PROBLEMAAAAAA",VLOOKUP(E558,Nombres!A:D,2,FALSE))</f>
        <v>De Frutos</v>
      </c>
      <c r="C558" t="str">
        <f>IF(ISERROR(VLOOKUP(E558,Nombres!A:D,4,FALSE)),"PROBLEMAAAAAA",VLOOKUP(E558,Nombres!A:D,4,FALSE))</f>
        <v>DEL</v>
      </c>
      <c r="D558" t="str">
        <f>IF(ISERROR(VLOOKUP(E558,Nombres!A:D,3,FALSE)),"PROBLEMAAAAAA",VLOOKUP(E558,Nombres!A:D,3,FALSE))</f>
        <v>Rayo</v>
      </c>
      <c r="E558" t="s">
        <v>119</v>
      </c>
      <c r="F558" s="1">
        <v>45917</v>
      </c>
      <c r="G558" t="s">
        <v>12</v>
      </c>
      <c r="H558" t="s">
        <v>31</v>
      </c>
      <c r="I558" s="2">
        <v>27295171</v>
      </c>
    </row>
    <row r="559" spans="1:9" x14ac:dyDescent="0.25">
      <c r="A559">
        <v>558</v>
      </c>
      <c r="B559" t="str">
        <f>IF(ISERROR(VLOOKUP(E559,Nombres!A:D,2,FALSE)),"PROBLEMAAAAAA",VLOOKUP(E559,Nombres!A:D,2,FALSE))</f>
        <v>R. de Galarreta</v>
      </c>
      <c r="C559" t="str">
        <f>IF(ISERROR(VLOOKUP(E559,Nombres!A:D,4,FALSE)),"PROBLEMAAAAAA",VLOOKUP(E559,Nombres!A:D,4,FALSE))</f>
        <v>MED</v>
      </c>
      <c r="D559" t="str">
        <f>IF(ISERROR(VLOOKUP(E559,Nombres!A:D,3,FALSE)),"PROBLEMAAAAAA",VLOOKUP(E559,Nombres!A:D,3,FALSE))</f>
        <v>Athletic</v>
      </c>
      <c r="E559" t="s">
        <v>155</v>
      </c>
      <c r="F559" s="1">
        <v>45917</v>
      </c>
      <c r="G559" t="s">
        <v>6</v>
      </c>
      <c r="H559" t="s">
        <v>11</v>
      </c>
      <c r="I559" s="2">
        <v>15593430</v>
      </c>
    </row>
    <row r="560" spans="1:9" x14ac:dyDescent="0.25">
      <c r="A560">
        <v>559</v>
      </c>
      <c r="B560" t="str">
        <f>IF(ISERROR(VLOOKUP(E560,Nombres!A:D,2,FALSE)),"PROBLEMAAAAAA",VLOOKUP(E560,Nombres!A:D,2,FALSE))</f>
        <v>De la Fuente</v>
      </c>
      <c r="C560" t="str">
        <f>IF(ISERROR(VLOOKUP(E560,Nombres!A:D,4,FALSE)),"PROBLEMAAAAAA",VLOOKUP(E560,Nombres!A:D,4,FALSE))</f>
        <v>DEF</v>
      </c>
      <c r="D560" t="str">
        <f>IF(ISERROR(VLOOKUP(E560,Nombres!A:D,3,FALSE)),"PROBLEMAAAAAA",VLOOKUP(E560,Nombres!A:D,3,FALSE))</f>
        <v>Levante</v>
      </c>
      <c r="E560" t="s">
        <v>116</v>
      </c>
      <c r="F560" s="1">
        <v>45917</v>
      </c>
      <c r="G560" t="s">
        <v>31</v>
      </c>
      <c r="H560" t="s">
        <v>13</v>
      </c>
      <c r="I560" s="2">
        <v>533402</v>
      </c>
    </row>
    <row r="561" spans="1:9" x14ac:dyDescent="0.25">
      <c r="A561">
        <v>560</v>
      </c>
      <c r="B561" t="str">
        <f>IF(ISERROR(VLOOKUP(E561,Nombres!A:D,2,FALSE)),"PROBLEMAAAAAA",VLOOKUP(E561,Nombres!A:D,2,FALSE))</f>
        <v>Fermín</v>
      </c>
      <c r="C561" t="str">
        <f>IF(ISERROR(VLOOKUP(E561,Nombres!A:D,4,FALSE)),"PROBLEMAAAAAA",VLOOKUP(E561,Nombres!A:D,4,FALSE))</f>
        <v>MED</v>
      </c>
      <c r="D561" t="str">
        <f>IF(ISERROR(VLOOKUP(E561,Nombres!A:D,3,FALSE)),"PROBLEMAAAAAA",VLOOKUP(E561,Nombres!A:D,3,FALSE))</f>
        <v>Barcelona</v>
      </c>
      <c r="E561" t="s">
        <v>184</v>
      </c>
      <c r="F561" s="1">
        <v>45917</v>
      </c>
      <c r="G561" t="s">
        <v>11</v>
      </c>
      <c r="H561" t="s">
        <v>31</v>
      </c>
      <c r="I561" s="2">
        <v>27100000</v>
      </c>
    </row>
    <row r="562" spans="1:9" x14ac:dyDescent="0.25">
      <c r="A562">
        <v>561</v>
      </c>
      <c r="B562" t="str">
        <f>IF(ISERROR(VLOOKUP(E562,Nombres!A:D,2,FALSE)),"PROBLEMAAAAAA",VLOOKUP(E562,Nombres!A:D,2,FALSE))</f>
        <v>Ferran</v>
      </c>
      <c r="C562" t="str">
        <f>IF(ISERROR(VLOOKUP(E562,Nombres!A:D,4,FALSE)),"PROBLEMAAAAAA",VLOOKUP(E562,Nombres!A:D,4,FALSE))</f>
        <v>DEL</v>
      </c>
      <c r="D562" t="str">
        <f>IF(ISERROR(VLOOKUP(E562,Nombres!A:D,3,FALSE)),"PROBLEMAAAAAA",VLOOKUP(E562,Nombres!A:D,3,FALSE))</f>
        <v>Barcelona</v>
      </c>
      <c r="E562" t="s">
        <v>161</v>
      </c>
      <c r="F562" s="1">
        <v>45917</v>
      </c>
      <c r="G562" t="s">
        <v>12</v>
      </c>
      <c r="H562" t="s">
        <v>6</v>
      </c>
      <c r="I562" s="2">
        <v>60001168</v>
      </c>
    </row>
    <row r="563" spans="1:9" x14ac:dyDescent="0.25">
      <c r="A563">
        <v>562</v>
      </c>
      <c r="B563" t="str">
        <f>IF(ISERROR(VLOOKUP(E563,Nombres!A:D,2,FALSE)),"PROBLEMAAAAAA",VLOOKUP(E563,Nombres!A:D,2,FALSE))</f>
        <v>Fornals</v>
      </c>
      <c r="C563" t="str">
        <f>IF(ISERROR(VLOOKUP(E563,Nombres!A:D,4,FALSE)),"PROBLEMAAAAAA",VLOOKUP(E563,Nombres!A:D,4,FALSE))</f>
        <v>MED</v>
      </c>
      <c r="D563" t="str">
        <f>IF(ISERROR(VLOOKUP(E563,Nombres!A:D,3,FALSE)),"PROBLEMAAAAAA",VLOOKUP(E563,Nombres!A:D,3,FALSE))</f>
        <v>Betis</v>
      </c>
      <c r="E563" t="s">
        <v>120</v>
      </c>
      <c r="F563" s="1">
        <v>45917</v>
      </c>
      <c r="G563" t="s">
        <v>768</v>
      </c>
      <c r="H563" t="s">
        <v>9</v>
      </c>
      <c r="I563" s="2">
        <v>33880456</v>
      </c>
    </row>
    <row r="564" spans="1:9" x14ac:dyDescent="0.25">
      <c r="A564">
        <v>563</v>
      </c>
      <c r="B564" t="str">
        <f>IF(ISERROR(VLOOKUP(E564,Nombres!A:D,2,FALSE)),"PROBLEMAAAAAA",VLOOKUP(E564,Nombres!A:D,2,FALSE))</f>
        <v>Gazzaniga</v>
      </c>
      <c r="C564" t="str">
        <f>IF(ISERROR(VLOOKUP(E564,Nombres!A:D,4,FALSE)),"PROBLEMAAAAAA",VLOOKUP(E564,Nombres!A:D,4,FALSE))</f>
        <v>POR</v>
      </c>
      <c r="D564" t="str">
        <f>IF(ISERROR(VLOOKUP(E564,Nombres!A:D,3,FALSE)),"PROBLEMAAAAAA",VLOOKUP(E564,Nombres!A:D,3,FALSE))</f>
        <v>Girona</v>
      </c>
      <c r="E564" t="s">
        <v>338</v>
      </c>
      <c r="F564" s="1">
        <v>45917</v>
      </c>
      <c r="G564" t="s">
        <v>8</v>
      </c>
      <c r="H564" t="s">
        <v>31</v>
      </c>
      <c r="I564" s="2">
        <v>8871008</v>
      </c>
    </row>
    <row r="565" spans="1:9" x14ac:dyDescent="0.25">
      <c r="A565">
        <v>564</v>
      </c>
      <c r="B565" t="str">
        <f>IF(ISERROR(VLOOKUP(E565,Nombres!A:D,2,FALSE)),"PROBLEMAAAAAA",VLOOKUP(E565,Nombres!A:D,2,FALSE))</f>
        <v>Hancko</v>
      </c>
      <c r="C565" t="str">
        <f>IF(ISERROR(VLOOKUP(E565,Nombres!A:D,4,FALSE)),"PROBLEMAAAAAA",VLOOKUP(E565,Nombres!A:D,4,FALSE))</f>
        <v>DEF</v>
      </c>
      <c r="D565" t="str">
        <f>IF(ISERROR(VLOOKUP(E565,Nombres!A:D,3,FALSE)),"PROBLEMAAAAAA",VLOOKUP(E565,Nombres!A:D,3,FALSE))</f>
        <v>Atlético</v>
      </c>
      <c r="E565" t="s">
        <v>107</v>
      </c>
      <c r="F565" s="1">
        <v>45917</v>
      </c>
      <c r="G565" t="s">
        <v>31</v>
      </c>
      <c r="H565" t="s">
        <v>768</v>
      </c>
      <c r="I565" s="2">
        <v>23562781</v>
      </c>
    </row>
    <row r="566" spans="1:9" x14ac:dyDescent="0.25">
      <c r="A566">
        <v>565</v>
      </c>
      <c r="B566" t="str">
        <f>IF(ISERROR(VLOOKUP(E566,Nombres!A:D,2,FALSE)),"PROBLEMAAAAAA",VLOOKUP(E566,Nombres!A:D,2,FALSE))</f>
        <v>Femenia</v>
      </c>
      <c r="C566" t="str">
        <f>IF(ISERROR(VLOOKUP(E566,Nombres!A:D,4,FALSE)),"PROBLEMAAAAAA",VLOOKUP(E566,Nombres!A:D,4,FALSE))</f>
        <v>DEF</v>
      </c>
      <c r="D566" t="str">
        <f>IF(ISERROR(VLOOKUP(E566,Nombres!A:D,3,FALSE)),"PROBLEMAAAAAA",VLOOKUP(E566,Nombres!A:D,3,FALSE))</f>
        <v>Getafe</v>
      </c>
      <c r="E566" t="s">
        <v>334</v>
      </c>
      <c r="F566" s="1">
        <v>45917</v>
      </c>
      <c r="G566" t="s">
        <v>12</v>
      </c>
      <c r="H566" t="s">
        <v>31</v>
      </c>
      <c r="I566" s="2">
        <v>6501001</v>
      </c>
    </row>
    <row r="567" spans="1:9" x14ac:dyDescent="0.25">
      <c r="A567">
        <v>566</v>
      </c>
      <c r="B567" t="str">
        <f>IF(ISERROR(VLOOKUP(E567,Nombres!A:D,2,FALSE)),"PROBLEMAAAAAA",VLOOKUP(E567,Nombres!A:D,2,FALSE))</f>
        <v>Laporte</v>
      </c>
      <c r="C567" t="str">
        <f>IF(ISERROR(VLOOKUP(E567,Nombres!A:D,4,FALSE)),"PROBLEMAAAAAA",VLOOKUP(E567,Nombres!A:D,4,FALSE))</f>
        <v>DEF</v>
      </c>
      <c r="D567" t="str">
        <f>IF(ISERROR(VLOOKUP(E567,Nombres!A:D,3,FALSE)),"PROBLEMAAAAAA",VLOOKUP(E567,Nombres!A:D,3,FALSE))</f>
        <v>Athletic</v>
      </c>
      <c r="E567" t="s">
        <v>335</v>
      </c>
      <c r="F567" s="1">
        <v>45917</v>
      </c>
      <c r="G567" t="s">
        <v>12</v>
      </c>
      <c r="H567" t="s">
        <v>31</v>
      </c>
      <c r="I567" s="2">
        <v>23439691</v>
      </c>
    </row>
    <row r="568" spans="1:9" x14ac:dyDescent="0.25">
      <c r="A568">
        <v>567</v>
      </c>
      <c r="B568" t="str">
        <f>IF(ISERROR(VLOOKUP(E568,Nombres!A:D,2,FALSE)),"PROBLEMAAAAAA",VLOOKUP(E568,Nombres!A:D,2,FALSE))</f>
        <v>Leo Román</v>
      </c>
      <c r="C568" t="str">
        <f>IF(ISERROR(VLOOKUP(E568,Nombres!A:D,4,FALSE)),"PROBLEMAAAAAA",VLOOKUP(E568,Nombres!A:D,4,FALSE))</f>
        <v>POR</v>
      </c>
      <c r="D568" t="str">
        <f>IF(ISERROR(VLOOKUP(E568,Nombres!A:D,3,FALSE)),"PROBLEMAAAAAA",VLOOKUP(E568,Nombres!A:D,3,FALSE))</f>
        <v>Mallorca</v>
      </c>
      <c r="E568" t="s">
        <v>78</v>
      </c>
      <c r="F568" s="1">
        <v>45917</v>
      </c>
      <c r="G568" t="s">
        <v>13</v>
      </c>
      <c r="H568" t="s">
        <v>31</v>
      </c>
      <c r="I568" s="2">
        <v>6107069</v>
      </c>
    </row>
    <row r="569" spans="1:9" x14ac:dyDescent="0.25">
      <c r="A569">
        <v>568</v>
      </c>
      <c r="B569" t="str">
        <f>IF(ISERROR(VLOOKUP(E569,Nombres!A:D,2,FALSE)),"PROBLEMAAAAAA",VLOOKUP(E569,Nombres!A:D,2,FALSE))</f>
        <v>Pépé</v>
      </c>
      <c r="C569" t="str">
        <f>IF(ISERROR(VLOOKUP(E569,Nombres!A:D,4,FALSE)),"PROBLEMAAAAAA",VLOOKUP(E569,Nombres!A:D,4,FALSE))</f>
        <v>DEL</v>
      </c>
      <c r="D569" t="str">
        <f>IF(ISERROR(VLOOKUP(E569,Nombres!A:D,3,FALSE)),"PROBLEMAAAAAA",VLOOKUP(E569,Nombres!A:D,3,FALSE))</f>
        <v>Villarreal</v>
      </c>
      <c r="E569" t="s">
        <v>105</v>
      </c>
      <c r="F569" s="1">
        <v>45917</v>
      </c>
      <c r="G569" t="s">
        <v>11</v>
      </c>
      <c r="H569" t="s">
        <v>12</v>
      </c>
      <c r="I569" s="2">
        <v>68214570</v>
      </c>
    </row>
    <row r="570" spans="1:9" x14ac:dyDescent="0.25">
      <c r="A570">
        <v>569</v>
      </c>
      <c r="B570" t="str">
        <f>IF(ISERROR(VLOOKUP(E570,Nombres!A:D,2,FALSE)),"PROBLEMAAAAAA",VLOOKUP(E570,Nombres!A:D,2,FALSE))</f>
        <v>Ramazani</v>
      </c>
      <c r="C570" t="str">
        <f>IF(ISERROR(VLOOKUP(E570,Nombres!A:D,4,FALSE)),"PROBLEMAAAAAA",VLOOKUP(E570,Nombres!A:D,4,FALSE))</f>
        <v>DEL</v>
      </c>
      <c r="D570" t="str">
        <f>IF(ISERROR(VLOOKUP(E570,Nombres!A:D,3,FALSE)),"PROBLEMAAAAAA",VLOOKUP(E570,Nombres!A:D,3,FALSE))</f>
        <v>Valencia</v>
      </c>
      <c r="E570" t="s">
        <v>289</v>
      </c>
      <c r="F570" s="1">
        <v>45917</v>
      </c>
      <c r="G570" t="s">
        <v>31</v>
      </c>
      <c r="H570" t="s">
        <v>10</v>
      </c>
      <c r="I570" s="2">
        <v>6757788</v>
      </c>
    </row>
    <row r="571" spans="1:9" x14ac:dyDescent="0.25">
      <c r="A571">
        <v>570</v>
      </c>
      <c r="B571" t="str">
        <f>IF(ISERROR(VLOOKUP(E571,Nombres!A:D,2,FALSE)),"PROBLEMAAAAAA",VLOOKUP(E571,Nombres!A:D,2,FALSE))</f>
        <v>Rosier</v>
      </c>
      <c r="C571" t="str">
        <f>IF(ISERROR(VLOOKUP(E571,Nombres!A:D,4,FALSE)),"PROBLEMAAAAAA",VLOOKUP(E571,Nombres!A:D,4,FALSE))</f>
        <v>DEF</v>
      </c>
      <c r="D571" t="str">
        <f>IF(ISERROR(VLOOKUP(E571,Nombres!A:D,3,FALSE)),"PROBLEMAAAAAA",VLOOKUP(E571,Nombres!A:D,3,FALSE))</f>
        <v>Osasuna</v>
      </c>
      <c r="E571" t="s">
        <v>240</v>
      </c>
      <c r="F571" s="1">
        <v>45917</v>
      </c>
      <c r="G571" t="s">
        <v>13</v>
      </c>
      <c r="H571" t="s">
        <v>12</v>
      </c>
      <c r="I571" s="2">
        <v>22431853</v>
      </c>
    </row>
    <row r="572" spans="1:9" x14ac:dyDescent="0.25">
      <c r="A572">
        <v>571</v>
      </c>
      <c r="B572" t="str">
        <f>IF(ISERROR(VLOOKUP(E572,Nombres!A:D,2,FALSE)),"PROBLEMAAAAAA",VLOOKUP(E572,Nombres!A:D,2,FALSE))</f>
        <v>Ryan</v>
      </c>
      <c r="C572" t="str">
        <f>IF(ISERROR(VLOOKUP(E572,Nombres!A:D,4,FALSE)),"PROBLEMAAAAAA",VLOOKUP(E572,Nombres!A:D,4,FALSE))</f>
        <v>POR</v>
      </c>
      <c r="D572" t="str">
        <f>IF(ISERROR(VLOOKUP(E572,Nombres!A:D,3,FALSE)),"PROBLEMAAAAAA",VLOOKUP(E572,Nombres!A:D,3,FALSE))</f>
        <v>Levante</v>
      </c>
      <c r="E572" t="s">
        <v>322</v>
      </c>
      <c r="F572" s="1">
        <v>45917</v>
      </c>
      <c r="G572" t="s">
        <v>13</v>
      </c>
      <c r="H572" t="s">
        <v>6</v>
      </c>
      <c r="I572" s="2">
        <v>5500000</v>
      </c>
    </row>
    <row r="573" spans="1:9" x14ac:dyDescent="0.25">
      <c r="A573">
        <v>572</v>
      </c>
      <c r="B573" t="str">
        <f>IF(ISERROR(VLOOKUP(E573,Nombres!A:D,2,FALSE)),"PROBLEMAAAAAA",VLOOKUP(E573,Nombres!A:D,2,FALSE))</f>
        <v>Asprilla</v>
      </c>
      <c r="C573" t="str">
        <f>IF(ISERROR(VLOOKUP(E573,Nombres!A:D,4,FALSE)),"PROBLEMAAAAAA",VLOOKUP(E573,Nombres!A:D,4,FALSE))</f>
        <v>DEL</v>
      </c>
      <c r="D573" t="str">
        <f>IF(ISERROR(VLOOKUP(E573,Nombres!A:D,3,FALSE)),"PROBLEMAAAAAA",VLOOKUP(E573,Nombres!A:D,3,FALSE))</f>
        <v>Girona</v>
      </c>
      <c r="E573" t="s">
        <v>168</v>
      </c>
      <c r="F573" s="1">
        <v>45918</v>
      </c>
      <c r="G573" t="s">
        <v>13</v>
      </c>
      <c r="H573" t="s">
        <v>31</v>
      </c>
      <c r="I573" s="2">
        <v>4680931</v>
      </c>
    </row>
    <row r="574" spans="1:9" x14ac:dyDescent="0.25">
      <c r="A574">
        <v>573</v>
      </c>
      <c r="B574" t="str">
        <f>IF(ISERROR(VLOOKUP(E574,Nombres!A:D,2,FALSE)),"PROBLEMAAAAAA",VLOOKUP(E574,Nombres!A:D,2,FALSE))</f>
        <v>Cabrera</v>
      </c>
      <c r="C574" t="str">
        <f>IF(ISERROR(VLOOKUP(E574,Nombres!A:D,4,FALSE)),"PROBLEMAAAAAA",VLOOKUP(E574,Nombres!A:D,4,FALSE))</f>
        <v>DEF</v>
      </c>
      <c r="D574" t="str">
        <f>IF(ISERROR(VLOOKUP(E574,Nombres!A:D,3,FALSE)),"PROBLEMAAAAAA",VLOOKUP(E574,Nombres!A:D,3,FALSE))</f>
        <v>Espanyol</v>
      </c>
      <c r="E574" t="s">
        <v>200</v>
      </c>
      <c r="F574" s="1">
        <v>45918</v>
      </c>
      <c r="G574" t="s">
        <v>8</v>
      </c>
      <c r="H574" t="s">
        <v>12</v>
      </c>
      <c r="I574" s="2">
        <v>15010001</v>
      </c>
    </row>
    <row r="575" spans="1:9" x14ac:dyDescent="0.25">
      <c r="A575">
        <v>574</v>
      </c>
      <c r="B575" t="str">
        <f>IF(ISERROR(VLOOKUP(E575,Nombres!A:D,2,FALSE)),"PROBLEMAAAAAA",VLOOKUP(E575,Nombres!A:D,2,FALSE))</f>
        <v>Gayà</v>
      </c>
      <c r="C575" t="str">
        <f>IF(ISERROR(VLOOKUP(E575,Nombres!A:D,4,FALSE)),"PROBLEMAAAAAA",VLOOKUP(E575,Nombres!A:D,4,FALSE))</f>
        <v>DEF</v>
      </c>
      <c r="D575" t="str">
        <f>IF(ISERROR(VLOOKUP(E575,Nombres!A:D,3,FALSE)),"PROBLEMAAAAAA",VLOOKUP(E575,Nombres!A:D,3,FALSE))</f>
        <v>Valencia</v>
      </c>
      <c r="E575" t="s">
        <v>180</v>
      </c>
      <c r="F575" s="1">
        <v>45918</v>
      </c>
      <c r="G575" t="s">
        <v>12</v>
      </c>
      <c r="H575" t="s">
        <v>31</v>
      </c>
      <c r="I575" s="2">
        <v>6609506</v>
      </c>
    </row>
    <row r="576" spans="1:9" x14ac:dyDescent="0.25">
      <c r="A576">
        <v>575</v>
      </c>
      <c r="B576" t="str">
        <f>IF(ISERROR(VLOOKUP(E576,Nombres!A:D,2,FALSE)),"PROBLEMAAAAAA",VLOOKUP(E576,Nombres!A:D,2,FALSE))</f>
        <v>Giuliano</v>
      </c>
      <c r="C576" t="str">
        <f>IF(ISERROR(VLOOKUP(E576,Nombres!A:D,4,FALSE)),"PROBLEMAAAAAA",VLOOKUP(E576,Nombres!A:D,4,FALSE))</f>
        <v>DEL</v>
      </c>
      <c r="D576" t="str">
        <f>IF(ISERROR(VLOOKUP(E576,Nombres!A:D,3,FALSE)),"PROBLEMAAAAAA",VLOOKUP(E576,Nombres!A:D,3,FALSE))</f>
        <v>Atlético</v>
      </c>
      <c r="E576" t="s">
        <v>303</v>
      </c>
      <c r="F576" s="1">
        <v>45918</v>
      </c>
      <c r="G576" t="s">
        <v>31</v>
      </c>
      <c r="H576" t="s">
        <v>11</v>
      </c>
      <c r="I576" s="2">
        <v>39817789</v>
      </c>
    </row>
    <row r="577" spans="1:9" x14ac:dyDescent="0.25">
      <c r="A577">
        <v>576</v>
      </c>
      <c r="B577" t="str">
        <f>IF(ISERROR(VLOOKUP(E577,Nombres!A:D,2,FALSE)),"PROBLEMAAAAAA",VLOOKUP(E577,Nombres!A:D,2,FALSE))</f>
        <v>Javi Rodríguez</v>
      </c>
      <c r="C577" t="str">
        <f>IF(ISERROR(VLOOKUP(E577,Nombres!A:D,4,FALSE)),"PROBLEMAAAAAA",VLOOKUP(E577,Nombres!A:D,4,FALSE))</f>
        <v>DEF</v>
      </c>
      <c r="D577" t="str">
        <f>IF(ISERROR(VLOOKUP(E577,Nombres!A:D,3,FALSE)),"PROBLEMAAAAAA",VLOOKUP(E577,Nombres!A:D,3,FALSE))</f>
        <v>Celta</v>
      </c>
      <c r="E577" t="s">
        <v>277</v>
      </c>
      <c r="F577" s="1">
        <v>45918</v>
      </c>
      <c r="G577" t="s">
        <v>10</v>
      </c>
      <c r="H577" t="s">
        <v>8</v>
      </c>
      <c r="I577" s="2">
        <v>1000000</v>
      </c>
    </row>
    <row r="578" spans="1:9" x14ac:dyDescent="0.25">
      <c r="A578">
        <v>577</v>
      </c>
      <c r="B578" t="str">
        <f>IF(ISERROR(VLOOKUP(E578,Nombres!A:D,2,FALSE)),"PROBLEMAAAAAA",VLOOKUP(E578,Nombres!A:D,2,FALSE))</f>
        <v>Iglesias</v>
      </c>
      <c r="C578" t="str">
        <f>IF(ISERROR(VLOOKUP(E578,Nombres!A:D,4,FALSE)),"PROBLEMAAAAAA",VLOOKUP(E578,Nombres!A:D,4,FALSE))</f>
        <v>DEF</v>
      </c>
      <c r="D578" t="str">
        <f>IF(ISERROR(VLOOKUP(E578,Nombres!A:D,3,FALSE)),"PROBLEMAAAAAA",VLOOKUP(E578,Nombres!A:D,3,FALSE))</f>
        <v>Getafe</v>
      </c>
      <c r="E578" t="s">
        <v>215</v>
      </c>
      <c r="F578" s="1">
        <v>45918</v>
      </c>
      <c r="G578" t="s">
        <v>8</v>
      </c>
      <c r="H578" t="s">
        <v>11</v>
      </c>
      <c r="I578" s="2">
        <v>2369904</v>
      </c>
    </row>
    <row r="579" spans="1:9" x14ac:dyDescent="0.25">
      <c r="A579">
        <v>578</v>
      </c>
      <c r="B579" t="str">
        <f>IF(ISERROR(VLOOKUP(E579,Nombres!A:D,2,FALSE)),"PROBLEMAAAAAA",VLOOKUP(E579,Nombres!A:D,2,FALSE))</f>
        <v>Juanlu</v>
      </c>
      <c r="C579" t="str">
        <f>IF(ISERROR(VLOOKUP(E579,Nombres!A:D,4,FALSE)),"PROBLEMAAAAAA",VLOOKUP(E579,Nombres!A:D,4,FALSE))</f>
        <v>MED</v>
      </c>
      <c r="D579" t="str">
        <f>IF(ISERROR(VLOOKUP(E579,Nombres!A:D,3,FALSE)),"PROBLEMAAAAAA",VLOOKUP(E579,Nombres!A:D,3,FALSE))</f>
        <v>Sevilla</v>
      </c>
      <c r="E579" t="s">
        <v>33</v>
      </c>
      <c r="F579" s="1">
        <v>45918</v>
      </c>
      <c r="G579" t="s">
        <v>6</v>
      </c>
      <c r="H579" t="s">
        <v>31</v>
      </c>
      <c r="I579" s="2">
        <v>6542165</v>
      </c>
    </row>
    <row r="580" spans="1:9" x14ac:dyDescent="0.25">
      <c r="A580">
        <v>579</v>
      </c>
      <c r="B580" t="str">
        <f>IF(ISERROR(VLOOKUP(E580,Nombres!A:D,2,FALSE)),"PROBLEMAAAAAA",VLOOKUP(E580,Nombres!A:D,2,FALSE))</f>
        <v>Olasagasti</v>
      </c>
      <c r="C580" t="str">
        <f>IF(ISERROR(VLOOKUP(E580,Nombres!A:D,4,FALSE)),"PROBLEMAAAAAA",VLOOKUP(E580,Nombres!A:D,4,FALSE))</f>
        <v>MED</v>
      </c>
      <c r="D580" t="str">
        <f>IF(ISERROR(VLOOKUP(E580,Nombres!A:D,3,FALSE)),"PROBLEMAAAAAA",VLOOKUP(E580,Nombres!A:D,3,FALSE))</f>
        <v>Levante</v>
      </c>
      <c r="E580" t="s">
        <v>666</v>
      </c>
      <c r="F580" s="1">
        <v>45918</v>
      </c>
      <c r="G580" t="s">
        <v>13</v>
      </c>
      <c r="H580" t="s">
        <v>31</v>
      </c>
      <c r="I580" s="2">
        <v>639825</v>
      </c>
    </row>
    <row r="581" spans="1:9" x14ac:dyDescent="0.25">
      <c r="A581">
        <v>580</v>
      </c>
      <c r="B581" t="str">
        <f>IF(ISERROR(VLOOKUP(E581,Nombres!A:D,2,FALSE)),"PROBLEMAAAAAA",VLOOKUP(E581,Nombres!A:D,2,FALSE))</f>
        <v>Roberto</v>
      </c>
      <c r="C581" t="str">
        <f>IF(ISERROR(VLOOKUP(E581,Nombres!A:D,4,FALSE)),"PROBLEMAAAAAA",VLOOKUP(E581,Nombres!A:D,4,FALSE))</f>
        <v>DEL</v>
      </c>
      <c r="D581" t="str">
        <f>IF(ISERROR(VLOOKUP(E581,Nombres!A:D,3,FALSE)),"PROBLEMAAAAAA",VLOOKUP(E581,Nombres!A:D,3,FALSE))</f>
        <v>Espanyol</v>
      </c>
      <c r="E581" t="s">
        <v>306</v>
      </c>
      <c r="F581" s="1">
        <v>45918</v>
      </c>
      <c r="G581" t="s">
        <v>31</v>
      </c>
      <c r="H581" t="s">
        <v>7</v>
      </c>
      <c r="I581" s="2">
        <v>6065798</v>
      </c>
    </row>
    <row r="582" spans="1:9" x14ac:dyDescent="0.25">
      <c r="A582">
        <v>581</v>
      </c>
      <c r="B582" t="str">
        <f>IF(ISERROR(VLOOKUP(E582,Nombres!A:D,2,FALSE)),"PROBLEMAAAAAA",VLOOKUP(E582,Nombres!A:D,2,FALSE))</f>
        <v>Víctor Muñoz</v>
      </c>
      <c r="C582" t="str">
        <f>IF(ISERROR(VLOOKUP(E582,Nombres!A:D,4,FALSE)),"PROBLEMAAAAAA",VLOOKUP(E582,Nombres!A:D,4,FALSE))</f>
        <v>DEL</v>
      </c>
      <c r="D582" t="str">
        <f>IF(ISERROR(VLOOKUP(E582,Nombres!A:D,3,FALSE)),"PROBLEMAAAAAA",VLOOKUP(E582,Nombres!A:D,3,FALSE))</f>
        <v>Osasuna</v>
      </c>
      <c r="E582" t="s">
        <v>270</v>
      </c>
      <c r="F582" s="1">
        <v>45918</v>
      </c>
      <c r="G582" t="s">
        <v>6</v>
      </c>
      <c r="H582" t="s">
        <v>10</v>
      </c>
      <c r="I582" s="2">
        <v>3987785</v>
      </c>
    </row>
    <row r="583" spans="1:9" x14ac:dyDescent="0.25">
      <c r="A583">
        <v>582</v>
      </c>
      <c r="B583" t="str">
        <f>IF(ISERROR(VLOOKUP(E583,Nombres!A:D,2,FALSE)),"PROBLEMAAAAAA",VLOOKUP(E583,Nombres!A:D,2,FALSE))</f>
        <v>Denis Suárez</v>
      </c>
      <c r="C583" t="str">
        <f>IF(ISERROR(VLOOKUP(E583,Nombres!A:D,4,FALSE)),"PROBLEMAAAAAA",VLOOKUP(E583,Nombres!A:D,4,FALSE))</f>
        <v>MED</v>
      </c>
      <c r="D583" t="str">
        <f>IF(ISERROR(VLOOKUP(E583,Nombres!A:D,3,FALSE)),"PROBLEMAAAAAA",VLOOKUP(E583,Nombres!A:D,3,FALSE))</f>
        <v>Alavés</v>
      </c>
      <c r="E583" t="s">
        <v>358</v>
      </c>
      <c r="F583" s="1">
        <v>45919</v>
      </c>
      <c r="G583" t="s">
        <v>10</v>
      </c>
      <c r="H583" t="s">
        <v>31</v>
      </c>
      <c r="I583" s="2">
        <v>6958742</v>
      </c>
    </row>
    <row r="584" spans="1:9" x14ac:dyDescent="0.25">
      <c r="A584">
        <v>583</v>
      </c>
      <c r="B584" t="str">
        <f>IF(ISERROR(VLOOKUP(E584,Nombres!A:D,2,FALSE)),"PROBLEMAAAAAA",VLOOKUP(E584,Nombres!A:D,2,FALSE))</f>
        <v>Leo Román</v>
      </c>
      <c r="C584" t="str">
        <f>IF(ISERROR(VLOOKUP(E584,Nombres!A:D,4,FALSE)),"PROBLEMAAAAAA",VLOOKUP(E584,Nombres!A:D,4,FALSE))</f>
        <v>POR</v>
      </c>
      <c r="D584" t="str">
        <f>IF(ISERROR(VLOOKUP(E584,Nombres!A:D,3,FALSE)),"PROBLEMAAAAAA",VLOOKUP(E584,Nombres!A:D,3,FALSE))</f>
        <v>Mallorca</v>
      </c>
      <c r="E584" t="s">
        <v>78</v>
      </c>
      <c r="F584" s="1">
        <v>45919</v>
      </c>
      <c r="G584" t="s">
        <v>31</v>
      </c>
      <c r="H584" t="s">
        <v>13</v>
      </c>
      <c r="I584" s="2">
        <v>6138407</v>
      </c>
    </row>
    <row r="585" spans="1:9" x14ac:dyDescent="0.25">
      <c r="A585">
        <v>584</v>
      </c>
      <c r="B585" t="str">
        <f>IF(ISERROR(VLOOKUP(E585,Nombres!A:D,2,FALSE)),"PROBLEMAAAAAA",VLOOKUP(E585,Nombres!A:D,2,FALSE))</f>
        <v>Militão</v>
      </c>
      <c r="C585" t="str">
        <f>IF(ISERROR(VLOOKUP(E585,Nombres!A:D,4,FALSE)),"PROBLEMAAAAAA",VLOOKUP(E585,Nombres!A:D,4,FALSE))</f>
        <v>DEF</v>
      </c>
      <c r="D585" t="str">
        <f>IF(ISERROR(VLOOKUP(E585,Nombres!A:D,3,FALSE)),"PROBLEMAAAAAA",VLOOKUP(E585,Nombres!A:D,3,FALSE))</f>
        <v>Real Madrid</v>
      </c>
      <c r="E585" t="s">
        <v>164</v>
      </c>
      <c r="F585" s="1">
        <v>45919</v>
      </c>
      <c r="G585" t="s">
        <v>6</v>
      </c>
      <c r="H585" t="s">
        <v>31</v>
      </c>
      <c r="I585" s="2">
        <v>45865641</v>
      </c>
    </row>
    <row r="586" spans="1:9" x14ac:dyDescent="0.25">
      <c r="A586">
        <v>585</v>
      </c>
      <c r="B586" t="str">
        <f>IF(ISERROR(VLOOKUP(E586,Nombres!A:D,2,FALSE)),"PROBLEMAAAAAA",VLOOKUP(E586,Nombres!A:D,2,FALSE))</f>
        <v>Bryan Gil</v>
      </c>
      <c r="C586" t="str">
        <f>IF(ISERROR(VLOOKUP(E586,Nombres!A:D,4,FALSE)),"PROBLEMAAAAAA",VLOOKUP(E586,Nombres!A:D,4,FALSE))</f>
        <v>DEL</v>
      </c>
      <c r="D586" t="str">
        <f>IF(ISERROR(VLOOKUP(E586,Nombres!A:D,3,FALSE)),"PROBLEMAAAAAA",VLOOKUP(E586,Nombres!A:D,3,FALSE))</f>
        <v>Girona</v>
      </c>
      <c r="E586" t="s">
        <v>312</v>
      </c>
      <c r="F586" s="1">
        <v>45920</v>
      </c>
      <c r="G586" t="s">
        <v>31</v>
      </c>
      <c r="H586" t="s">
        <v>9</v>
      </c>
      <c r="I586" s="2">
        <v>11345690</v>
      </c>
    </row>
    <row r="587" spans="1:9" x14ac:dyDescent="0.25">
      <c r="A587">
        <v>406</v>
      </c>
      <c r="B587" t="str">
        <f>IF(ISERROR(VLOOKUP(E587,Nombres!A:D,2,FALSE)),"PROBLEMAAAAAA",VLOOKUP(E587,Nombres!A:D,2,FALSE))</f>
        <v>Pépé</v>
      </c>
      <c r="C587" t="str">
        <f>IF(ISERROR(VLOOKUP(E587,Nombres!A:D,4,FALSE)),"PROBLEMAAAAAA",VLOOKUP(E587,Nombres!A:D,4,FALSE))</f>
        <v>DEL</v>
      </c>
      <c r="D587" t="str">
        <f>IF(ISERROR(VLOOKUP(E587,Nombres!A:D,3,FALSE)),"PROBLEMAAAAAA",VLOOKUP(E587,Nombres!A:D,3,FALSE))</f>
        <v>Villarreal</v>
      </c>
      <c r="E587" t="s">
        <v>105</v>
      </c>
      <c r="F587" s="1">
        <v>45900</v>
      </c>
      <c r="G587" t="s">
        <v>12</v>
      </c>
      <c r="H587" t="s">
        <v>13</v>
      </c>
      <c r="I587" s="2">
        <v>40046131</v>
      </c>
    </row>
    <row r="588" spans="1:9" x14ac:dyDescent="0.25">
      <c r="A588">
        <v>587</v>
      </c>
      <c r="B588" t="str">
        <f>IF(ISERROR(VLOOKUP(E588,Nombres!A:D,2,FALSE)),"PROBLEMAAAAAA",VLOOKUP(E588,Nombres!A:D,2,FALSE))</f>
        <v>D. Duarte</v>
      </c>
      <c r="C588" t="str">
        <f>IF(ISERROR(VLOOKUP(E588,Nombres!A:D,4,FALSE)),"PROBLEMAAAAAA",VLOOKUP(E588,Nombres!A:D,4,FALSE))</f>
        <v>DEF</v>
      </c>
      <c r="D588" t="str">
        <f>IF(ISERROR(VLOOKUP(E588,Nombres!A:D,3,FALSE)),"PROBLEMAAAAAA",VLOOKUP(E588,Nombres!A:D,3,FALSE))</f>
        <v>Getafe</v>
      </c>
      <c r="E588" t="s">
        <v>108</v>
      </c>
      <c r="F588" s="1">
        <v>45920</v>
      </c>
      <c r="G588" t="s">
        <v>13</v>
      </c>
      <c r="H588" t="s">
        <v>768</v>
      </c>
      <c r="I588" s="2">
        <v>1672958</v>
      </c>
    </row>
    <row r="589" spans="1:9" x14ac:dyDescent="0.25">
      <c r="A589">
        <v>588</v>
      </c>
      <c r="B589" t="str">
        <f>IF(ISERROR(VLOOKUP(E589,Nombres!A:D,2,FALSE)),"PROBLEMAAAAAA",VLOOKUP(E589,Nombres!A:D,2,FALSE))</f>
        <v>Eric García</v>
      </c>
      <c r="C589" t="str">
        <f>IF(ISERROR(VLOOKUP(E589,Nombres!A:D,4,FALSE)),"PROBLEMAAAAAA",VLOOKUP(E589,Nombres!A:D,4,FALSE))</f>
        <v>DEF</v>
      </c>
      <c r="D589" t="str">
        <f>IF(ISERROR(VLOOKUP(E589,Nombres!A:D,3,FALSE)),"PROBLEMAAAAAA",VLOOKUP(E589,Nombres!A:D,3,FALSE))</f>
        <v>Barcelona</v>
      </c>
      <c r="E589" t="s">
        <v>152</v>
      </c>
      <c r="F589" s="1">
        <v>45920</v>
      </c>
      <c r="G589" t="s">
        <v>12</v>
      </c>
      <c r="H589" t="s">
        <v>31</v>
      </c>
      <c r="I589" s="2">
        <v>26000000</v>
      </c>
    </row>
    <row r="590" spans="1:9" x14ac:dyDescent="0.25">
      <c r="A590">
        <v>589</v>
      </c>
      <c r="B590" t="str">
        <f>IF(ISERROR(VLOOKUP(E590,Nombres!A:D,2,FALSE)),"PROBLEMAAAAAA",VLOOKUP(E590,Nombres!A:D,2,FALSE))</f>
        <v>Giuliano</v>
      </c>
      <c r="C590" t="str">
        <f>IF(ISERROR(VLOOKUP(E590,Nombres!A:D,4,FALSE)),"PROBLEMAAAAAA",VLOOKUP(E590,Nombres!A:D,4,FALSE))</f>
        <v>DEL</v>
      </c>
      <c r="D590" t="str">
        <f>IF(ISERROR(VLOOKUP(E590,Nombres!A:D,3,FALSE)),"PROBLEMAAAAAA",VLOOKUP(E590,Nombres!A:D,3,FALSE))</f>
        <v>Atlético</v>
      </c>
      <c r="E590" t="s">
        <v>303</v>
      </c>
      <c r="F590" s="1">
        <v>45920</v>
      </c>
      <c r="G590" t="s">
        <v>7</v>
      </c>
      <c r="H590" t="s">
        <v>31</v>
      </c>
      <c r="I590" s="2">
        <v>42151996</v>
      </c>
    </row>
    <row r="591" spans="1:9" x14ac:dyDescent="0.25">
      <c r="A591">
        <v>590</v>
      </c>
      <c r="B591" t="str">
        <f>IF(ISERROR(VLOOKUP(E591,Nombres!A:D,2,FALSE)),"PROBLEMAAAAAA",VLOOKUP(E591,Nombres!A:D,2,FALSE))</f>
        <v>Griezmann</v>
      </c>
      <c r="C591" t="str">
        <f>IF(ISERROR(VLOOKUP(E591,Nombres!A:D,4,FALSE)),"PROBLEMAAAAAA",VLOOKUP(E591,Nombres!A:D,4,FALSE))</f>
        <v>DEL</v>
      </c>
      <c r="D591" t="str">
        <f>IF(ISERROR(VLOOKUP(E591,Nombres!A:D,3,FALSE)),"PROBLEMAAAAAA",VLOOKUP(E591,Nombres!A:D,3,FALSE))</f>
        <v>Atlético</v>
      </c>
      <c r="E591" t="s">
        <v>359</v>
      </c>
      <c r="F591" s="1">
        <v>45920</v>
      </c>
      <c r="G591" t="s">
        <v>9</v>
      </c>
      <c r="H591" t="s">
        <v>31</v>
      </c>
      <c r="I591" s="2">
        <v>26000000</v>
      </c>
    </row>
    <row r="592" spans="1:9" x14ac:dyDescent="0.25">
      <c r="A592">
        <v>591</v>
      </c>
      <c r="B592" t="str">
        <f>IF(ISERROR(VLOOKUP(E592,Nombres!A:D,2,FALSE)),"PROBLEMAAAAAA",VLOOKUP(E592,Nombres!A:D,2,FALSE))</f>
        <v>Gudelj</v>
      </c>
      <c r="C592" t="str">
        <f>IF(ISERROR(VLOOKUP(E592,Nombres!A:D,4,FALSE)),"PROBLEMAAAAAA",VLOOKUP(E592,Nombres!A:D,4,FALSE))</f>
        <v>MED</v>
      </c>
      <c r="D592" t="str">
        <f>IF(ISERROR(VLOOKUP(E592,Nombres!A:D,3,FALSE)),"PROBLEMAAAAAA",VLOOKUP(E592,Nombres!A:D,3,FALSE))</f>
        <v>Sevilla</v>
      </c>
      <c r="E592" t="s">
        <v>52</v>
      </c>
      <c r="F592" s="1">
        <v>45920</v>
      </c>
      <c r="G592" t="s">
        <v>31</v>
      </c>
      <c r="H592" t="s">
        <v>6</v>
      </c>
      <c r="I592" s="2">
        <v>3489384</v>
      </c>
    </row>
    <row r="593" spans="1:9" x14ac:dyDescent="0.25">
      <c r="A593">
        <v>592</v>
      </c>
      <c r="B593" t="str">
        <f>IF(ISERROR(VLOOKUP(E593,Nombres!A:D,2,FALSE)),"PROBLEMAAAAAA",VLOOKUP(E593,Nombres!A:D,2,FALSE))</f>
        <v>Virgili</v>
      </c>
      <c r="C593" t="str">
        <f>IF(ISERROR(VLOOKUP(E593,Nombres!A:D,4,FALSE)),"PROBLEMAAAAAA",VLOOKUP(E593,Nombres!A:D,4,FALSE))</f>
        <v>DEL</v>
      </c>
      <c r="D593" t="str">
        <f>IF(ISERROR(VLOOKUP(E593,Nombres!A:D,3,FALSE)),"PROBLEMAAAAAA",VLOOKUP(E593,Nombres!A:D,3,FALSE))</f>
        <v>Mallorca</v>
      </c>
      <c r="E593" t="s">
        <v>293</v>
      </c>
      <c r="F593" s="1">
        <v>45920</v>
      </c>
      <c r="G593" t="s">
        <v>31</v>
      </c>
      <c r="H593" t="s">
        <v>9</v>
      </c>
      <c r="I593" s="2">
        <v>1840256</v>
      </c>
    </row>
    <row r="594" spans="1:9" x14ac:dyDescent="0.25">
      <c r="A594">
        <v>593</v>
      </c>
      <c r="B594" t="str">
        <f>IF(ISERROR(VLOOKUP(E594,Nombres!A:D,2,FALSE)),"PROBLEMAAAAAA",VLOOKUP(E594,Nombres!A:D,2,FALSE))</f>
        <v>Kubo</v>
      </c>
      <c r="C594" t="str">
        <f>IF(ISERROR(VLOOKUP(E594,Nombres!A:D,4,FALSE)),"PROBLEMAAAAAA",VLOOKUP(E594,Nombres!A:D,4,FALSE))</f>
        <v>MED</v>
      </c>
      <c r="D594" t="str">
        <f>IF(ISERROR(VLOOKUP(E594,Nombres!A:D,3,FALSE)),"PROBLEMAAAAAA",VLOOKUP(E594,Nombres!A:D,3,FALSE))</f>
        <v>Real Sociedad</v>
      </c>
      <c r="E594" t="s">
        <v>232</v>
      </c>
      <c r="F594" s="1">
        <v>45920</v>
      </c>
      <c r="G594" t="s">
        <v>31</v>
      </c>
      <c r="H594" t="s">
        <v>9</v>
      </c>
      <c r="I594" s="2">
        <v>45697007</v>
      </c>
    </row>
    <row r="595" spans="1:9" x14ac:dyDescent="0.25">
      <c r="A595">
        <v>545</v>
      </c>
      <c r="B595" t="str">
        <f>IF(ISERROR(VLOOKUP(E595,Nombres!A:D,2,FALSE)),"PROBLEMAAAAAA",VLOOKUP(E595,Nombres!A:D,2,FALSE))</f>
        <v>Rafa Mir</v>
      </c>
      <c r="C595" t="str">
        <f>IF(ISERROR(VLOOKUP(E595,Nombres!A:D,4,FALSE)),"PROBLEMAAAAAA",VLOOKUP(E595,Nombres!A:D,4,FALSE))</f>
        <v>DEL</v>
      </c>
      <c r="D595" t="str">
        <f>IF(ISERROR(VLOOKUP(E595,Nombres!A:D,3,FALSE)),"PROBLEMAAAAAA",VLOOKUP(E595,Nombres!A:D,3,FALSE))</f>
        <v>Elche</v>
      </c>
      <c r="E595" t="s">
        <v>287</v>
      </c>
      <c r="F595" s="1">
        <v>45916</v>
      </c>
      <c r="G595" t="s">
        <v>9</v>
      </c>
      <c r="H595" t="s">
        <v>13</v>
      </c>
      <c r="I595" s="2">
        <v>20225343</v>
      </c>
    </row>
    <row r="596" spans="1:9" x14ac:dyDescent="0.25">
      <c r="A596">
        <v>595</v>
      </c>
      <c r="B596" t="str">
        <f>IF(ISERROR(VLOOKUP(E596,Nombres!A:D,2,FALSE)),"PROBLEMAAAAAA",VLOOKUP(E596,Nombres!A:D,2,FALSE))</f>
        <v>Luengo</v>
      </c>
      <c r="C596" t="str">
        <f>IF(ISERROR(VLOOKUP(E596,Nombres!A:D,4,FALSE)),"PROBLEMAAAAAA",VLOOKUP(E596,Nombres!A:D,4,FALSE))</f>
        <v>DEF</v>
      </c>
      <c r="D596" t="str">
        <f>IF(ISERROR(VLOOKUP(E596,Nombres!A:D,3,FALSE)),"PROBLEMAAAAAA",VLOOKUP(E596,Nombres!A:D,3,FALSE))</f>
        <v>Real Oviedo</v>
      </c>
      <c r="E596" t="s">
        <v>220</v>
      </c>
      <c r="F596" s="1">
        <v>45920</v>
      </c>
      <c r="G596" t="s">
        <v>31</v>
      </c>
      <c r="H596" t="s">
        <v>6</v>
      </c>
      <c r="I596" s="2">
        <v>484847</v>
      </c>
    </row>
    <row r="597" spans="1:9" x14ac:dyDescent="0.25">
      <c r="A597">
        <v>596</v>
      </c>
      <c r="B597" t="str">
        <f>IF(ISERROR(VLOOKUP(E597,Nombres!A:D,2,FALSE)),"PROBLEMAAAAAA",VLOOKUP(E597,Nombres!A:D,2,FALSE))</f>
        <v>Mariano</v>
      </c>
      <c r="C597" t="str">
        <f>IF(ISERROR(VLOOKUP(E597,Nombres!A:D,4,FALSE)),"PROBLEMAAAAAA",VLOOKUP(E597,Nombres!A:D,4,FALSE))</f>
        <v>DEL</v>
      </c>
      <c r="D597" t="str">
        <f>IF(ISERROR(VLOOKUP(E597,Nombres!A:D,3,FALSE)),"PROBLEMAAAAAA",VLOOKUP(E597,Nombres!A:D,3,FALSE))</f>
        <v>Alavés</v>
      </c>
      <c r="E597" t="s">
        <v>246</v>
      </c>
      <c r="F597" s="1">
        <v>45920</v>
      </c>
      <c r="G597" t="s">
        <v>31</v>
      </c>
      <c r="H597" t="s">
        <v>7</v>
      </c>
      <c r="I597" s="2">
        <v>2029929</v>
      </c>
    </row>
    <row r="598" spans="1:9" x14ac:dyDescent="0.25">
      <c r="A598">
        <v>597</v>
      </c>
      <c r="B598" t="str">
        <f>IF(ISERROR(VLOOKUP(E598,Nombres!A:D,2,FALSE)),"PROBLEMAAAAAA",VLOOKUP(E598,Nombres!A:D,2,FALSE))</f>
        <v>Mario Martín</v>
      </c>
      <c r="C598" t="str">
        <f>IF(ISERROR(VLOOKUP(E598,Nombres!A:D,4,FALSE)),"PROBLEMAAAAAA",VLOOKUP(E598,Nombres!A:D,4,FALSE))</f>
        <v>MED</v>
      </c>
      <c r="D598" t="str">
        <f>IF(ISERROR(VLOOKUP(E598,Nombres!A:D,3,FALSE)),"PROBLEMAAAAAA",VLOOKUP(E598,Nombres!A:D,3,FALSE))</f>
        <v>Getafe</v>
      </c>
      <c r="E598" t="s">
        <v>360</v>
      </c>
      <c r="F598" s="1">
        <v>45920</v>
      </c>
      <c r="G598" t="s">
        <v>14</v>
      </c>
      <c r="H598" t="s">
        <v>31</v>
      </c>
      <c r="I598" s="2">
        <v>3861510</v>
      </c>
    </row>
    <row r="599" spans="1:9" x14ac:dyDescent="0.25">
      <c r="A599">
        <v>598</v>
      </c>
      <c r="B599" t="str">
        <f>IF(ISERROR(VLOOKUP(E599,Nombres!A:D,2,FALSE)),"PROBLEMAAAAAA",VLOOKUP(E599,Nombres!A:D,2,FALSE))</f>
        <v>Oriol Rey</v>
      </c>
      <c r="C599" t="str">
        <f>IF(ISERROR(VLOOKUP(E599,Nombres!A:D,4,FALSE)),"PROBLEMAAAAAA",VLOOKUP(E599,Nombres!A:D,4,FALSE))</f>
        <v>MED</v>
      </c>
      <c r="D599" t="str">
        <f>IF(ISERROR(VLOOKUP(E599,Nombres!A:D,3,FALSE)),"PROBLEMAAAAAA",VLOOKUP(E599,Nombres!A:D,3,FALSE))</f>
        <v>Levante</v>
      </c>
      <c r="E599" t="s">
        <v>237</v>
      </c>
      <c r="F599" s="1">
        <v>45920</v>
      </c>
      <c r="G599" t="s">
        <v>8</v>
      </c>
      <c r="H599" t="s">
        <v>9</v>
      </c>
      <c r="I599" s="2">
        <v>1800000</v>
      </c>
    </row>
    <row r="600" spans="1:9" x14ac:dyDescent="0.25">
      <c r="A600">
        <v>599</v>
      </c>
      <c r="B600" t="str">
        <f>IF(ISERROR(VLOOKUP(E600,Nombres!A:D,2,FALSE)),"PROBLEMAAAAAA",VLOOKUP(E600,Nombres!A:D,2,FALSE))</f>
        <v>Urko</v>
      </c>
      <c r="C600" t="str">
        <f>IF(ISERROR(VLOOKUP(E600,Nombres!A:D,4,FALSE)),"PROBLEMAAAAAA",VLOOKUP(E600,Nombres!A:D,4,FALSE))</f>
        <v>MED</v>
      </c>
      <c r="D600" t="str">
        <f>IF(ISERROR(VLOOKUP(E600,Nombres!A:D,3,FALSE)),"PROBLEMAAAAAA",VLOOKUP(E600,Nombres!A:D,3,FALSE))</f>
        <v>Espanyol</v>
      </c>
      <c r="E600" t="s">
        <v>361</v>
      </c>
      <c r="F600" s="1">
        <v>45920</v>
      </c>
      <c r="G600" t="s">
        <v>11</v>
      </c>
      <c r="H600" t="s">
        <v>31</v>
      </c>
      <c r="I600" s="2">
        <v>1427461</v>
      </c>
    </row>
    <row r="601" spans="1:9" x14ac:dyDescent="0.25">
      <c r="A601">
        <v>600</v>
      </c>
      <c r="B601" t="str">
        <f>IF(ISERROR(VLOOKUP(E601,Nombres!A:D,2,FALSE)),"PROBLEMAAAAAA",VLOOKUP(E601,Nombres!A:D,2,FALSE))</f>
        <v>Vitor Reis</v>
      </c>
      <c r="C601" t="str">
        <f>IF(ISERROR(VLOOKUP(E601,Nombres!A:D,4,FALSE)),"PROBLEMAAAAAA",VLOOKUP(E601,Nombres!A:D,4,FALSE))</f>
        <v>DEF</v>
      </c>
      <c r="D601" t="str">
        <f>IF(ISERROR(VLOOKUP(E601,Nombres!A:D,3,FALSE)),"PROBLEMAAAAAA",VLOOKUP(E601,Nombres!A:D,3,FALSE))</f>
        <v>Girona</v>
      </c>
      <c r="E601" t="s">
        <v>317</v>
      </c>
      <c r="F601" s="1">
        <v>45920</v>
      </c>
      <c r="G601" t="s">
        <v>31</v>
      </c>
      <c r="H601" t="s">
        <v>9</v>
      </c>
      <c r="I601" s="2">
        <v>8946839</v>
      </c>
    </row>
    <row r="602" spans="1:9" x14ac:dyDescent="0.25">
      <c r="A602">
        <v>601</v>
      </c>
      <c r="B602" t="str">
        <f>IF(ISERROR(VLOOKUP(E602,Nombres!A:D,2,FALSE)),"PROBLEMAAAAAA",VLOOKUP(E602,Nombres!A:D,2,FALSE))</f>
        <v>Agirrezabala</v>
      </c>
      <c r="C602" t="str">
        <f>IF(ISERROR(VLOOKUP(E602,Nombres!A:D,4,FALSE)),"PROBLEMAAAAAA",VLOOKUP(E602,Nombres!A:D,4,FALSE))</f>
        <v>POR</v>
      </c>
      <c r="D602" t="str">
        <f>IF(ISERROR(VLOOKUP(E602,Nombres!A:D,3,FALSE)),"PROBLEMAAAAAA",VLOOKUP(E602,Nombres!A:D,3,FALSE))</f>
        <v>Valencia</v>
      </c>
      <c r="E602" t="s">
        <v>253</v>
      </c>
      <c r="F602" s="1">
        <v>45921</v>
      </c>
      <c r="G602" t="s">
        <v>9</v>
      </c>
      <c r="H602" t="s">
        <v>10</v>
      </c>
      <c r="I602" s="2">
        <v>22878987</v>
      </c>
    </row>
    <row r="603" spans="1:9" x14ac:dyDescent="0.25">
      <c r="A603">
        <v>602</v>
      </c>
      <c r="B603" t="str">
        <f>IF(ISERROR(VLOOKUP(E603,Nombres!A:D,2,FALSE)),"PROBLEMAAAAAA",VLOOKUP(E603,Nombres!A:D,2,FALSE))</f>
        <v>Antony</v>
      </c>
      <c r="C603" t="str">
        <f>IF(ISERROR(VLOOKUP(E603,Nombres!A:D,4,FALSE)),"PROBLEMAAAAAA",VLOOKUP(E603,Nombres!A:D,4,FALSE))</f>
        <v>DEL</v>
      </c>
      <c r="D603" t="str">
        <f>IF(ISERROR(VLOOKUP(E603,Nombres!A:D,3,FALSE)),"PROBLEMAAAAAA",VLOOKUP(E603,Nombres!A:D,3,FALSE))</f>
        <v>Betis</v>
      </c>
      <c r="E603" t="s">
        <v>324</v>
      </c>
      <c r="F603" s="1">
        <v>45921</v>
      </c>
      <c r="G603" t="s">
        <v>31</v>
      </c>
      <c r="H603" t="s">
        <v>10</v>
      </c>
      <c r="I603" s="2">
        <v>114131423</v>
      </c>
    </row>
    <row r="604" spans="1:9" x14ac:dyDescent="0.25">
      <c r="A604">
        <v>603</v>
      </c>
      <c r="B604" t="str">
        <f>IF(ISERROR(VLOOKUP(E604,Nombres!A:D,2,FALSE)),"PROBLEMAAAAAA",VLOOKUP(E604,Nombres!A:D,2,FALSE))</f>
        <v>Arambarri</v>
      </c>
      <c r="C604" t="str">
        <f>IF(ISERROR(VLOOKUP(E604,Nombres!A:D,4,FALSE)),"PROBLEMAAAAAA",VLOOKUP(E604,Nombres!A:D,4,FALSE))</f>
        <v>MED</v>
      </c>
      <c r="D604" t="str">
        <f>IF(ISERROR(VLOOKUP(E604,Nombres!A:D,3,FALSE)),"PROBLEMAAAAAA",VLOOKUP(E604,Nombres!A:D,3,FALSE))</f>
        <v>Getafe</v>
      </c>
      <c r="E604" t="s">
        <v>73</v>
      </c>
      <c r="F604" s="1">
        <v>45921</v>
      </c>
      <c r="G604" t="s">
        <v>13</v>
      </c>
      <c r="H604" t="s">
        <v>12</v>
      </c>
      <c r="I604" s="2">
        <v>13265558</v>
      </c>
    </row>
    <row r="605" spans="1:9" x14ac:dyDescent="0.25">
      <c r="A605">
        <v>604</v>
      </c>
      <c r="B605" t="str">
        <f>IF(ISERROR(VLOOKUP(E605,Nombres!A:D,2,FALSE)),"PROBLEMAAAAAA",VLOOKUP(E605,Nombres!A:D,2,FALSE))</f>
        <v>Barrios</v>
      </c>
      <c r="C605" t="str">
        <f>IF(ISERROR(VLOOKUP(E605,Nombres!A:D,4,FALSE)),"PROBLEMAAAAAA",VLOOKUP(E605,Nombres!A:D,4,FALSE))</f>
        <v>MED</v>
      </c>
      <c r="D605" t="str">
        <f>IF(ISERROR(VLOOKUP(E605,Nombres!A:D,3,FALSE)),"PROBLEMAAAAAA",VLOOKUP(E605,Nombres!A:D,3,FALSE))</f>
        <v>Atlético</v>
      </c>
      <c r="E605" t="s">
        <v>225</v>
      </c>
      <c r="F605" s="1">
        <v>45921</v>
      </c>
      <c r="G605" t="s">
        <v>13</v>
      </c>
      <c r="H605" t="s">
        <v>9</v>
      </c>
      <c r="I605" s="2">
        <v>44211971</v>
      </c>
    </row>
    <row r="606" spans="1:9" x14ac:dyDescent="0.25">
      <c r="A606">
        <v>605</v>
      </c>
      <c r="B606" t="str">
        <f>IF(ISERROR(VLOOKUP(E606,Nombres!A:D,2,FALSE)),"PROBLEMAAAAAA",VLOOKUP(E606,Nombres!A:D,2,FALSE))</f>
        <v>Bigas</v>
      </c>
      <c r="C606" t="str">
        <f>IF(ISERROR(VLOOKUP(E606,Nombres!A:D,4,FALSE)),"PROBLEMAAAAAA",VLOOKUP(E606,Nombres!A:D,4,FALSE))</f>
        <v>DEF</v>
      </c>
      <c r="D606" t="str">
        <f>IF(ISERROR(VLOOKUP(E606,Nombres!A:D,3,FALSE)),"PROBLEMAAAAAA",VLOOKUP(E606,Nombres!A:D,3,FALSE))</f>
        <v>Elche</v>
      </c>
      <c r="E606" t="s">
        <v>362</v>
      </c>
      <c r="F606" s="1">
        <v>45921</v>
      </c>
      <c r="G606" t="s">
        <v>14</v>
      </c>
      <c r="H606" t="s">
        <v>31</v>
      </c>
      <c r="I606" s="2">
        <v>9255000</v>
      </c>
    </row>
    <row r="607" spans="1:9" x14ac:dyDescent="0.25">
      <c r="A607">
        <v>606</v>
      </c>
      <c r="B607" t="str">
        <f>IF(ISERROR(VLOOKUP(E607,Nombres!A:D,2,FALSE)),"PROBLEMAAAAAA",VLOOKUP(E607,Nombres!A:D,2,FALSE))</f>
        <v>Foyth</v>
      </c>
      <c r="C607" t="str">
        <f>IF(ISERROR(VLOOKUP(E607,Nombres!A:D,4,FALSE)),"PROBLEMAAAAAA",VLOOKUP(E607,Nombres!A:D,4,FALSE))</f>
        <v>DEF</v>
      </c>
      <c r="D607" t="str">
        <f>IF(ISERROR(VLOOKUP(E607,Nombres!A:D,3,FALSE)),"PROBLEMAAAAAA",VLOOKUP(E607,Nombres!A:D,3,FALSE))</f>
        <v>Villarreal</v>
      </c>
      <c r="E607" t="s">
        <v>99</v>
      </c>
      <c r="F607" s="1">
        <v>45921</v>
      </c>
      <c r="G607" t="s">
        <v>31</v>
      </c>
      <c r="H607" t="s">
        <v>7</v>
      </c>
      <c r="I607" s="2">
        <v>24948413</v>
      </c>
    </row>
    <row r="608" spans="1:9" x14ac:dyDescent="0.25">
      <c r="A608">
        <v>607</v>
      </c>
      <c r="B608" t="str">
        <f>IF(ISERROR(VLOOKUP(E608,Nombres!A:D,2,FALSE)),"PROBLEMAAAAAA",VLOOKUP(E608,Nombres!A:D,2,FALSE))</f>
        <v>Isi</v>
      </c>
      <c r="C608" t="str">
        <f>IF(ISERROR(VLOOKUP(E608,Nombres!A:D,4,FALSE)),"PROBLEMAAAAAA",VLOOKUP(E608,Nombres!A:D,4,FALSE))</f>
        <v>DEL</v>
      </c>
      <c r="D608" t="str">
        <f>IF(ISERROR(VLOOKUP(E608,Nombres!A:D,3,FALSE)),"PROBLEMAAAAAA",VLOOKUP(E608,Nombres!A:D,3,FALSE))</f>
        <v>Rayo</v>
      </c>
      <c r="E608" t="s">
        <v>123</v>
      </c>
      <c r="F608" s="1">
        <v>45921</v>
      </c>
      <c r="G608" t="s">
        <v>31</v>
      </c>
      <c r="H608" t="s">
        <v>11</v>
      </c>
      <c r="I608" s="2">
        <v>52525247</v>
      </c>
    </row>
    <row r="609" spans="1:9" x14ac:dyDescent="0.25">
      <c r="A609">
        <v>608</v>
      </c>
      <c r="B609" t="str">
        <f>IF(ISERROR(VLOOKUP(E609,Nombres!A:D,2,FALSE)),"PROBLEMAAAAAA",VLOOKUP(E609,Nombres!A:D,2,FALSE))</f>
        <v>Morlanes</v>
      </c>
      <c r="C609" t="str">
        <f>IF(ISERROR(VLOOKUP(E609,Nombres!A:D,4,FALSE)),"PROBLEMAAAAAA",VLOOKUP(E609,Nombres!A:D,4,FALSE))</f>
        <v>MED</v>
      </c>
      <c r="D609" t="str">
        <f>IF(ISERROR(VLOOKUP(E609,Nombres!A:D,3,FALSE)),"PROBLEMAAAAAA",VLOOKUP(E609,Nombres!A:D,3,FALSE))</f>
        <v>Mallorca</v>
      </c>
      <c r="E609" t="s">
        <v>363</v>
      </c>
      <c r="F609" s="1">
        <v>45921</v>
      </c>
      <c r="G609" t="s">
        <v>12</v>
      </c>
      <c r="H609" t="s">
        <v>31</v>
      </c>
      <c r="I609" s="2">
        <v>1610010</v>
      </c>
    </row>
    <row r="610" spans="1:9" x14ac:dyDescent="0.25">
      <c r="A610">
        <v>609</v>
      </c>
      <c r="B610" t="str">
        <f>IF(ISERROR(VLOOKUP(E610,Nombres!A:D,2,FALSE)),"PROBLEMAAAAAA",VLOOKUP(E610,Nombres!A:D,2,FALSE))</f>
        <v>Muriqi</v>
      </c>
      <c r="C610" t="str">
        <f>IF(ISERROR(VLOOKUP(E610,Nombres!A:D,4,FALSE)),"PROBLEMAAAAAA",VLOOKUP(E610,Nombres!A:D,4,FALSE))</f>
        <v>DEL</v>
      </c>
      <c r="D610" t="str">
        <f>IF(ISERROR(VLOOKUP(E610,Nombres!A:D,3,FALSE)),"PROBLEMAAAAAA",VLOOKUP(E610,Nombres!A:D,3,FALSE))</f>
        <v>Mallorca</v>
      </c>
      <c r="E610" t="s">
        <v>35</v>
      </c>
      <c r="F610" s="1">
        <v>45921</v>
      </c>
      <c r="G610" t="s">
        <v>12</v>
      </c>
      <c r="H610" t="s">
        <v>31</v>
      </c>
      <c r="I610" s="2">
        <v>25610010</v>
      </c>
    </row>
    <row r="611" spans="1:9" x14ac:dyDescent="0.25">
      <c r="A611">
        <v>610</v>
      </c>
      <c r="B611" t="str">
        <f>IF(ISERROR(VLOOKUP(E611,Nombres!A:D,2,FALSE)),"PROBLEMAAAAAA",VLOOKUP(E611,Nombres!A:D,2,FALSE))</f>
        <v>Tchouaméni</v>
      </c>
      <c r="C611" t="str">
        <f>IF(ISERROR(VLOOKUP(E611,Nombres!A:D,4,FALSE)),"PROBLEMAAAAAA",VLOOKUP(E611,Nombres!A:D,4,FALSE))</f>
        <v>MED</v>
      </c>
      <c r="D611" t="str">
        <f>IF(ISERROR(VLOOKUP(E611,Nombres!A:D,3,FALSE)),"PROBLEMAAAAAA",VLOOKUP(E611,Nombres!A:D,3,FALSE))</f>
        <v>Real Madrid</v>
      </c>
      <c r="E611" t="s">
        <v>196</v>
      </c>
      <c r="F611" s="1">
        <v>45921</v>
      </c>
      <c r="G611" t="s">
        <v>7</v>
      </c>
      <c r="H611" t="s">
        <v>31</v>
      </c>
      <c r="I611" s="2">
        <v>60976487</v>
      </c>
    </row>
    <row r="612" spans="1:9" x14ac:dyDescent="0.25">
      <c r="A612">
        <v>611</v>
      </c>
      <c r="B612" t="str">
        <f>IF(ISERROR(VLOOKUP(E612,Nombres!A:D,2,FALSE)),"PROBLEMAAAAAA",VLOOKUP(E612,Nombres!A:D,2,FALSE))</f>
        <v>Alfon</v>
      </c>
      <c r="C612" t="str">
        <f>IF(ISERROR(VLOOKUP(E612,Nombres!A:D,4,FALSE)),"PROBLEMAAAAAA",VLOOKUP(E612,Nombres!A:D,4,FALSE))</f>
        <v>DEL</v>
      </c>
      <c r="D612" t="str">
        <f>IF(ISERROR(VLOOKUP(E612,Nombres!A:D,3,FALSE)),"PROBLEMAAAAAA",VLOOKUP(E612,Nombres!A:D,3,FALSE))</f>
        <v>Sevilla</v>
      </c>
      <c r="E612" t="s">
        <v>329</v>
      </c>
      <c r="F612" s="1">
        <v>45922</v>
      </c>
      <c r="G612" t="s">
        <v>31</v>
      </c>
      <c r="H612" t="s">
        <v>12</v>
      </c>
      <c r="I612" s="2">
        <v>9411449</v>
      </c>
    </row>
    <row r="613" spans="1:9" x14ac:dyDescent="0.25">
      <c r="A613">
        <v>612</v>
      </c>
      <c r="B613" t="str">
        <f>IF(ISERROR(VLOOKUP(E613,Nombres!A:D,2,FALSE)),"PROBLEMAAAAAA",VLOOKUP(E613,Nombres!A:D,2,FALSE))</f>
        <v>Altimira</v>
      </c>
      <c r="C613" t="str">
        <f>IF(ISERROR(VLOOKUP(E613,Nombres!A:D,4,FALSE)),"PROBLEMAAAAAA",VLOOKUP(E613,Nombres!A:D,4,FALSE))</f>
        <v>MED</v>
      </c>
      <c r="D613" t="str">
        <f>IF(ISERROR(VLOOKUP(E613,Nombres!A:D,3,FALSE)),"PROBLEMAAAAAA",VLOOKUP(E613,Nombres!A:D,3,FALSE))</f>
        <v>Betis</v>
      </c>
      <c r="E613" t="s">
        <v>330</v>
      </c>
      <c r="F613" s="1">
        <v>45922</v>
      </c>
      <c r="G613" t="s">
        <v>31</v>
      </c>
      <c r="H613" t="s">
        <v>7</v>
      </c>
      <c r="I613" s="2">
        <v>17194258</v>
      </c>
    </row>
    <row r="614" spans="1:9" x14ac:dyDescent="0.25">
      <c r="A614">
        <v>613</v>
      </c>
      <c r="B614" t="str">
        <f>IF(ISERROR(VLOOKUP(E614,Nombres!A:D,2,FALSE)),"PROBLEMAAAAAA",VLOOKUP(E614,Nombres!A:D,2,FALSE))</f>
        <v>Brais</v>
      </c>
      <c r="C614" t="str">
        <f>IF(ISERROR(VLOOKUP(E614,Nombres!A:D,4,FALSE)),"PROBLEMAAAAAA",VLOOKUP(E614,Nombres!A:D,4,FALSE))</f>
        <v>MED</v>
      </c>
      <c r="D614" t="str">
        <f>IF(ISERROR(VLOOKUP(E614,Nombres!A:D,3,FALSE)),"PROBLEMAAAAAA",VLOOKUP(E614,Nombres!A:D,3,FALSE))</f>
        <v>Real Sociedad</v>
      </c>
      <c r="E614" t="s">
        <v>158</v>
      </c>
      <c r="F614" s="1">
        <v>45922</v>
      </c>
      <c r="G614" t="s">
        <v>12</v>
      </c>
      <c r="H614" t="s">
        <v>31</v>
      </c>
      <c r="I614" s="2">
        <v>21010101</v>
      </c>
    </row>
    <row r="615" spans="1:9" x14ac:dyDescent="0.25">
      <c r="A615">
        <v>614</v>
      </c>
      <c r="B615" t="str">
        <f>IF(ISERROR(VLOOKUP(E615,Nombres!A:D,2,FALSE)),"PROBLEMAAAAAA",VLOOKUP(E615,Nombres!A:D,2,FALSE))</f>
        <v>Dolan</v>
      </c>
      <c r="C615" t="str">
        <f>IF(ISERROR(VLOOKUP(E615,Nombres!A:D,4,FALSE)),"PROBLEMAAAAAA",VLOOKUP(E615,Nombres!A:D,4,FALSE))</f>
        <v>DEL</v>
      </c>
      <c r="D615" t="str">
        <f>IF(ISERROR(VLOOKUP(E615,Nombres!A:D,3,FALSE)),"PROBLEMAAAAAA",VLOOKUP(E615,Nombres!A:D,3,FALSE))</f>
        <v>Espanyol</v>
      </c>
      <c r="E615" t="s">
        <v>295</v>
      </c>
      <c r="F615" s="1">
        <v>45922</v>
      </c>
      <c r="G615" t="s">
        <v>768</v>
      </c>
      <c r="H615" t="s">
        <v>11</v>
      </c>
      <c r="I615" s="2">
        <v>5100000</v>
      </c>
    </row>
    <row r="616" spans="1:9" x14ac:dyDescent="0.25">
      <c r="A616">
        <v>615</v>
      </c>
      <c r="B616" t="str">
        <f>IF(ISERROR(VLOOKUP(E616,Nombres!A:D,2,FALSE)),"PROBLEMAAAAAA",VLOOKUP(E616,Nombres!A:D,2,FALSE))</f>
        <v>Febas</v>
      </c>
      <c r="C616" t="str">
        <f>IF(ISERROR(VLOOKUP(E616,Nombres!A:D,4,FALSE)),"PROBLEMAAAAAA",VLOOKUP(E616,Nombres!A:D,4,FALSE))</f>
        <v>MED</v>
      </c>
      <c r="D616" t="str">
        <f>IF(ISERROR(VLOOKUP(E616,Nombres!A:D,3,FALSE)),"PROBLEMAAAAAA",VLOOKUP(E616,Nombres!A:D,3,FALSE))</f>
        <v>Elche</v>
      </c>
      <c r="E616" t="s">
        <v>216</v>
      </c>
      <c r="F616" s="1">
        <v>45922</v>
      </c>
      <c r="G616" t="s">
        <v>6</v>
      </c>
      <c r="H616" t="s">
        <v>12</v>
      </c>
      <c r="I616" s="2">
        <v>8210100</v>
      </c>
    </row>
    <row r="617" spans="1:9" x14ac:dyDescent="0.25">
      <c r="A617">
        <v>616</v>
      </c>
      <c r="B617" t="str">
        <f>IF(ISERROR(VLOOKUP(E617,Nombres!A:D,2,FALSE)),"PROBLEMAAAAAA",VLOOKUP(E617,Nombres!A:D,2,FALSE))</f>
        <v>Guridi</v>
      </c>
      <c r="C617" t="str">
        <f>IF(ISERROR(VLOOKUP(E617,Nombres!A:D,4,FALSE)),"PROBLEMAAAAAA",VLOOKUP(E617,Nombres!A:D,4,FALSE))</f>
        <v>MED</v>
      </c>
      <c r="D617" t="str">
        <f>IF(ISERROR(VLOOKUP(E617,Nombres!A:D,3,FALSE)),"PROBLEMAAAAAA",VLOOKUP(E617,Nombres!A:D,3,FALSE))</f>
        <v>Alavés</v>
      </c>
      <c r="E617" t="s">
        <v>87</v>
      </c>
      <c r="F617" s="1">
        <v>45922</v>
      </c>
      <c r="G617" t="s">
        <v>7</v>
      </c>
      <c r="H617" t="s">
        <v>6</v>
      </c>
      <c r="I617" s="2">
        <v>2499999</v>
      </c>
    </row>
    <row r="618" spans="1:9" x14ac:dyDescent="0.25">
      <c r="A618">
        <v>617</v>
      </c>
      <c r="B618" t="str">
        <f>IF(ISERROR(VLOOKUP(E618,Nombres!A:D,2,FALSE)),"PROBLEMAAAAAA",VLOOKUP(E618,Nombres!A:D,2,FALSE))</f>
        <v>Moriba</v>
      </c>
      <c r="C618" t="str">
        <f>IF(ISERROR(VLOOKUP(E618,Nombres!A:D,4,FALSE)),"PROBLEMAAAAAA",VLOOKUP(E618,Nombres!A:D,4,FALSE))</f>
        <v>MED</v>
      </c>
      <c r="D618" t="str">
        <f>IF(ISERROR(VLOOKUP(E618,Nombres!A:D,3,FALSE)),"PROBLEMAAAAAA",VLOOKUP(E618,Nombres!A:D,3,FALSE))</f>
        <v>Celta</v>
      </c>
      <c r="E618" t="s">
        <v>300</v>
      </c>
      <c r="F618" s="1">
        <v>45922</v>
      </c>
      <c r="G618" t="s">
        <v>8</v>
      </c>
      <c r="H618" t="s">
        <v>11</v>
      </c>
      <c r="I618" s="2">
        <v>5284286</v>
      </c>
    </row>
    <row r="619" spans="1:9" x14ac:dyDescent="0.25">
      <c r="A619">
        <v>618</v>
      </c>
      <c r="B619" t="str">
        <f>IF(ISERROR(VLOOKUP(E619,Nombres!A:D,2,FALSE)),"PROBLEMAAAAAA",VLOOKUP(E619,Nombres!A:D,2,FALSE))</f>
        <v>Romero</v>
      </c>
      <c r="C619" t="str">
        <f>IF(ISERROR(VLOOKUP(E619,Nombres!A:D,4,FALSE)),"PROBLEMAAAAAA",VLOOKUP(E619,Nombres!A:D,4,FALSE))</f>
        <v>DEL</v>
      </c>
      <c r="D619" t="str">
        <f>IF(ISERROR(VLOOKUP(E619,Nombres!A:D,3,FALSE)),"PROBLEMAAAAAA",VLOOKUP(E619,Nombres!A:D,3,FALSE))</f>
        <v>Sevilla</v>
      </c>
      <c r="E619" t="s">
        <v>187</v>
      </c>
      <c r="F619" s="1">
        <v>45922</v>
      </c>
      <c r="G619" t="s">
        <v>7</v>
      </c>
      <c r="H619" t="s">
        <v>10</v>
      </c>
      <c r="I619" s="2">
        <v>13987987</v>
      </c>
    </row>
    <row r="620" spans="1:9" x14ac:dyDescent="0.25">
      <c r="A620">
        <v>619</v>
      </c>
      <c r="B620" t="str">
        <f>IF(ISERROR(VLOOKUP(E620,Nombres!A:D,2,FALSE)),"PROBLEMAAAAAA",VLOOKUP(E620,Nombres!A:D,2,FALSE))</f>
        <v>Javi Guerra</v>
      </c>
      <c r="C620" t="str">
        <f>IF(ISERROR(VLOOKUP(E620,Nombres!A:D,4,FALSE)),"PROBLEMAAAAAA",VLOOKUP(E620,Nombres!A:D,4,FALSE))</f>
        <v>MED</v>
      </c>
      <c r="D620" t="str">
        <f>IF(ISERROR(VLOOKUP(E620,Nombres!A:D,3,FALSE)),"PROBLEMAAAAAA",VLOOKUP(E620,Nombres!A:D,3,FALSE))</f>
        <v>Valencia</v>
      </c>
      <c r="E620" t="s">
        <v>104</v>
      </c>
      <c r="F620" s="1">
        <v>45922</v>
      </c>
      <c r="G620" t="s">
        <v>11</v>
      </c>
      <c r="H620" t="s">
        <v>7</v>
      </c>
      <c r="I620" s="2">
        <v>33365531</v>
      </c>
    </row>
    <row r="621" spans="1:9" x14ac:dyDescent="0.25">
      <c r="A621">
        <v>620</v>
      </c>
      <c r="B621" t="str">
        <f>IF(ISERROR(VLOOKUP(E621,Nombres!A:D,2,FALSE)),"PROBLEMAAAAAA",VLOOKUP(E621,Nombres!A:D,2,FALSE))</f>
        <v>Liso</v>
      </c>
      <c r="C621" t="str">
        <f>IF(ISERROR(VLOOKUP(E621,Nombres!A:D,4,FALSE)),"PROBLEMAAAAAA",VLOOKUP(E621,Nombres!A:D,4,FALSE))</f>
        <v>DEL</v>
      </c>
      <c r="D621" t="str">
        <f>IF(ISERROR(VLOOKUP(E621,Nombres!A:D,3,FALSE)),"PROBLEMAAAAAA",VLOOKUP(E621,Nombres!A:D,3,FALSE))</f>
        <v>Getafe</v>
      </c>
      <c r="E621" t="s">
        <v>251</v>
      </c>
      <c r="F621" s="1">
        <v>45922</v>
      </c>
      <c r="G621" t="s">
        <v>31</v>
      </c>
      <c r="H621" t="s">
        <v>6</v>
      </c>
      <c r="I621" s="2">
        <v>19679260</v>
      </c>
    </row>
    <row r="622" spans="1:9" x14ac:dyDescent="0.25">
      <c r="A622">
        <v>621</v>
      </c>
      <c r="B622" t="str">
        <f>IF(ISERROR(VLOOKUP(E622,Nombres!A:D,2,FALSE)),"PROBLEMAAAAAA",VLOOKUP(E622,Nombres!A:D,2,FALSE))</f>
        <v>Maffeo</v>
      </c>
      <c r="C622" t="str">
        <f>IF(ISERROR(VLOOKUP(E622,Nombres!A:D,4,FALSE)),"PROBLEMAAAAAA",VLOOKUP(E622,Nombres!A:D,4,FALSE))</f>
        <v>DEF</v>
      </c>
      <c r="D622" t="str">
        <f>IF(ISERROR(VLOOKUP(E622,Nombres!A:D,3,FALSE)),"PROBLEMAAAAAA",VLOOKUP(E622,Nombres!A:D,3,FALSE))</f>
        <v>Mallorca</v>
      </c>
      <c r="E622" t="s">
        <v>364</v>
      </c>
      <c r="F622" s="1">
        <v>45922</v>
      </c>
      <c r="G622" t="s">
        <v>13</v>
      </c>
      <c r="H622" t="s">
        <v>31</v>
      </c>
      <c r="I622" s="2">
        <v>1532929</v>
      </c>
    </row>
    <row r="623" spans="1:9" x14ac:dyDescent="0.25">
      <c r="A623">
        <v>622</v>
      </c>
      <c r="B623" t="str">
        <f>IF(ISERROR(VLOOKUP(E623,Nombres!A:D,2,FALSE)),"PROBLEMAAAAAA",VLOOKUP(E623,Nombres!A:D,2,FALSE))</f>
        <v>Moncayola</v>
      </c>
      <c r="C623" t="str">
        <f>IF(ISERROR(VLOOKUP(E623,Nombres!A:D,4,FALSE)),"PROBLEMAAAAAA",VLOOKUP(E623,Nombres!A:D,4,FALSE))</f>
        <v>MED</v>
      </c>
      <c r="D623" t="str">
        <f>IF(ISERROR(VLOOKUP(E623,Nombres!A:D,3,FALSE)),"PROBLEMAAAAAA",VLOOKUP(E623,Nombres!A:D,3,FALSE))</f>
        <v>Osasuna</v>
      </c>
      <c r="E623" t="s">
        <v>88</v>
      </c>
      <c r="F623" s="1">
        <v>45922</v>
      </c>
      <c r="G623" t="s">
        <v>10</v>
      </c>
      <c r="H623" t="s">
        <v>6</v>
      </c>
      <c r="I623" s="2">
        <v>12007810</v>
      </c>
    </row>
    <row r="624" spans="1:9" x14ac:dyDescent="0.25">
      <c r="A624">
        <v>623</v>
      </c>
      <c r="B624" t="str">
        <f>IF(ISERROR(VLOOKUP(E624,Nombres!A:D,2,FALSE)),"PROBLEMAAAAAA",VLOOKUP(E624,Nombres!A:D,2,FALSE))</f>
        <v>Durán</v>
      </c>
      <c r="C624" t="str">
        <f>IF(ISERROR(VLOOKUP(E624,Nombres!A:D,4,FALSE)),"PROBLEMAAAAAA",VLOOKUP(E624,Nombres!A:D,4,FALSE))</f>
        <v>DEL</v>
      </c>
      <c r="D624" t="str">
        <f>IF(ISERROR(VLOOKUP(E624,Nombres!A:D,3,FALSE)),"PROBLEMAAAAAA",VLOOKUP(E624,Nombres!A:D,3,FALSE))</f>
        <v>Celta</v>
      </c>
      <c r="E624" t="s">
        <v>51</v>
      </c>
      <c r="F624" s="1">
        <v>45922</v>
      </c>
      <c r="G624" t="s">
        <v>7</v>
      </c>
      <c r="H624" t="s">
        <v>768</v>
      </c>
      <c r="I624" s="2">
        <v>1600000</v>
      </c>
    </row>
    <row r="625" spans="1:9" x14ac:dyDescent="0.25">
      <c r="A625">
        <v>624</v>
      </c>
      <c r="B625" t="str">
        <f>IF(ISERROR(VLOOKUP(E625,Nombres!A:D,2,FALSE)),"PROBLEMAAAAAA",VLOOKUP(E625,Nombres!A:D,2,FALSE))</f>
        <v>Paredes</v>
      </c>
      <c r="C625" t="str">
        <f>IF(ISERROR(VLOOKUP(E625,Nombres!A:D,4,FALSE)),"PROBLEMAAAAAA",VLOOKUP(E625,Nombres!A:D,4,FALSE))</f>
        <v>DEF</v>
      </c>
      <c r="D625" t="str">
        <f>IF(ISERROR(VLOOKUP(E625,Nombres!A:D,3,FALSE)),"PROBLEMAAAAAA",VLOOKUP(E625,Nombres!A:D,3,FALSE))</f>
        <v>Athletic</v>
      </c>
      <c r="E625" t="s">
        <v>43</v>
      </c>
      <c r="F625" s="1">
        <v>45922</v>
      </c>
      <c r="G625" t="s">
        <v>11</v>
      </c>
      <c r="H625" t="s">
        <v>6</v>
      </c>
      <c r="I625" s="2">
        <v>31497526</v>
      </c>
    </row>
    <row r="626" spans="1:9" x14ac:dyDescent="0.25">
      <c r="A626">
        <v>625</v>
      </c>
      <c r="B626" t="str">
        <f>IF(ISERROR(VLOOKUP(E626,Nombres!A:D,2,FALSE)),"PROBLEMAAAAAA",VLOOKUP(E626,Nombres!A:D,2,FALSE))</f>
        <v>Pathé Ciss</v>
      </c>
      <c r="C626" t="str">
        <f>IF(ISERROR(VLOOKUP(E626,Nombres!A:D,4,FALSE)),"PROBLEMAAAAAA",VLOOKUP(E626,Nombres!A:D,4,FALSE))</f>
        <v>MED</v>
      </c>
      <c r="D626" t="str">
        <f>IF(ISERROR(VLOOKUP(E626,Nombres!A:D,3,FALSE)),"PROBLEMAAAAAA",VLOOKUP(E626,Nombres!A:D,3,FALSE))</f>
        <v>Rayo</v>
      </c>
      <c r="E626" t="s">
        <v>231</v>
      </c>
      <c r="F626" s="1">
        <v>45922</v>
      </c>
      <c r="G626" t="s">
        <v>8</v>
      </c>
      <c r="H626" t="s">
        <v>7</v>
      </c>
      <c r="I626" s="2">
        <v>11000010</v>
      </c>
    </row>
    <row r="627" spans="1:9" x14ac:dyDescent="0.25">
      <c r="A627">
        <v>626</v>
      </c>
      <c r="B627" t="str">
        <f>IF(ISERROR(VLOOKUP(E627,Nombres!A:D,2,FALSE)),"PROBLEMAAAAAA",VLOOKUP(E627,Nombres!A:D,2,FALSE))</f>
        <v>Lozano</v>
      </c>
      <c r="C627" t="str">
        <f>IF(ISERROR(VLOOKUP(E627,Nombres!A:D,4,FALSE)),"PROBLEMAAAAAA",VLOOKUP(E627,Nombres!A:D,4,FALSE))</f>
        <v>MED</v>
      </c>
      <c r="D627" t="str">
        <f>IF(ISERROR(VLOOKUP(E627,Nombres!A:D,3,FALSE)),"PROBLEMAAAAAA",VLOOKUP(E627,Nombres!A:D,3,FALSE))</f>
        <v>Espanyol</v>
      </c>
      <c r="E627" t="s">
        <v>218</v>
      </c>
      <c r="F627" s="1">
        <v>45922</v>
      </c>
      <c r="G627" t="s">
        <v>6</v>
      </c>
      <c r="H627" t="s">
        <v>11</v>
      </c>
      <c r="I627" s="2">
        <v>3210000</v>
      </c>
    </row>
    <row r="628" spans="1:9" x14ac:dyDescent="0.25">
      <c r="A628">
        <v>627</v>
      </c>
      <c r="B628" t="str">
        <f>IF(ISERROR(VLOOKUP(E628,Nombres!A:D,2,FALSE)),"PROBLEMAAAAAA",VLOOKUP(E628,Nombres!A:D,2,FALSE))</f>
        <v>Rosier</v>
      </c>
      <c r="C628" t="str">
        <f>IF(ISERROR(VLOOKUP(E628,Nombres!A:D,4,FALSE)),"PROBLEMAAAAAA",VLOOKUP(E628,Nombres!A:D,4,FALSE))</f>
        <v>DEF</v>
      </c>
      <c r="D628" t="str">
        <f>IF(ISERROR(VLOOKUP(E628,Nombres!A:D,3,FALSE)),"PROBLEMAAAAAA",VLOOKUP(E628,Nombres!A:D,3,FALSE))</f>
        <v>Osasuna</v>
      </c>
      <c r="E628" t="s">
        <v>240</v>
      </c>
      <c r="F628" s="1">
        <v>45922</v>
      </c>
      <c r="G628" t="s">
        <v>31</v>
      </c>
      <c r="H628" t="s">
        <v>13</v>
      </c>
      <c r="I628" s="2">
        <v>23160593</v>
      </c>
    </row>
    <row r="629" spans="1:9" x14ac:dyDescent="0.25">
      <c r="A629">
        <v>628</v>
      </c>
      <c r="B629" t="str">
        <f>IF(ISERROR(VLOOKUP(E629,Nombres!A:D,2,FALSE)),"PROBLEMAAAAAA",VLOOKUP(E629,Nombres!A:D,2,FALSE))</f>
        <v>Alvarez</v>
      </c>
      <c r="C629" t="str">
        <f>IF(ISERROR(VLOOKUP(E629,Nombres!A:D,4,FALSE)),"PROBLEMAAAAAA",VLOOKUP(E629,Nombres!A:D,4,FALSE))</f>
        <v>DEL</v>
      </c>
      <c r="D629" t="str">
        <f>IF(ISERROR(VLOOKUP(E629,Nombres!A:D,3,FALSE)),"PROBLEMAAAAAA",VLOOKUP(E629,Nombres!A:D,3,FALSE))</f>
        <v>Atlético</v>
      </c>
      <c r="E629" t="s">
        <v>257</v>
      </c>
      <c r="F629" s="1">
        <v>45923</v>
      </c>
      <c r="G629" t="s">
        <v>11</v>
      </c>
      <c r="H629" t="s">
        <v>31</v>
      </c>
      <c r="I629" s="2">
        <v>77951254</v>
      </c>
    </row>
    <row r="630" spans="1:9" x14ac:dyDescent="0.25">
      <c r="A630">
        <v>629</v>
      </c>
      <c r="B630" t="str">
        <f>IF(ISERROR(VLOOKUP(E630,Nombres!A:D,2,FALSE)),"PROBLEMAAAAAA",VLOOKUP(E630,Nombres!A:D,2,FALSE))</f>
        <v>Bellingham</v>
      </c>
      <c r="C630" t="str">
        <f>IF(ISERROR(VLOOKUP(E630,Nombres!A:D,4,FALSE)),"PROBLEMAAAAAA",VLOOKUP(E630,Nombres!A:D,4,FALSE))</f>
        <v>MED</v>
      </c>
      <c r="D630" t="str">
        <f>IF(ISERROR(VLOOKUP(E630,Nombres!A:D,3,FALSE)),"PROBLEMAAAAAA",VLOOKUP(E630,Nombres!A:D,3,FALSE))</f>
        <v>Real Madrid</v>
      </c>
      <c r="E630" t="s">
        <v>425</v>
      </c>
      <c r="F630" s="1">
        <v>45923</v>
      </c>
      <c r="G630" t="s">
        <v>7</v>
      </c>
      <c r="H630" t="s">
        <v>31</v>
      </c>
      <c r="I630" s="2">
        <v>78247575</v>
      </c>
    </row>
    <row r="631" spans="1:9" x14ac:dyDescent="0.25">
      <c r="A631">
        <v>630</v>
      </c>
      <c r="B631" t="str">
        <f>IF(ISERROR(VLOOKUP(E631,Nombres!A:D,2,FALSE)),"PROBLEMAAAAAA",VLOOKUP(E631,Nombres!A:D,2,FALSE))</f>
        <v>Calvo</v>
      </c>
      <c r="C631" t="str">
        <f>IF(ISERROR(VLOOKUP(E631,Nombres!A:D,4,FALSE)),"PROBLEMAAAAAA",VLOOKUP(E631,Nombres!A:D,4,FALSE))</f>
        <v>DEF</v>
      </c>
      <c r="D631" t="str">
        <f>IF(ISERROR(VLOOKUP(E631,Nombres!A:D,3,FALSE)),"PROBLEMAAAAAA",VLOOKUP(E631,Nombres!A:D,3,FALSE))</f>
        <v>Real Oviedo</v>
      </c>
      <c r="E631" t="s">
        <v>427</v>
      </c>
      <c r="F631" s="1">
        <v>45923</v>
      </c>
      <c r="G631" t="s">
        <v>31</v>
      </c>
      <c r="H631" t="s">
        <v>14</v>
      </c>
      <c r="I631" s="2">
        <v>1557616</v>
      </c>
    </row>
    <row r="632" spans="1:9" x14ac:dyDescent="0.25">
      <c r="A632">
        <v>631</v>
      </c>
      <c r="B632" t="str">
        <f>IF(ISERROR(VLOOKUP(E632,Nombres!A:D,2,FALSE)),"PROBLEMAAAAAA",VLOOKUP(E632,Nombres!A:D,2,FALSE))</f>
        <v>Fermín</v>
      </c>
      <c r="C632" t="str">
        <f>IF(ISERROR(VLOOKUP(E632,Nombres!A:D,4,FALSE)),"PROBLEMAAAAAA",VLOOKUP(E632,Nombres!A:D,4,FALSE))</f>
        <v>MED</v>
      </c>
      <c r="D632" t="str">
        <f>IF(ISERROR(VLOOKUP(E632,Nombres!A:D,3,FALSE)),"PROBLEMAAAAAA",VLOOKUP(E632,Nombres!A:D,3,FALSE))</f>
        <v>Barcelona</v>
      </c>
      <c r="E632" t="s">
        <v>184</v>
      </c>
      <c r="F632" s="1">
        <v>45923</v>
      </c>
      <c r="G632" t="s">
        <v>31</v>
      </c>
      <c r="H632" t="s">
        <v>11</v>
      </c>
      <c r="I632" s="2">
        <v>23476127</v>
      </c>
    </row>
    <row r="633" spans="1:9" x14ac:dyDescent="0.25">
      <c r="A633">
        <v>632</v>
      </c>
      <c r="B633" t="str">
        <f>IF(ISERROR(VLOOKUP(E633,Nombres!A:D,2,FALSE)),"PROBLEMAAAAAA",VLOOKUP(E633,Nombres!A:D,2,FALSE))</f>
        <v>Kumbulla</v>
      </c>
      <c r="C633" t="str">
        <f>IF(ISERROR(VLOOKUP(E633,Nombres!A:D,4,FALSE)),"PROBLEMAAAAAA",VLOOKUP(E633,Nombres!A:D,4,FALSE))</f>
        <v>DEF</v>
      </c>
      <c r="D633" t="str">
        <f>IF(ISERROR(VLOOKUP(E633,Nombres!A:D,3,FALSE)),"PROBLEMAAAAAA",VLOOKUP(E633,Nombres!A:D,3,FALSE))</f>
        <v>Mallorca</v>
      </c>
      <c r="E633" t="s">
        <v>269</v>
      </c>
      <c r="F633" s="1">
        <v>45923</v>
      </c>
      <c r="G633" t="s">
        <v>31</v>
      </c>
      <c r="H633" t="s">
        <v>10</v>
      </c>
      <c r="I633" s="2">
        <v>1642900</v>
      </c>
    </row>
    <row r="634" spans="1:9" x14ac:dyDescent="0.25">
      <c r="A634">
        <v>633</v>
      </c>
      <c r="B634" t="str">
        <f>IF(ISERROR(VLOOKUP(E634,Nombres!A:D,2,FALSE)),"PROBLEMAAAAAA",VLOOKUP(E634,Nombres!A:D,2,FALSE))</f>
        <v>D. Llorente</v>
      </c>
      <c r="C634" t="str">
        <f>IF(ISERROR(VLOOKUP(E634,Nombres!A:D,4,FALSE)),"PROBLEMAAAAAA",VLOOKUP(E634,Nombres!A:D,4,FALSE))</f>
        <v>DEF</v>
      </c>
      <c r="D634" t="str">
        <f>IF(ISERROR(VLOOKUP(E634,Nombres!A:D,3,FALSE)),"PROBLEMAAAAAA",VLOOKUP(E634,Nombres!A:D,3,FALSE))</f>
        <v>Betis</v>
      </c>
      <c r="E634" t="s">
        <v>83</v>
      </c>
      <c r="F634" s="1">
        <v>45923</v>
      </c>
      <c r="G634" t="s">
        <v>31</v>
      </c>
      <c r="H634" t="s">
        <v>13</v>
      </c>
      <c r="I634" s="2">
        <v>2960237</v>
      </c>
    </row>
    <row r="635" spans="1:9" x14ac:dyDescent="0.25">
      <c r="A635">
        <v>634</v>
      </c>
      <c r="B635" t="str">
        <f>IF(ISERROR(VLOOKUP(E635,Nombres!A:D,2,FALSE)),"PROBLEMAAAAAA",VLOOKUP(E635,Nombres!A:D,2,FALSE))</f>
        <v>Pere Milla</v>
      </c>
      <c r="C635" t="str">
        <f>IF(ISERROR(VLOOKUP(E635,Nombres!A:D,4,FALSE)),"PROBLEMAAAAAA",VLOOKUP(E635,Nombres!A:D,4,FALSE))</f>
        <v>DEL</v>
      </c>
      <c r="D635" t="str">
        <f>IF(ISERROR(VLOOKUP(E635,Nombres!A:D,3,FALSE)),"PROBLEMAAAAAA",VLOOKUP(E635,Nombres!A:D,3,FALSE))</f>
        <v>Espanyol</v>
      </c>
      <c r="E635" t="s">
        <v>426</v>
      </c>
      <c r="F635" s="1">
        <v>45923</v>
      </c>
      <c r="G635" t="s">
        <v>10</v>
      </c>
      <c r="H635" t="s">
        <v>31</v>
      </c>
      <c r="I635" s="2">
        <v>10022080</v>
      </c>
    </row>
    <row r="636" spans="1:9" x14ac:dyDescent="0.25">
      <c r="A636">
        <v>409</v>
      </c>
      <c r="B636" t="str">
        <f>IF(ISERROR(VLOOKUP(E636,Nombres!A:D,2,FALSE)),"PROBLEMAAAAAA",VLOOKUP(E636,Nombres!A:D,2,FALSE))</f>
        <v>Rosier</v>
      </c>
      <c r="C636" t="str">
        <f>IF(ISERROR(VLOOKUP(E636,Nombres!A:D,4,FALSE)),"PROBLEMAAAAAA",VLOOKUP(E636,Nombres!A:D,4,FALSE))</f>
        <v>DEF</v>
      </c>
      <c r="D636" t="str">
        <f>IF(ISERROR(VLOOKUP(E636,Nombres!A:D,3,FALSE)),"PROBLEMAAAAAA",VLOOKUP(E636,Nombres!A:D,3,FALSE))</f>
        <v>Osasuna</v>
      </c>
      <c r="E636" t="s">
        <v>240</v>
      </c>
      <c r="F636" s="1">
        <v>45900</v>
      </c>
      <c r="G636" t="s">
        <v>12</v>
      </c>
      <c r="H636" t="s">
        <v>13</v>
      </c>
      <c r="I636" s="2">
        <v>15838779</v>
      </c>
    </row>
    <row r="637" spans="1:9" x14ac:dyDescent="0.25">
      <c r="A637">
        <v>636</v>
      </c>
      <c r="B637" t="str">
        <f>IF(ISERROR(VLOOKUP(E637,Nombres!A:D,2,FALSE)),"PROBLEMAAAAAA",VLOOKUP(E637,Nombres!A:D,2,FALSE))</f>
        <v>Viñas</v>
      </c>
      <c r="C637" t="str">
        <f>IF(ISERROR(VLOOKUP(E637,Nombres!A:D,4,FALSE)),"PROBLEMAAAAAA",VLOOKUP(E637,Nombres!A:D,4,FALSE))</f>
        <v>DEL</v>
      </c>
      <c r="D637" t="str">
        <f>IF(ISERROR(VLOOKUP(E637,Nombres!A:D,3,FALSE)),"PROBLEMAAAAAA",VLOOKUP(E637,Nombres!A:D,3,FALSE))</f>
        <v>Real Oviedo</v>
      </c>
      <c r="E637" t="s">
        <v>261</v>
      </c>
      <c r="F637" s="1">
        <v>45923</v>
      </c>
      <c r="G637" t="s">
        <v>31</v>
      </c>
      <c r="H637" t="s">
        <v>8</v>
      </c>
      <c r="I637" s="2">
        <v>1434106</v>
      </c>
    </row>
    <row r="638" spans="1:9" x14ac:dyDescent="0.25">
      <c r="A638">
        <v>637</v>
      </c>
      <c r="B638" t="str">
        <f>IF(ISERROR(VLOOKUP(E638,Nombres!A:D,2,FALSE)),"PROBLEMAAAAAA",VLOOKUP(E638,Nombres!A:D,2,FALSE))</f>
        <v>Aarón</v>
      </c>
      <c r="C638" t="str">
        <f>IF(ISERROR(VLOOKUP(E638,Nombres!A:D,4,FALSE)),"PROBLEMAAAAAA",VLOOKUP(E638,Nombres!A:D,4,FALSE))</f>
        <v>POR</v>
      </c>
      <c r="D638" t="str">
        <f>IF(ISERROR(VLOOKUP(E638,Nombres!A:D,3,FALSE)),"PROBLEMAAAAAA",VLOOKUP(E638,Nombres!A:D,3,FALSE))</f>
        <v>Real Oviedo</v>
      </c>
      <c r="E638" t="s">
        <v>429</v>
      </c>
      <c r="F638" s="1">
        <v>45924</v>
      </c>
      <c r="G638" t="s">
        <v>10</v>
      </c>
      <c r="H638" t="s">
        <v>31</v>
      </c>
      <c r="I638" s="2">
        <v>22874548</v>
      </c>
    </row>
    <row r="639" spans="1:9" x14ac:dyDescent="0.25">
      <c r="A639">
        <v>638</v>
      </c>
      <c r="B639" t="str">
        <f>IF(ISERROR(VLOOKUP(E639,Nombres!A:D,2,FALSE)),"PROBLEMAAAAAA",VLOOKUP(E639,Nombres!A:D,2,FALSE))</f>
        <v>Álvaro García</v>
      </c>
      <c r="C639" t="str">
        <f>IF(ISERROR(VLOOKUP(E639,Nombres!A:D,4,FALSE)),"PROBLEMAAAAAA",VLOOKUP(E639,Nombres!A:D,4,FALSE))</f>
        <v>MED</v>
      </c>
      <c r="D639" t="str">
        <f>IF(ISERROR(VLOOKUP(E639,Nombres!A:D,3,FALSE)),"PROBLEMAAAAAA",VLOOKUP(E639,Nombres!A:D,3,FALSE))</f>
        <v>Rayo</v>
      </c>
      <c r="E639" t="s">
        <v>60</v>
      </c>
      <c r="F639" s="1">
        <v>45924</v>
      </c>
      <c r="G639" t="s">
        <v>13</v>
      </c>
      <c r="H639" t="s">
        <v>14</v>
      </c>
      <c r="I639" s="2">
        <v>28000101</v>
      </c>
    </row>
    <row r="640" spans="1:9" x14ac:dyDescent="0.25">
      <c r="A640">
        <v>639</v>
      </c>
      <c r="B640" t="str">
        <f>IF(ISERROR(VLOOKUP(E640,Nombres!A:D,2,FALSE)),"PROBLEMAAAAAA",VLOOKUP(E640,Nombres!A:D,2,FALSE))</f>
        <v>Barrenetxea</v>
      </c>
      <c r="C640" t="str">
        <f>IF(ISERROR(VLOOKUP(E640,Nombres!A:D,4,FALSE)),"PROBLEMAAAAAA",VLOOKUP(E640,Nombres!A:D,4,FALSE))</f>
        <v>MED</v>
      </c>
      <c r="D640" t="str">
        <f>IF(ISERROR(VLOOKUP(E640,Nombres!A:D,3,FALSE)),"PROBLEMAAAAAA",VLOOKUP(E640,Nombres!A:D,3,FALSE))</f>
        <v>Real Sociedad</v>
      </c>
      <c r="E640" t="s">
        <v>47</v>
      </c>
      <c r="F640" s="1">
        <v>45924</v>
      </c>
      <c r="G640" t="s">
        <v>6</v>
      </c>
      <c r="H640" t="s">
        <v>768</v>
      </c>
      <c r="I640" s="2">
        <v>19369067</v>
      </c>
    </row>
    <row r="641" spans="1:9" x14ac:dyDescent="0.25">
      <c r="A641">
        <v>640</v>
      </c>
      <c r="B641" t="str">
        <f>IF(ISERROR(VLOOKUP(E641,Nombres!A:D,2,FALSE)),"PROBLEMAAAAAA",VLOOKUP(E641,Nombres!A:D,2,FALSE))</f>
        <v>A. Christensen</v>
      </c>
      <c r="C641" t="str">
        <f>IF(ISERROR(VLOOKUP(E641,Nombres!A:D,4,FALSE)),"PROBLEMAAAAAA",VLOOKUP(E641,Nombres!A:D,4,FALSE))</f>
        <v>DEF</v>
      </c>
      <c r="D641" t="str">
        <f>IF(ISERROR(VLOOKUP(E641,Nombres!A:D,3,FALSE)),"PROBLEMAAAAAA",VLOOKUP(E641,Nombres!A:D,3,FALSE))</f>
        <v>Barcelona</v>
      </c>
      <c r="E641" t="s">
        <v>151</v>
      </c>
      <c r="F641" s="1">
        <v>45924</v>
      </c>
      <c r="G641" t="s">
        <v>7</v>
      </c>
      <c r="H641" t="s">
        <v>31</v>
      </c>
      <c r="I641" s="2">
        <v>4110892</v>
      </c>
    </row>
    <row r="642" spans="1:9" x14ac:dyDescent="0.25">
      <c r="A642">
        <v>641</v>
      </c>
      <c r="B642" t="str">
        <f>IF(ISERROR(VLOOKUP(E642,Nombres!A:D,2,FALSE)),"PROBLEMAAAAAA",VLOOKUP(E642,Nombres!A:D,2,FALSE))</f>
        <v>Giuliano</v>
      </c>
      <c r="C642" t="str">
        <f>IF(ISERROR(VLOOKUP(E642,Nombres!A:D,4,FALSE)),"PROBLEMAAAAAA",VLOOKUP(E642,Nombres!A:D,4,FALSE))</f>
        <v>DEL</v>
      </c>
      <c r="D642" t="str">
        <f>IF(ISERROR(VLOOKUP(E642,Nombres!A:D,3,FALSE)),"PROBLEMAAAAAA",VLOOKUP(E642,Nombres!A:D,3,FALSE))</f>
        <v>Atlético</v>
      </c>
      <c r="E642" t="s">
        <v>303</v>
      </c>
      <c r="F642" s="1">
        <v>45924</v>
      </c>
      <c r="G642" t="s">
        <v>31</v>
      </c>
      <c r="H642" t="s">
        <v>7</v>
      </c>
      <c r="I642" s="2">
        <v>43671924</v>
      </c>
    </row>
    <row r="643" spans="1:9" x14ac:dyDescent="0.25">
      <c r="A643">
        <v>642</v>
      </c>
      <c r="B643" t="str">
        <f>IF(ISERROR(VLOOKUP(E643,Nombres!A:D,2,FALSE)),"PROBLEMAAAAAA",VLOOKUP(E643,Nombres!A:D,2,FALSE))</f>
        <v>Huijsen</v>
      </c>
      <c r="C643" t="str">
        <f>IF(ISERROR(VLOOKUP(E643,Nombres!A:D,4,FALSE)),"PROBLEMAAAAAA",VLOOKUP(E643,Nombres!A:D,4,FALSE))</f>
        <v>DEF</v>
      </c>
      <c r="D643" t="str">
        <f>IF(ISERROR(VLOOKUP(E643,Nombres!A:D,3,FALSE)),"PROBLEMAAAAAA",VLOOKUP(E643,Nombres!A:D,3,FALSE))</f>
        <v>Real Madrid</v>
      </c>
      <c r="E643" t="s">
        <v>428</v>
      </c>
      <c r="F643" s="1">
        <v>45924</v>
      </c>
      <c r="G643" t="s">
        <v>10</v>
      </c>
      <c r="H643" t="s">
        <v>31</v>
      </c>
      <c r="I643" s="2">
        <v>86545402</v>
      </c>
    </row>
    <row r="644" spans="1:9" x14ac:dyDescent="0.25">
      <c r="A644">
        <v>643</v>
      </c>
      <c r="B644" t="str">
        <f>IF(ISERROR(VLOOKUP(E644,Nombres!A:D,2,FALSE)),"PROBLEMAAAAAA",VLOOKUP(E644,Nombres!A:D,2,FALSE))</f>
        <v>Mikautadze</v>
      </c>
      <c r="C644" t="str">
        <f>IF(ISERROR(VLOOKUP(E644,Nombres!A:D,4,FALSE)),"PROBLEMAAAAAA",VLOOKUP(E644,Nombres!A:D,4,FALSE))</f>
        <v>DEL</v>
      </c>
      <c r="D644" t="str">
        <f>IF(ISERROR(VLOOKUP(E644,Nombres!A:D,3,FALSE)),"PROBLEMAAAAAA",VLOOKUP(E644,Nombres!A:D,3,FALSE))</f>
        <v>Villarreal</v>
      </c>
      <c r="E644" t="s">
        <v>308</v>
      </c>
      <c r="F644" s="1">
        <v>45924</v>
      </c>
      <c r="G644" t="s">
        <v>12</v>
      </c>
      <c r="H644" t="s">
        <v>11</v>
      </c>
      <c r="I644" s="2">
        <v>35100000</v>
      </c>
    </row>
    <row r="645" spans="1:9" x14ac:dyDescent="0.25">
      <c r="A645">
        <v>644</v>
      </c>
      <c r="B645" t="str">
        <f>IF(ISERROR(VLOOKUP(E645,Nombres!A:D,2,FALSE)),"PROBLEMAAAAAA",VLOOKUP(E645,Nombres!A:D,2,FALSE))</f>
        <v>Navarro</v>
      </c>
      <c r="C645" t="str">
        <f>IF(ISERROR(VLOOKUP(E645,Nombres!A:D,4,FALSE)),"PROBLEMAAAAAA",VLOOKUP(E645,Nombres!A:D,4,FALSE))</f>
        <v>MED</v>
      </c>
      <c r="D645" t="str">
        <f>IF(ISERROR(VLOOKUP(E645,Nombres!A:D,3,FALSE)),"PROBLEMAAAAAA",VLOOKUP(E645,Nombres!A:D,3,FALSE))</f>
        <v>Athletic</v>
      </c>
      <c r="E645" t="s">
        <v>230</v>
      </c>
      <c r="F645" s="1">
        <v>45924</v>
      </c>
      <c r="G645" t="s">
        <v>31</v>
      </c>
      <c r="H645" t="s">
        <v>7</v>
      </c>
      <c r="I645" s="2">
        <v>3268820</v>
      </c>
    </row>
    <row r="646" spans="1:9" x14ac:dyDescent="0.25">
      <c r="A646">
        <v>645</v>
      </c>
      <c r="B646" t="str">
        <f>IF(ISERROR(VLOOKUP(E646,Nombres!A:D,2,FALSE)),"PROBLEMAAAAAA",VLOOKUP(E646,Nombres!A:D,2,FALSE))</f>
        <v>P. Gueye</v>
      </c>
      <c r="C646" t="str">
        <f>IF(ISERROR(VLOOKUP(E646,Nombres!A:D,4,FALSE)),"PROBLEMAAAAAA",VLOOKUP(E646,Nombres!A:D,4,FALSE))</f>
        <v>MED</v>
      </c>
      <c r="D646" t="str">
        <f>IF(ISERROR(VLOOKUP(E646,Nombres!A:D,3,FALSE)),"PROBLEMAAAAAA",VLOOKUP(E646,Nombres!A:D,3,FALSE))</f>
        <v>Villarreal</v>
      </c>
      <c r="E646" t="s">
        <v>45</v>
      </c>
      <c r="F646" s="1">
        <v>45924</v>
      </c>
      <c r="G646" t="s">
        <v>13</v>
      </c>
      <c r="H646" t="s">
        <v>768</v>
      </c>
      <c r="I646" s="2">
        <v>36878878</v>
      </c>
    </row>
    <row r="647" spans="1:9" x14ac:dyDescent="0.25">
      <c r="A647">
        <v>646</v>
      </c>
      <c r="B647" t="str">
        <f>IF(ISERROR(VLOOKUP(E647,Nombres!A:D,2,FALSE)),"PROBLEMAAAAAA",VLOOKUP(E647,Nombres!A:D,2,FALSE))</f>
        <v>Pep Chavarría</v>
      </c>
      <c r="C647" t="str">
        <f>IF(ISERROR(VLOOKUP(E647,Nombres!A:D,4,FALSE)),"PROBLEMAAAAAA",VLOOKUP(E647,Nombres!A:D,4,FALSE))</f>
        <v>DEF</v>
      </c>
      <c r="D647" t="str">
        <f>IF(ISERROR(VLOOKUP(E647,Nombres!A:D,3,FALSE)),"PROBLEMAAAAAA",VLOOKUP(E647,Nombres!A:D,3,FALSE))</f>
        <v>Rayo</v>
      </c>
      <c r="E647" t="s">
        <v>226</v>
      </c>
      <c r="F647" s="1">
        <v>45924</v>
      </c>
      <c r="G647" t="s">
        <v>768</v>
      </c>
      <c r="H647" t="s">
        <v>11</v>
      </c>
      <c r="I647" s="2">
        <v>5100010</v>
      </c>
    </row>
    <row r="648" spans="1:9" x14ac:dyDescent="0.25">
      <c r="A648">
        <v>647</v>
      </c>
      <c r="B648" t="str">
        <f>IF(ISERROR(VLOOKUP(E648,Nombres!A:D,2,FALSE)),"PROBLEMAAAAAA",VLOOKUP(E648,Nombres!A:D,2,FALSE))</f>
        <v>Rioja</v>
      </c>
      <c r="C648" t="str">
        <f>IF(ISERROR(VLOOKUP(E648,Nombres!A:D,4,FALSE)),"PROBLEMAAAAAA",VLOOKUP(E648,Nombres!A:D,4,FALSE))</f>
        <v>MED</v>
      </c>
      <c r="D648" t="str">
        <f>IF(ISERROR(VLOOKUP(E648,Nombres!A:D,3,FALSE)),"PROBLEMAAAAAA",VLOOKUP(E648,Nombres!A:D,3,FALSE))</f>
        <v>Valencia</v>
      </c>
      <c r="E648" t="s">
        <v>101</v>
      </c>
      <c r="F648" s="1">
        <v>45924</v>
      </c>
      <c r="G648" t="s">
        <v>31</v>
      </c>
      <c r="H648" t="s">
        <v>7</v>
      </c>
      <c r="I648" s="2">
        <v>17832782</v>
      </c>
    </row>
    <row r="649" spans="1:9" x14ac:dyDescent="0.25">
      <c r="A649">
        <v>648</v>
      </c>
      <c r="B649" t="str">
        <f>IF(ISERROR(VLOOKUP(E649,Nombres!A:D,2,FALSE)),"PROBLEMAAAAAA",VLOOKUP(E649,Nombres!A:D,2,FALSE))</f>
        <v>Veiga</v>
      </c>
      <c r="C649" t="str">
        <f>IF(ISERROR(VLOOKUP(E649,Nombres!A:D,4,FALSE)),"PROBLEMAAAAAA",VLOOKUP(E649,Nombres!A:D,4,FALSE))</f>
        <v>DEF</v>
      </c>
      <c r="D649" t="str">
        <f>IF(ISERROR(VLOOKUP(E649,Nombres!A:D,3,FALSE)),"PROBLEMAAAAAA",VLOOKUP(E649,Nombres!A:D,3,FALSE))</f>
        <v>Villarreal</v>
      </c>
      <c r="E649" t="s">
        <v>430</v>
      </c>
      <c r="F649" s="1">
        <v>45924</v>
      </c>
      <c r="G649" t="s">
        <v>6</v>
      </c>
      <c r="H649" t="s">
        <v>31</v>
      </c>
      <c r="I649" s="2">
        <v>16128445</v>
      </c>
    </row>
    <row r="650" spans="1:9" x14ac:dyDescent="0.25">
      <c r="A650">
        <v>649</v>
      </c>
      <c r="B650" t="str">
        <f>IF(ISERROR(VLOOKUP(E650,Nombres!A:D,2,FALSE)),"PROBLEMAAAAAA",VLOOKUP(E650,Nombres!A:D,2,FALSE))</f>
        <v>Vertrouwd</v>
      </c>
      <c r="C650" t="str">
        <f>IF(ISERROR(VLOOKUP(E650,Nombres!A:D,4,FALSE)),"PROBLEMAAAAAA",VLOOKUP(E650,Nombres!A:D,4,FALSE))</f>
        <v>DEF</v>
      </c>
      <c r="D650" t="str">
        <f>IF(ISERROR(VLOOKUP(E650,Nombres!A:D,3,FALSE)),"PROBLEMAAAAAA",VLOOKUP(E650,Nombres!A:D,3,FALSE))</f>
        <v>Rayo</v>
      </c>
      <c r="E650" t="s">
        <v>431</v>
      </c>
      <c r="F650" s="1">
        <v>45924</v>
      </c>
      <c r="G650" t="s">
        <v>6</v>
      </c>
      <c r="H650" t="s">
        <v>31</v>
      </c>
      <c r="I650" s="2">
        <v>625059</v>
      </c>
    </row>
    <row r="651" spans="1:9" x14ac:dyDescent="0.25">
      <c r="A651">
        <v>650</v>
      </c>
      <c r="B651" t="str">
        <f>IF(ISERROR(VLOOKUP(E651,Nombres!A:D,2,FALSE)),"PROBLEMAAAAAA",VLOOKUP(E651,Nombres!A:D,2,FALSE))</f>
        <v>Yuri</v>
      </c>
      <c r="C651" t="str">
        <f>IF(ISERROR(VLOOKUP(E651,Nombres!A:D,4,FALSE)),"PROBLEMAAAAAA",VLOOKUP(E651,Nombres!A:D,4,FALSE))</f>
        <v>DEF</v>
      </c>
      <c r="D651" t="str">
        <f>IF(ISERROR(VLOOKUP(E651,Nombres!A:D,3,FALSE)),"PROBLEMAAAAAA",VLOOKUP(E651,Nombres!A:D,3,FALSE))</f>
        <v>Athletic</v>
      </c>
      <c r="E651" t="s">
        <v>126</v>
      </c>
      <c r="F651" s="1">
        <v>45924</v>
      </c>
      <c r="G651" t="s">
        <v>31</v>
      </c>
      <c r="H651" t="s">
        <v>12</v>
      </c>
      <c r="I651" s="2">
        <v>14118951</v>
      </c>
    </row>
    <row r="652" spans="1:9" x14ac:dyDescent="0.25">
      <c r="A652">
        <v>651</v>
      </c>
      <c r="B652" t="str">
        <f>IF(ISERROR(VLOOKUP(E652,Nombres!A:D,2,FALSE)),"PROBLEMAAAAAA",VLOOKUP(E652,Nombres!A:D,2,FALSE))</f>
        <v>Akhomach</v>
      </c>
      <c r="C652" t="str">
        <f>IF(ISERROR(VLOOKUP(E652,Nombres!A:D,4,FALSE)),"PROBLEMAAAAAA",VLOOKUP(E652,Nombres!A:D,4,FALSE))</f>
        <v>DEL</v>
      </c>
      <c r="D652" t="str">
        <f>IF(ISERROR(VLOOKUP(E652,Nombres!A:D,3,FALSE)),"PROBLEMAAAAAA",VLOOKUP(E652,Nombres!A:D,3,FALSE))</f>
        <v>Villarreal</v>
      </c>
      <c r="E652" t="s">
        <v>433</v>
      </c>
      <c r="F652" s="1">
        <v>45925</v>
      </c>
      <c r="G652" t="s">
        <v>13</v>
      </c>
      <c r="H652" t="s">
        <v>31</v>
      </c>
      <c r="I652" s="2">
        <v>1021263</v>
      </c>
    </row>
    <row r="653" spans="1:9" x14ac:dyDescent="0.25">
      <c r="A653">
        <v>652</v>
      </c>
      <c r="B653" t="str">
        <f>IF(ISERROR(VLOOKUP(E653,Nombres!A:D,2,FALSE)),"PROBLEMAAAAAA",VLOOKUP(E653,Nombres!A:D,2,FALSE))</f>
        <v>Aleñá</v>
      </c>
      <c r="C653" t="str">
        <f>IF(ISERROR(VLOOKUP(E653,Nombres!A:D,4,FALSE)),"PROBLEMAAAAAA",VLOOKUP(E653,Nombres!A:D,4,FALSE))</f>
        <v>MED</v>
      </c>
      <c r="D653" t="str">
        <f>IF(ISERROR(VLOOKUP(E653,Nombres!A:D,3,FALSE)),"PROBLEMAAAAAA",VLOOKUP(E653,Nombres!A:D,3,FALSE))</f>
        <v>Alavés</v>
      </c>
      <c r="E653" t="s">
        <v>198</v>
      </c>
      <c r="F653" s="1">
        <v>45925</v>
      </c>
      <c r="G653" t="s">
        <v>12</v>
      </c>
      <c r="H653" t="s">
        <v>9</v>
      </c>
      <c r="I653" s="2">
        <v>13434659</v>
      </c>
    </row>
    <row r="654" spans="1:9" x14ac:dyDescent="0.25">
      <c r="A654">
        <v>653</v>
      </c>
      <c r="B654" t="str">
        <f>IF(ISERROR(VLOOKUP(E654,Nombres!A:D,2,FALSE)),"PROBLEMAAAAAA",VLOOKUP(E654,Nombres!A:D,2,FALSE))</f>
        <v>Mastantuono</v>
      </c>
      <c r="C654" t="str">
        <f>IF(ISERROR(VLOOKUP(E654,Nombres!A:D,4,FALSE)),"PROBLEMAAAAAA",VLOOKUP(E654,Nombres!A:D,4,FALSE))</f>
        <v>DEL</v>
      </c>
      <c r="D654" t="str">
        <f>IF(ISERROR(VLOOKUP(E654,Nombres!A:D,3,FALSE)),"PROBLEMAAAAAA",VLOOKUP(E654,Nombres!A:D,3,FALSE))</f>
        <v>Real Madrid</v>
      </c>
      <c r="E654" t="s">
        <v>278</v>
      </c>
      <c r="F654" s="1">
        <v>45925</v>
      </c>
      <c r="G654" t="s">
        <v>768</v>
      </c>
      <c r="H654" t="s">
        <v>8</v>
      </c>
      <c r="I654" s="2">
        <v>41978791</v>
      </c>
    </row>
    <row r="655" spans="1:9" x14ac:dyDescent="0.25">
      <c r="A655">
        <v>654</v>
      </c>
      <c r="B655" t="str">
        <f>IF(ISERROR(VLOOKUP(E655,Nombres!A:D,2,FALSE)),"PROBLEMAAAAAA",VLOOKUP(E655,Nombres!A:D,2,FALSE))</f>
        <v>Pedro Díaz</v>
      </c>
      <c r="C655" t="str">
        <f>IF(ISERROR(VLOOKUP(E655,Nombres!A:D,4,FALSE)),"PROBLEMAAAAAA",VLOOKUP(E655,Nombres!A:D,4,FALSE))</f>
        <v>MED</v>
      </c>
      <c r="D655" t="str">
        <f>IF(ISERROR(VLOOKUP(E655,Nombres!A:D,3,FALSE)),"PROBLEMAAAAAA",VLOOKUP(E655,Nombres!A:D,3,FALSE))</f>
        <v>Rayo</v>
      </c>
      <c r="E655" t="s">
        <v>248</v>
      </c>
      <c r="F655" s="1">
        <v>45925</v>
      </c>
      <c r="G655" t="s">
        <v>11</v>
      </c>
      <c r="H655" t="s">
        <v>12</v>
      </c>
      <c r="I655" s="2">
        <v>3201101</v>
      </c>
    </row>
    <row r="656" spans="1:9" x14ac:dyDescent="0.25">
      <c r="A656">
        <v>655</v>
      </c>
      <c r="B656" t="str">
        <f>IF(ISERROR(VLOOKUP(E656,Nombres!A:D,2,FALSE)),"PROBLEMAAAAAA",VLOOKUP(E656,Nombres!A:D,2,FALSE))</f>
        <v>Bryan Gil</v>
      </c>
      <c r="C656" t="str">
        <f>IF(ISERROR(VLOOKUP(E656,Nombres!A:D,4,FALSE)),"PROBLEMAAAAAA",VLOOKUP(E656,Nombres!A:D,4,FALSE))</f>
        <v>DEL</v>
      </c>
      <c r="D656" t="str">
        <f>IF(ISERROR(VLOOKUP(E656,Nombres!A:D,3,FALSE)),"PROBLEMAAAAAA",VLOOKUP(E656,Nombres!A:D,3,FALSE))</f>
        <v>Girona</v>
      </c>
      <c r="E656" t="s">
        <v>312</v>
      </c>
      <c r="F656" s="1">
        <v>45926</v>
      </c>
      <c r="G656" t="s">
        <v>8</v>
      </c>
      <c r="H656" t="s">
        <v>31</v>
      </c>
      <c r="I656" s="2">
        <v>16680850</v>
      </c>
    </row>
    <row r="657" spans="1:9" x14ac:dyDescent="0.25">
      <c r="A657">
        <v>656</v>
      </c>
      <c r="B657" t="str">
        <f>IF(ISERROR(VLOOKUP(E657,Nombres!A:D,2,FALSE)),"PROBLEMAAAAAA",VLOOKUP(E657,Nombres!A:D,2,FALSE))</f>
        <v>Hugo Álvarez</v>
      </c>
      <c r="C657" t="str">
        <f>IF(ISERROR(VLOOKUP(E657,Nombres!A:D,4,FALSE)),"PROBLEMAAAAAA",VLOOKUP(E657,Nombres!A:D,4,FALSE))</f>
        <v>MED</v>
      </c>
      <c r="D657" t="str">
        <f>IF(ISERROR(VLOOKUP(E657,Nombres!A:D,3,FALSE)),"PROBLEMAAAAAA",VLOOKUP(E657,Nombres!A:D,3,FALSE))</f>
        <v>Celta</v>
      </c>
      <c r="E657" t="s">
        <v>436</v>
      </c>
      <c r="F657" s="1">
        <v>45926</v>
      </c>
      <c r="G657" t="s">
        <v>768</v>
      </c>
      <c r="H657" t="s">
        <v>31</v>
      </c>
      <c r="I657" s="2">
        <v>6700000</v>
      </c>
    </row>
    <row r="658" spans="1:9" x14ac:dyDescent="0.25">
      <c r="A658">
        <v>657</v>
      </c>
      <c r="B658" t="str">
        <f>IF(ISERROR(VLOOKUP(E658,Nombres!A:D,2,FALSE)),"PROBLEMAAAAAA",VLOOKUP(E658,Nombres!A:D,2,FALSE))</f>
        <v>Joan Garcia</v>
      </c>
      <c r="C658" t="str">
        <f>IF(ISERROR(VLOOKUP(E658,Nombres!A:D,4,FALSE)),"PROBLEMAAAAAA",VLOOKUP(E658,Nombres!A:D,4,FALSE))</f>
        <v>POR</v>
      </c>
      <c r="D658" t="str">
        <f>IF(ISERROR(VLOOKUP(E658,Nombres!A:D,3,FALSE)),"PROBLEMAAAAAA",VLOOKUP(E658,Nombres!A:D,3,FALSE))</f>
        <v>Barcelona</v>
      </c>
      <c r="E658" t="s">
        <v>297</v>
      </c>
      <c r="F658" s="1">
        <v>45926</v>
      </c>
      <c r="G658" t="s">
        <v>31</v>
      </c>
      <c r="H658" t="s">
        <v>768</v>
      </c>
      <c r="I658" s="2">
        <v>71924749</v>
      </c>
    </row>
    <row r="659" spans="1:9" x14ac:dyDescent="0.25">
      <c r="A659">
        <v>658</v>
      </c>
      <c r="B659" t="str">
        <f>IF(ISERROR(VLOOKUP(E659,Nombres!A:D,2,FALSE)),"PROBLEMAAAAAA",VLOOKUP(E659,Nombres!A:D,2,FALSE))</f>
        <v>Junior</v>
      </c>
      <c r="C659" t="str">
        <f>IF(ISERROR(VLOOKUP(E659,Nombres!A:D,4,FALSE)),"PROBLEMAAAAAA",VLOOKUP(E659,Nombres!A:D,4,FALSE))</f>
        <v>DEF</v>
      </c>
      <c r="D659" t="str">
        <f>IF(ISERROR(VLOOKUP(E659,Nombres!A:D,3,FALSE)),"PROBLEMAAAAAA",VLOOKUP(E659,Nombres!A:D,3,FALSE))</f>
        <v>Betis</v>
      </c>
      <c r="E659" t="s">
        <v>125</v>
      </c>
      <c r="F659" s="1">
        <v>45926</v>
      </c>
      <c r="G659" t="s">
        <v>31</v>
      </c>
      <c r="H659" t="s">
        <v>12</v>
      </c>
      <c r="I659" s="2">
        <v>17460356</v>
      </c>
    </row>
    <row r="660" spans="1:9" x14ac:dyDescent="0.25">
      <c r="A660">
        <v>659</v>
      </c>
      <c r="B660" t="str">
        <f>IF(ISERROR(VLOOKUP(E660,Nombres!A:D,2,FALSE)),"PROBLEMAAAAAA",VLOOKUP(E660,Nombres!A:D,2,FALSE))</f>
        <v>Mojica</v>
      </c>
      <c r="C660" t="str">
        <f>IF(ISERROR(VLOOKUP(E660,Nombres!A:D,4,FALSE)),"PROBLEMAAAAAA",VLOOKUP(E660,Nombres!A:D,4,FALSE))</f>
        <v>DEF</v>
      </c>
      <c r="D660" t="str">
        <f>IF(ISERROR(VLOOKUP(E660,Nombres!A:D,3,FALSE)),"PROBLEMAAAAAA",VLOOKUP(E660,Nombres!A:D,3,FALSE))</f>
        <v>Mallorca</v>
      </c>
      <c r="E660" t="s">
        <v>173</v>
      </c>
      <c r="F660" s="1">
        <v>45926</v>
      </c>
      <c r="G660" t="s">
        <v>12</v>
      </c>
      <c r="H660" t="s">
        <v>31</v>
      </c>
      <c r="I660" s="2">
        <v>6721764</v>
      </c>
    </row>
    <row r="661" spans="1:9" x14ac:dyDescent="0.25">
      <c r="A661">
        <v>660</v>
      </c>
      <c r="B661" t="str">
        <f>IF(ISERROR(VLOOKUP(E661,Nombres!A:D,2,FALSE)),"PROBLEMAAAAAA",VLOOKUP(E661,Nombres!A:D,2,FALSE))</f>
        <v>Rodrygo</v>
      </c>
      <c r="C661" t="str">
        <f>IF(ISERROR(VLOOKUP(E661,Nombres!A:D,4,FALSE)),"PROBLEMAAAAAA",VLOOKUP(E661,Nombres!A:D,4,FALSE))</f>
        <v>DEL</v>
      </c>
      <c r="D661" t="str">
        <f>IF(ISERROR(VLOOKUP(E661,Nombres!A:D,3,FALSE)),"PROBLEMAAAAAA",VLOOKUP(E661,Nombres!A:D,3,FALSE))</f>
        <v>Real Madrid</v>
      </c>
      <c r="E661" t="s">
        <v>50</v>
      </c>
      <c r="F661" s="1">
        <v>45926</v>
      </c>
      <c r="G661" t="s">
        <v>8</v>
      </c>
      <c r="H661" t="s">
        <v>31</v>
      </c>
      <c r="I661" s="2">
        <v>16680750</v>
      </c>
    </row>
    <row r="662" spans="1:9" x14ac:dyDescent="0.25">
      <c r="A662">
        <v>661</v>
      </c>
      <c r="B662" t="str">
        <f>IF(ISERROR(VLOOKUP(E662,Nombres!A:D,2,FALSE)),"PROBLEMAAAAAA",VLOOKUP(E662,Nombres!A:D,2,FALSE))</f>
        <v>Sow</v>
      </c>
      <c r="C662" t="str">
        <f>IF(ISERROR(VLOOKUP(E662,Nombres!A:D,4,FALSE)),"PROBLEMAAAAAA",VLOOKUP(E662,Nombres!A:D,4,FALSE))</f>
        <v>MED</v>
      </c>
      <c r="D662" t="str">
        <f>IF(ISERROR(VLOOKUP(E662,Nombres!A:D,3,FALSE)),"PROBLEMAAAAAA",VLOOKUP(E662,Nombres!A:D,3,FALSE))</f>
        <v>Sevilla</v>
      </c>
      <c r="E662" t="s">
        <v>132</v>
      </c>
      <c r="F662" s="1">
        <v>45926</v>
      </c>
      <c r="G662" t="s">
        <v>768</v>
      </c>
      <c r="H662" t="s">
        <v>13</v>
      </c>
      <c r="I662" s="2">
        <v>2213460</v>
      </c>
    </row>
    <row r="663" spans="1:9" x14ac:dyDescent="0.25">
      <c r="A663">
        <v>662</v>
      </c>
      <c r="B663" t="str">
        <f>IF(ISERROR(VLOOKUP(E663,Nombres!A:D,2,FALSE)),"PROBLEMAAAAAA",VLOOKUP(E663,Nombres!A:D,2,FALSE))</f>
        <v>Aleñá</v>
      </c>
      <c r="C663" t="str">
        <f>IF(ISERROR(VLOOKUP(E663,Nombres!A:D,4,FALSE)),"PROBLEMAAAAAA",VLOOKUP(E663,Nombres!A:D,4,FALSE))</f>
        <v>MED</v>
      </c>
      <c r="D663" t="str">
        <f>IF(ISERROR(VLOOKUP(E663,Nombres!A:D,3,FALSE)),"PROBLEMAAAAAA",VLOOKUP(E663,Nombres!A:D,3,FALSE))</f>
        <v>Alavés</v>
      </c>
      <c r="E663" t="s">
        <v>198</v>
      </c>
      <c r="F663" s="1">
        <v>45927</v>
      </c>
      <c r="G663" t="s">
        <v>31</v>
      </c>
      <c r="H663" t="s">
        <v>12</v>
      </c>
      <c r="I663" s="2">
        <v>14347360</v>
      </c>
    </row>
    <row r="664" spans="1:9" x14ac:dyDescent="0.25">
      <c r="A664">
        <v>663</v>
      </c>
      <c r="B664" t="str">
        <f>IF(ISERROR(VLOOKUP(E664,Nombres!A:D,2,FALSE)),"PROBLEMAAAAAA",VLOOKUP(E664,Nombres!A:D,2,FALSE))</f>
        <v>Bartra</v>
      </c>
      <c r="C664" t="str">
        <f>IF(ISERROR(VLOOKUP(E664,Nombres!A:D,4,FALSE)),"PROBLEMAAAAAA",VLOOKUP(E664,Nombres!A:D,4,FALSE))</f>
        <v>DEF</v>
      </c>
      <c r="D664" t="str">
        <f>IF(ISERROR(VLOOKUP(E664,Nombres!A:D,3,FALSE)),"PROBLEMAAAAAA",VLOOKUP(E664,Nombres!A:D,3,FALSE))</f>
        <v>Betis</v>
      </c>
      <c r="E664" t="s">
        <v>150</v>
      </c>
      <c r="F664" s="1">
        <v>45927</v>
      </c>
      <c r="G664" t="s">
        <v>31</v>
      </c>
      <c r="H664" t="s">
        <v>13</v>
      </c>
      <c r="I664" s="2">
        <v>35852023</v>
      </c>
    </row>
    <row r="665" spans="1:9" x14ac:dyDescent="0.25">
      <c r="A665">
        <v>664</v>
      </c>
      <c r="B665" t="str">
        <f>IF(ISERROR(VLOOKUP(E665,Nombres!A:D,2,FALSE)),"PROBLEMAAAAAA",VLOOKUP(E665,Nombres!A:D,2,FALSE))</f>
        <v>Berenguer</v>
      </c>
      <c r="C665" t="str">
        <f>IF(ISERROR(VLOOKUP(E665,Nombres!A:D,4,FALSE)),"PROBLEMAAAAAA",VLOOKUP(E665,Nombres!A:D,4,FALSE))</f>
        <v>DEL</v>
      </c>
      <c r="D665" t="str">
        <f>IF(ISERROR(VLOOKUP(E665,Nombres!A:D,3,FALSE)),"PROBLEMAAAAAA",VLOOKUP(E665,Nombres!A:D,3,FALSE))</f>
        <v>Athletic</v>
      </c>
      <c r="E665" t="s">
        <v>186</v>
      </c>
      <c r="F665" s="1">
        <v>45927</v>
      </c>
      <c r="G665" t="s">
        <v>31</v>
      </c>
      <c r="H665" t="s">
        <v>6</v>
      </c>
      <c r="I665" s="2">
        <v>34190209</v>
      </c>
    </row>
    <row r="666" spans="1:9" x14ac:dyDescent="0.25">
      <c r="A666">
        <v>665</v>
      </c>
      <c r="B666" t="str">
        <f>IF(ISERROR(VLOOKUP(E666,Nombres!A:D,2,FALSE)),"PROBLEMAAAAAA",VLOOKUP(E666,Nombres!A:D,2,FALSE))</f>
        <v>Diakhaby</v>
      </c>
      <c r="C666" t="str">
        <f>IF(ISERROR(VLOOKUP(E666,Nombres!A:D,4,FALSE)),"PROBLEMAAAAAA",VLOOKUP(E666,Nombres!A:D,4,FALSE))</f>
        <v>DEF</v>
      </c>
      <c r="D666" t="str">
        <f>IF(ISERROR(VLOOKUP(E666,Nombres!A:D,3,FALSE)),"PROBLEMAAAAAA",VLOOKUP(E666,Nombres!A:D,3,FALSE))</f>
        <v>Valencia</v>
      </c>
      <c r="E666" t="s">
        <v>238</v>
      </c>
      <c r="F666" s="1">
        <v>45927</v>
      </c>
      <c r="G666" t="s">
        <v>12</v>
      </c>
      <c r="H666" t="s">
        <v>31</v>
      </c>
      <c r="I666" s="2">
        <v>10610010</v>
      </c>
    </row>
    <row r="667" spans="1:9" x14ac:dyDescent="0.25">
      <c r="A667">
        <v>666</v>
      </c>
      <c r="B667" t="str">
        <f>IF(ISERROR(VLOOKUP(E667,Nombres!A:D,2,FALSE)),"PROBLEMAAAAAA",VLOOKUP(E667,Nombres!A:D,2,FALSE))</f>
        <v>Ounahi</v>
      </c>
      <c r="C667" t="str">
        <f>IF(ISERROR(VLOOKUP(E667,Nombres!A:D,4,FALSE)),"PROBLEMAAAAAA",VLOOKUP(E667,Nombres!A:D,4,FALSE))</f>
        <v>MED</v>
      </c>
      <c r="D667" t="str">
        <f>IF(ISERROR(VLOOKUP(E667,Nombres!A:D,3,FALSE)),"PROBLEMAAAAAA",VLOOKUP(E667,Nombres!A:D,3,FALSE))</f>
        <v>Girona</v>
      </c>
      <c r="E667" t="s">
        <v>437</v>
      </c>
      <c r="F667" s="1">
        <v>45927</v>
      </c>
      <c r="G667" t="s">
        <v>9</v>
      </c>
      <c r="H667" t="s">
        <v>31</v>
      </c>
      <c r="I667" s="2">
        <v>12000000</v>
      </c>
    </row>
    <row r="668" spans="1:9" x14ac:dyDescent="0.25">
      <c r="A668">
        <v>667</v>
      </c>
      <c r="B668" t="str">
        <f>IF(ISERROR(VLOOKUP(E668,Nombres!A:D,2,FALSE)),"PROBLEMAAAAAA",VLOOKUP(E668,Nombres!A:D,2,FALSE))</f>
        <v>Rioja</v>
      </c>
      <c r="C668" t="str">
        <f>IF(ISERROR(VLOOKUP(E668,Nombres!A:D,4,FALSE)),"PROBLEMAAAAAA",VLOOKUP(E668,Nombres!A:D,4,FALSE))</f>
        <v>MED</v>
      </c>
      <c r="D668" t="str">
        <f>IF(ISERROR(VLOOKUP(E668,Nombres!A:D,3,FALSE)),"PROBLEMAAAAAA",VLOOKUP(E668,Nombres!A:D,3,FALSE))</f>
        <v>Valencia</v>
      </c>
      <c r="E668" t="s">
        <v>101</v>
      </c>
      <c r="F668" s="1">
        <v>45927</v>
      </c>
      <c r="G668" t="s">
        <v>12</v>
      </c>
      <c r="H668" t="s">
        <v>31</v>
      </c>
      <c r="I668" s="2">
        <v>22610010</v>
      </c>
    </row>
    <row r="669" spans="1:9" x14ac:dyDescent="0.25">
      <c r="A669">
        <v>668</v>
      </c>
      <c r="B669" t="str">
        <f>IF(ISERROR(VLOOKUP(E669,Nombres!A:D,2,FALSE)),"PROBLEMAAAAAA",VLOOKUP(E669,Nombres!A:D,2,FALSE))</f>
        <v>Iván Romero</v>
      </c>
      <c r="C669" t="str">
        <f>IF(ISERROR(VLOOKUP(E669,Nombres!A:D,4,FALSE)),"PROBLEMAAAAAA",VLOOKUP(E669,Nombres!A:D,4,FALSE))</f>
        <v>DEL</v>
      </c>
      <c r="D669" t="str">
        <f>IF(ISERROR(VLOOKUP(E669,Nombres!A:D,3,FALSE)),"PROBLEMAAAAAA",VLOOKUP(E669,Nombres!A:D,3,FALSE))</f>
        <v>Levante</v>
      </c>
      <c r="E669" t="s">
        <v>281</v>
      </c>
      <c r="F669" s="1">
        <v>45927</v>
      </c>
      <c r="G669" t="s">
        <v>11</v>
      </c>
      <c r="H669" t="s">
        <v>7</v>
      </c>
      <c r="I669" s="2">
        <v>5987878</v>
      </c>
    </row>
    <row r="670" spans="1:9" x14ac:dyDescent="0.25">
      <c r="A670">
        <v>669</v>
      </c>
      <c r="B670" t="str">
        <f>IF(ISERROR(VLOOKUP(E670,Nombres!A:D,2,FALSE)),"PROBLEMAAAAAA",VLOOKUP(E670,Nombres!A:D,2,FALSE))</f>
        <v>Agoume</v>
      </c>
      <c r="C670" t="str">
        <f>IF(ISERROR(VLOOKUP(E670,Nombres!A:D,4,FALSE)),"PROBLEMAAAAAA",VLOOKUP(E670,Nombres!A:D,4,FALSE))</f>
        <v>MED</v>
      </c>
      <c r="D670" t="str">
        <f>IF(ISERROR(VLOOKUP(E670,Nombres!A:D,3,FALSE)),"PROBLEMAAAAAA",VLOOKUP(E670,Nombres!A:D,3,FALSE))</f>
        <v>Sevilla</v>
      </c>
      <c r="E670" t="s">
        <v>68</v>
      </c>
      <c r="F670" s="1">
        <v>45928</v>
      </c>
      <c r="G670" t="s">
        <v>31</v>
      </c>
      <c r="H670" t="s">
        <v>14</v>
      </c>
      <c r="I670" s="2">
        <v>8502618</v>
      </c>
    </row>
    <row r="671" spans="1:9" x14ac:dyDescent="0.25">
      <c r="A671">
        <v>670</v>
      </c>
      <c r="B671" t="str">
        <f>IF(ISERROR(VLOOKUP(E671,Nombres!A:D,2,FALSE)),"PROBLEMAAAAAA",VLOOKUP(E671,Nombres!A:D,2,FALSE))</f>
        <v>Romero</v>
      </c>
      <c r="C671" t="str">
        <f>IF(ISERROR(VLOOKUP(E671,Nombres!A:D,4,FALSE)),"PROBLEMAAAAAA",VLOOKUP(E671,Nombres!A:D,4,FALSE))</f>
        <v>DEF</v>
      </c>
      <c r="D671" t="str">
        <f>IF(ISERROR(VLOOKUP(E671,Nombres!A:D,3,FALSE)),"PROBLEMAAAAAA",VLOOKUP(E671,Nombres!A:D,3,FALSE))</f>
        <v>Espanyol</v>
      </c>
      <c r="E671" t="s">
        <v>321</v>
      </c>
      <c r="F671" s="1">
        <v>45928</v>
      </c>
      <c r="G671" t="s">
        <v>13</v>
      </c>
      <c r="H671" t="s">
        <v>9</v>
      </c>
      <c r="I671" s="2">
        <v>15623192</v>
      </c>
    </row>
    <row r="672" spans="1:9" x14ac:dyDescent="0.25">
      <c r="A672">
        <v>671</v>
      </c>
      <c r="B672" t="str">
        <f>IF(ISERROR(VLOOKUP(E672,Nombres!A:D,2,FALSE)),"PROBLEMAAAAAA",VLOOKUP(E672,Nombres!A:D,2,FALSE))</f>
        <v>Cucho</v>
      </c>
      <c r="C672" t="str">
        <f>IF(ISERROR(VLOOKUP(E672,Nombres!A:D,4,FALSE)),"PROBLEMAAAAAA",VLOOKUP(E672,Nombres!A:D,4,FALSE))</f>
        <v>DEL</v>
      </c>
      <c r="D672" t="str">
        <f>IF(ISERROR(VLOOKUP(E672,Nombres!A:D,3,FALSE)),"PROBLEMAAAAAA",VLOOKUP(E672,Nombres!A:D,3,FALSE))</f>
        <v>Betis</v>
      </c>
      <c r="E672" t="s">
        <v>323</v>
      </c>
      <c r="F672" s="1">
        <v>45928</v>
      </c>
      <c r="G672" t="s">
        <v>14</v>
      </c>
      <c r="H672" t="s">
        <v>6</v>
      </c>
      <c r="I672" s="2">
        <v>20301719</v>
      </c>
    </row>
    <row r="673" spans="1:9" x14ac:dyDescent="0.25">
      <c r="A673">
        <v>672</v>
      </c>
      <c r="B673" t="str">
        <f>IF(ISERROR(VLOOKUP(E673,Nombres!A:D,2,FALSE)),"PROBLEMAAAAAA",VLOOKUP(E673,Nombres!A:D,2,FALSE))</f>
        <v>Etta Eyong</v>
      </c>
      <c r="C673" t="str">
        <f>IF(ISERROR(VLOOKUP(E673,Nombres!A:D,4,FALSE)),"PROBLEMAAAAAA",VLOOKUP(E673,Nombres!A:D,4,FALSE))</f>
        <v>DEL</v>
      </c>
      <c r="D673" t="str">
        <f>IF(ISERROR(VLOOKUP(E673,Nombres!A:D,3,FALSE)),"PROBLEMAAAAAA",VLOOKUP(E673,Nombres!A:D,3,FALSE))</f>
        <v>Levante</v>
      </c>
      <c r="E673" t="s">
        <v>274</v>
      </c>
      <c r="F673" s="1">
        <v>45928</v>
      </c>
      <c r="G673" t="s">
        <v>6</v>
      </c>
      <c r="H673" t="s">
        <v>10</v>
      </c>
      <c r="I673" s="2">
        <v>65117539</v>
      </c>
    </row>
    <row r="674" spans="1:9" x14ac:dyDescent="0.25">
      <c r="A674">
        <v>673</v>
      </c>
      <c r="B674" t="str">
        <f>IF(ISERROR(VLOOKUP(E674,Nombres!A:D,2,FALSE)),"PROBLEMAAAAAA",VLOOKUP(E674,Nombres!A:D,2,FALSE))</f>
        <v>Garcés</v>
      </c>
      <c r="C674" t="str">
        <f>IF(ISERROR(VLOOKUP(E674,Nombres!A:D,4,FALSE)),"PROBLEMAAAAAA",VLOOKUP(E674,Nombres!A:D,4,FALSE))</f>
        <v>DEF</v>
      </c>
      <c r="D674" t="str">
        <f>IF(ISERROR(VLOOKUP(E674,Nombres!A:D,3,FALSE)),"PROBLEMAAAAAA",VLOOKUP(E674,Nombres!A:D,3,FALSE))</f>
        <v>Alavés</v>
      </c>
      <c r="E674" t="s">
        <v>183</v>
      </c>
      <c r="F674" s="1">
        <v>45928</v>
      </c>
      <c r="G674" t="s">
        <v>31</v>
      </c>
      <c r="H674" t="s">
        <v>13</v>
      </c>
      <c r="I674" s="2">
        <v>5567778</v>
      </c>
    </row>
    <row r="675" spans="1:9" x14ac:dyDescent="0.25">
      <c r="A675">
        <v>674</v>
      </c>
      <c r="B675" t="str">
        <f>IF(ISERROR(VLOOKUP(E675,Nombres!A:D,2,FALSE)),"PROBLEMAAAAAA",VLOOKUP(E675,Nombres!A:D,2,FALSE))</f>
        <v>Huijsen</v>
      </c>
      <c r="C675" t="str">
        <f>IF(ISERROR(VLOOKUP(E675,Nombres!A:D,4,FALSE)),"PROBLEMAAAAAA",VLOOKUP(E675,Nombres!A:D,4,FALSE))</f>
        <v>DEF</v>
      </c>
      <c r="D675" t="str">
        <f>IF(ISERROR(VLOOKUP(E675,Nombres!A:D,3,FALSE)),"PROBLEMAAAAAA",VLOOKUP(E675,Nombres!A:D,3,FALSE))</f>
        <v>Real Madrid</v>
      </c>
      <c r="E675" t="s">
        <v>428</v>
      </c>
      <c r="F675" s="1">
        <v>45928</v>
      </c>
      <c r="G675" t="s">
        <v>31</v>
      </c>
      <c r="H675" t="s">
        <v>10</v>
      </c>
      <c r="I675" s="2">
        <v>93542329</v>
      </c>
    </row>
    <row r="676" spans="1:9" x14ac:dyDescent="0.25">
      <c r="A676">
        <v>675</v>
      </c>
      <c r="B676" t="str">
        <f>IF(ISERROR(VLOOKUP(E676,Nombres!A:D,2,FALSE)),"PROBLEMAAAAAA",VLOOKUP(E676,Nombres!A:D,2,FALSE))</f>
        <v>I. Williams</v>
      </c>
      <c r="C676" t="str">
        <f>IF(ISERROR(VLOOKUP(E676,Nombres!A:D,4,FALSE)),"PROBLEMAAAAAA",VLOOKUP(E676,Nombres!A:D,4,FALSE))</f>
        <v>DEL</v>
      </c>
      <c r="D676" t="str">
        <f>IF(ISERROR(VLOOKUP(E676,Nombres!A:D,3,FALSE)),"PROBLEMAAAAAA",VLOOKUP(E676,Nombres!A:D,3,FALSE))</f>
        <v>Athletic</v>
      </c>
      <c r="E676" t="s">
        <v>439</v>
      </c>
      <c r="F676" s="1">
        <v>45928</v>
      </c>
      <c r="G676" t="s">
        <v>6</v>
      </c>
      <c r="H676" t="s">
        <v>31</v>
      </c>
      <c r="I676" s="2">
        <v>34309065</v>
      </c>
    </row>
    <row r="677" spans="1:9" x14ac:dyDescent="0.25">
      <c r="A677">
        <v>676</v>
      </c>
      <c r="B677" t="str">
        <f>IF(ISERROR(VLOOKUP(E677,Nombres!A:D,2,FALSE)),"PROBLEMAAAAAA",VLOOKUP(E677,Nombres!A:D,2,FALSE))</f>
        <v>Kike Salas</v>
      </c>
      <c r="C677" t="str">
        <f>IF(ISERROR(VLOOKUP(E677,Nombres!A:D,4,FALSE)),"PROBLEMAAAAAA",VLOOKUP(E677,Nombres!A:D,4,FALSE))</f>
        <v>DEF</v>
      </c>
      <c r="D677" t="str">
        <f>IF(ISERROR(VLOOKUP(E677,Nombres!A:D,3,FALSE)),"PROBLEMAAAAAA",VLOOKUP(E677,Nombres!A:D,3,FALSE))</f>
        <v>Sevilla</v>
      </c>
      <c r="E677" t="s">
        <v>247</v>
      </c>
      <c r="F677" s="1">
        <v>45928</v>
      </c>
      <c r="G677" t="s">
        <v>31</v>
      </c>
      <c r="H677" t="s">
        <v>6</v>
      </c>
      <c r="I677" s="2">
        <v>5770133</v>
      </c>
    </row>
    <row r="678" spans="1:9" x14ac:dyDescent="0.25">
      <c r="A678">
        <v>677</v>
      </c>
      <c r="B678" t="str">
        <f>IF(ISERROR(VLOOKUP(E678,Nombres!A:D,2,FALSE)),"PROBLEMAAAAAA",VLOOKUP(E678,Nombres!A:D,2,FALSE))</f>
        <v>Yamal</v>
      </c>
      <c r="C678" t="str">
        <f>IF(ISERROR(VLOOKUP(E678,Nombres!A:D,4,FALSE)),"PROBLEMAAAAAA",VLOOKUP(E678,Nombres!A:D,4,FALSE))</f>
        <v>DEL</v>
      </c>
      <c r="D678" t="str">
        <f>IF(ISERROR(VLOOKUP(E678,Nombres!A:D,3,FALSE)),"PROBLEMAAAAAA",VLOOKUP(E678,Nombres!A:D,3,FALSE))</f>
        <v>Barcelona</v>
      </c>
      <c r="E678" t="s">
        <v>267</v>
      </c>
      <c r="F678" s="1">
        <v>45928</v>
      </c>
      <c r="G678" t="s">
        <v>10</v>
      </c>
      <c r="H678" t="s">
        <v>8</v>
      </c>
      <c r="I678" s="2">
        <v>156888888</v>
      </c>
    </row>
    <row r="679" spans="1:9" x14ac:dyDescent="0.25">
      <c r="A679">
        <v>678</v>
      </c>
      <c r="B679" t="str">
        <f>IF(ISERROR(VLOOKUP(E679,Nombres!A:D,2,FALSE)),"PROBLEMAAAAAA",VLOOKUP(E679,Nombres!A:D,2,FALSE))</f>
        <v>Lenglet</v>
      </c>
      <c r="C679" t="str">
        <f>IF(ISERROR(VLOOKUP(E679,Nombres!A:D,4,FALSE)),"PROBLEMAAAAAA",VLOOKUP(E679,Nombres!A:D,4,FALSE))</f>
        <v>DEF</v>
      </c>
      <c r="D679" t="str">
        <f>IF(ISERROR(VLOOKUP(E679,Nombres!A:D,3,FALSE)),"PROBLEMAAAAAA",VLOOKUP(E679,Nombres!A:D,3,FALSE))</f>
        <v>Atlético</v>
      </c>
      <c r="E679" t="s">
        <v>174</v>
      </c>
      <c r="F679" s="1">
        <v>45928</v>
      </c>
      <c r="G679" t="s">
        <v>8</v>
      </c>
      <c r="H679" t="s">
        <v>11</v>
      </c>
      <c r="I679" s="2">
        <v>10185880</v>
      </c>
    </row>
    <row r="680" spans="1:9" x14ac:dyDescent="0.25">
      <c r="A680">
        <v>679</v>
      </c>
      <c r="B680" t="str">
        <f>IF(ISERROR(VLOOKUP(E680,Nombres!A:D,2,FALSE)),"PROBLEMAAAAAA",VLOOKUP(E680,Nombres!A:D,2,FALSE))</f>
        <v>Mendoza</v>
      </c>
      <c r="C680" t="str">
        <f>IF(ISERROR(VLOOKUP(E680,Nombres!A:D,4,FALSE)),"PROBLEMAAAAAA",VLOOKUP(E680,Nombres!A:D,4,FALSE))</f>
        <v>MED</v>
      </c>
      <c r="D680" t="str">
        <f>IF(ISERROR(VLOOKUP(E680,Nombres!A:D,3,FALSE)),"PROBLEMAAAAAA",VLOOKUP(E680,Nombres!A:D,3,FALSE))</f>
        <v>Elche</v>
      </c>
      <c r="E680" t="s">
        <v>327</v>
      </c>
      <c r="F680" s="1">
        <v>45928</v>
      </c>
      <c r="G680" t="s">
        <v>31</v>
      </c>
      <c r="H680" t="s">
        <v>14</v>
      </c>
      <c r="I680" s="2">
        <v>5601830</v>
      </c>
    </row>
    <row r="681" spans="1:9" x14ac:dyDescent="0.25">
      <c r="A681">
        <v>680</v>
      </c>
      <c r="B681" t="str">
        <f>IF(ISERROR(VLOOKUP(E681,Nombres!A:D,2,FALSE)),"PROBLEMAAAAAA",VLOOKUP(E681,Nombres!A:D,2,FALSE))</f>
        <v>Nyland</v>
      </c>
      <c r="C681" t="str">
        <f>IF(ISERROR(VLOOKUP(E681,Nombres!A:D,4,FALSE)),"PROBLEMAAAAAA",VLOOKUP(E681,Nombres!A:D,4,FALSE))</f>
        <v>POR</v>
      </c>
      <c r="D681" t="str">
        <f>IF(ISERROR(VLOOKUP(E681,Nombres!A:D,3,FALSE)),"PROBLEMAAAAAA",VLOOKUP(E681,Nombres!A:D,3,FALSE))</f>
        <v>Sevilla</v>
      </c>
      <c r="E681" t="s">
        <v>149</v>
      </c>
      <c r="F681" s="1">
        <v>45928</v>
      </c>
      <c r="G681" t="s">
        <v>31</v>
      </c>
      <c r="H681" t="s">
        <v>9</v>
      </c>
      <c r="I681" s="2">
        <v>5316371</v>
      </c>
    </row>
    <row r="682" spans="1:9" x14ac:dyDescent="0.25">
      <c r="A682">
        <v>681</v>
      </c>
      <c r="B682" t="str">
        <f>IF(ISERROR(VLOOKUP(E682,Nombres!A:D,2,FALSE)),"PROBLEMAAAAAA",VLOOKUP(E682,Nombres!A:D,2,FALSE))</f>
        <v>Paredes</v>
      </c>
      <c r="C682" t="str">
        <f>IF(ISERROR(VLOOKUP(E682,Nombres!A:D,4,FALSE)),"PROBLEMAAAAAA",VLOOKUP(E682,Nombres!A:D,4,FALSE))</f>
        <v>DEF</v>
      </c>
      <c r="D682" t="str">
        <f>IF(ISERROR(VLOOKUP(E682,Nombres!A:D,3,FALSE)),"PROBLEMAAAAAA",VLOOKUP(E682,Nombres!A:D,3,FALSE))</f>
        <v>Athletic</v>
      </c>
      <c r="E682" t="s">
        <v>43</v>
      </c>
      <c r="F682" s="1">
        <v>45928</v>
      </c>
      <c r="G682" t="s">
        <v>31</v>
      </c>
      <c r="H682" t="s">
        <v>11</v>
      </c>
      <c r="I682" s="2">
        <v>31137883</v>
      </c>
    </row>
    <row r="683" spans="1:9" x14ac:dyDescent="0.25">
      <c r="A683">
        <v>682</v>
      </c>
      <c r="B683" t="str">
        <f>IF(ISERROR(VLOOKUP(E683,Nombres!A:D,2,FALSE)),"PROBLEMAAAAAA",VLOOKUP(E683,Nombres!A:D,2,FALSE))</f>
        <v>Radu</v>
      </c>
      <c r="C683" t="str">
        <f>IF(ISERROR(VLOOKUP(E683,Nombres!A:D,4,FALSE)),"PROBLEMAAAAAA",VLOOKUP(E683,Nombres!A:D,4,FALSE))</f>
        <v>POR</v>
      </c>
      <c r="D683" t="str">
        <f>IF(ISERROR(VLOOKUP(E683,Nombres!A:D,3,FALSE)),"PROBLEMAAAAAA",VLOOKUP(E683,Nombres!A:D,3,FALSE))</f>
        <v>Celta</v>
      </c>
      <c r="E683" t="s">
        <v>438</v>
      </c>
      <c r="F683" s="1">
        <v>45928</v>
      </c>
      <c r="G683" t="s">
        <v>8</v>
      </c>
      <c r="H683" t="s">
        <v>31</v>
      </c>
      <c r="I683" s="2">
        <v>12668085</v>
      </c>
    </row>
    <row r="684" spans="1:9" x14ac:dyDescent="0.25">
      <c r="A684">
        <v>683</v>
      </c>
      <c r="B684" t="str">
        <f>IF(ISERROR(VLOOKUP(E684,Nombres!A:D,2,FALSE)),"PROBLEMAAAAAA",VLOOKUP(E684,Nombres!A:D,2,FALSE))</f>
        <v>Abqar</v>
      </c>
      <c r="C684" t="str">
        <f>IF(ISERROR(VLOOKUP(E684,Nombres!A:D,4,FALSE)),"PROBLEMAAAAAA",VLOOKUP(E684,Nombres!A:D,4,FALSE))</f>
        <v>DEF</v>
      </c>
      <c r="D684" t="str">
        <f>IF(ISERROR(VLOOKUP(E684,Nombres!A:D,3,FALSE)),"PROBLEMAAAAAA",VLOOKUP(E684,Nombres!A:D,3,FALSE))</f>
        <v>Getafe</v>
      </c>
      <c r="E684" t="s">
        <v>294</v>
      </c>
      <c r="F684" s="1">
        <v>45929</v>
      </c>
      <c r="G684" t="s">
        <v>768</v>
      </c>
      <c r="H684" t="s">
        <v>11</v>
      </c>
      <c r="I684" s="2">
        <v>18100000</v>
      </c>
    </row>
    <row r="685" spans="1:9" x14ac:dyDescent="0.25">
      <c r="A685">
        <v>684</v>
      </c>
      <c r="B685" t="str">
        <f>IF(ISERROR(VLOOKUP(E685,Nombres!A:D,2,FALSE)),"PROBLEMAAAAAA",VLOOKUP(E685,Nombres!A:D,2,FALSE))</f>
        <v>Affengruber</v>
      </c>
      <c r="C685" t="str">
        <f>IF(ISERROR(VLOOKUP(E685,Nombres!A:D,4,FALSE)),"PROBLEMAAAAAA",VLOOKUP(E685,Nombres!A:D,4,FALSE))</f>
        <v>DEF</v>
      </c>
      <c r="D685" t="str">
        <f>IF(ISERROR(VLOOKUP(E685,Nombres!A:D,3,FALSE)),"PROBLEMAAAAAA",VLOOKUP(E685,Nombres!A:D,3,FALSE))</f>
        <v>Elche</v>
      </c>
      <c r="E685" t="s">
        <v>233</v>
      </c>
      <c r="F685" s="1">
        <v>45929</v>
      </c>
      <c r="G685" t="s">
        <v>11</v>
      </c>
      <c r="H685" t="s">
        <v>12</v>
      </c>
      <c r="I685" s="2">
        <v>31890001</v>
      </c>
    </row>
    <row r="686" spans="1:9" x14ac:dyDescent="0.25">
      <c r="A686">
        <v>685</v>
      </c>
      <c r="B686" t="str">
        <f>IF(ISERROR(VLOOKUP(E686,Nombres!A:D,2,FALSE)),"PROBLEMAAAAAA",VLOOKUP(E686,Nombres!A:D,2,FALSE))</f>
        <v>André Silva</v>
      </c>
      <c r="C686" t="str">
        <f>IF(ISERROR(VLOOKUP(E686,Nombres!A:D,4,FALSE)),"PROBLEMAAAAAA",VLOOKUP(E686,Nombres!A:D,4,FALSE))</f>
        <v>DEL</v>
      </c>
      <c r="D686" t="str">
        <f>IF(ISERROR(VLOOKUP(E686,Nombres!A:D,3,FALSE)),"PROBLEMAAAAAA",VLOOKUP(E686,Nombres!A:D,3,FALSE))</f>
        <v>Elche</v>
      </c>
      <c r="E686" t="s">
        <v>319</v>
      </c>
      <c r="F686" s="1">
        <v>45929</v>
      </c>
      <c r="G686" t="s">
        <v>13</v>
      </c>
      <c r="H686" t="s">
        <v>12</v>
      </c>
      <c r="I686" s="2">
        <v>10100101</v>
      </c>
    </row>
    <row r="687" spans="1:9" x14ac:dyDescent="0.25">
      <c r="A687">
        <v>686</v>
      </c>
      <c r="B687" t="str">
        <f>IF(ISERROR(VLOOKUP(E687,Nombres!A:D,2,FALSE)),"PROBLEMAAAAAA",VLOOKUP(E687,Nombres!A:D,2,FALSE))</f>
        <v>Asprilla</v>
      </c>
      <c r="C687" t="str">
        <f>IF(ISERROR(VLOOKUP(E687,Nombres!A:D,4,FALSE)),"PROBLEMAAAAAA",VLOOKUP(E687,Nombres!A:D,4,FALSE))</f>
        <v>DEL</v>
      </c>
      <c r="D687" t="str">
        <f>IF(ISERROR(VLOOKUP(E687,Nombres!A:D,3,FALSE)),"PROBLEMAAAAAA",VLOOKUP(E687,Nombres!A:D,3,FALSE))</f>
        <v>Girona</v>
      </c>
      <c r="E687" t="s">
        <v>168</v>
      </c>
      <c r="F687" s="1">
        <v>45929</v>
      </c>
      <c r="G687" t="s">
        <v>31</v>
      </c>
      <c r="H687" t="s">
        <v>13</v>
      </c>
      <c r="I687" s="2">
        <v>3481230</v>
      </c>
    </row>
    <row r="688" spans="1:9" x14ac:dyDescent="0.25">
      <c r="A688">
        <v>687</v>
      </c>
      <c r="B688" t="str">
        <f>IF(ISERROR(VLOOKUP(E688,Nombres!A:D,2,FALSE)),"PROBLEMAAAAAA",VLOOKUP(E688,Nombres!A:D,2,FALSE))</f>
        <v>Buchanan</v>
      </c>
      <c r="C688" t="str">
        <f>IF(ISERROR(VLOOKUP(E688,Nombres!A:D,4,FALSE)),"PROBLEMAAAAAA",VLOOKUP(E688,Nombres!A:D,4,FALSE))</f>
        <v>MED</v>
      </c>
      <c r="D688" t="str">
        <f>IF(ISERROR(VLOOKUP(E688,Nombres!A:D,3,FALSE)),"PROBLEMAAAAAA",VLOOKUP(E688,Nombres!A:D,3,FALSE))</f>
        <v>Villarreal</v>
      </c>
      <c r="E688" t="s">
        <v>239</v>
      </c>
      <c r="F688" s="1">
        <v>45929</v>
      </c>
      <c r="G688" t="s">
        <v>31</v>
      </c>
      <c r="H688" t="s">
        <v>11</v>
      </c>
      <c r="I688" s="2">
        <v>36103173</v>
      </c>
    </row>
    <row r="689" spans="1:9" x14ac:dyDescent="0.25">
      <c r="A689">
        <v>549</v>
      </c>
      <c r="B689" t="str">
        <f>IF(ISERROR(VLOOKUP(E689,Nombres!A:D,2,FALSE)),"PROBLEMAAAAAA",VLOOKUP(E689,Nombres!A:D,2,FALSE))</f>
        <v>Tenaglia</v>
      </c>
      <c r="C689" t="str">
        <f>IF(ISERROR(VLOOKUP(E689,Nombres!A:D,4,FALSE)),"PROBLEMAAAAAA",VLOOKUP(E689,Nombres!A:D,4,FALSE))</f>
        <v>DEF</v>
      </c>
      <c r="D689" t="str">
        <f>IF(ISERROR(VLOOKUP(E689,Nombres!A:D,3,FALSE)),"PROBLEMAAAAAA",VLOOKUP(E689,Nombres!A:D,3,FALSE))</f>
        <v>Alavés</v>
      </c>
      <c r="E689" t="s">
        <v>288</v>
      </c>
      <c r="F689" s="1">
        <v>45916</v>
      </c>
      <c r="G689" t="s">
        <v>6</v>
      </c>
      <c r="H689" t="s">
        <v>13</v>
      </c>
      <c r="I689" s="2">
        <v>17000000</v>
      </c>
    </row>
    <row r="690" spans="1:9" x14ac:dyDescent="0.25">
      <c r="A690">
        <v>689</v>
      </c>
      <c r="B690" t="str">
        <f>IF(ISERROR(VLOOKUP(E690,Nombres!A:D,2,FALSE)),"PROBLEMAAAAAA",VLOOKUP(E690,Nombres!A:D,2,FALSE))</f>
        <v>Edu Expósito</v>
      </c>
      <c r="C690" t="str">
        <f>IF(ISERROR(VLOOKUP(E690,Nombres!A:D,4,FALSE)),"PROBLEMAAAAAA",VLOOKUP(E690,Nombres!A:D,4,FALSE))</f>
        <v>MED</v>
      </c>
      <c r="D690" t="str">
        <f>IF(ISERROR(VLOOKUP(E690,Nombres!A:D,3,FALSE)),"PROBLEMAAAAAA",VLOOKUP(E690,Nombres!A:D,3,FALSE))</f>
        <v>Espanyol</v>
      </c>
      <c r="E690" t="s">
        <v>271</v>
      </c>
      <c r="F690" s="1">
        <v>45929</v>
      </c>
      <c r="G690" t="s">
        <v>11</v>
      </c>
      <c r="H690" t="s">
        <v>10</v>
      </c>
      <c r="I690" s="2">
        <v>22875987</v>
      </c>
    </row>
    <row r="691" spans="1:9" x14ac:dyDescent="0.25">
      <c r="A691">
        <v>690</v>
      </c>
      <c r="B691" t="str">
        <f>IF(ISERROR(VLOOKUP(E691,Nombres!A:D,2,FALSE)),"PROBLEMAAAAAA",VLOOKUP(E691,Nombres!A:D,2,FALSE))</f>
        <v>Martín</v>
      </c>
      <c r="C691" t="str">
        <f>IF(ISERROR(VLOOKUP(E691,Nombres!A:D,4,FALSE)),"PROBLEMAAAAAA",VLOOKUP(E691,Nombres!A:D,4,FALSE))</f>
        <v>DEF</v>
      </c>
      <c r="D691" t="str">
        <f>IF(ISERROR(VLOOKUP(E691,Nombres!A:D,3,FALSE)),"PROBLEMAAAAAA",VLOOKUP(E691,Nombres!A:D,3,FALSE))</f>
        <v>Barcelona</v>
      </c>
      <c r="E691" t="s">
        <v>313</v>
      </c>
      <c r="F691" s="1">
        <v>45929</v>
      </c>
      <c r="G691" t="s">
        <v>9</v>
      </c>
      <c r="H691" t="s">
        <v>10</v>
      </c>
      <c r="I691" s="2">
        <v>16875421</v>
      </c>
    </row>
    <row r="692" spans="1:9" x14ac:dyDescent="0.25">
      <c r="A692">
        <v>691</v>
      </c>
      <c r="B692" t="str">
        <f>IF(ISERROR(VLOOKUP(E692,Nombres!A:D,2,FALSE)),"PROBLEMAAAAAA",VLOOKUP(E692,Nombres!A:D,2,FALSE))</f>
        <v>Valera</v>
      </c>
      <c r="C692" t="str">
        <f>IF(ISERROR(VLOOKUP(E692,Nombres!A:D,4,FALSE)),"PROBLEMAAAAAA",VLOOKUP(E692,Nombres!A:D,4,FALSE))</f>
        <v>MED</v>
      </c>
      <c r="D692" t="str">
        <f>IF(ISERROR(VLOOKUP(E692,Nombres!A:D,3,FALSE)),"PROBLEMAAAAAA",VLOOKUP(E692,Nombres!A:D,3,FALSE))</f>
        <v>Elche</v>
      </c>
      <c r="E692" t="s">
        <v>325</v>
      </c>
      <c r="F692" s="1">
        <v>45929</v>
      </c>
      <c r="G692" t="s">
        <v>10</v>
      </c>
      <c r="H692" t="s">
        <v>13</v>
      </c>
      <c r="I692" s="2">
        <v>12098300</v>
      </c>
    </row>
    <row r="693" spans="1:9" x14ac:dyDescent="0.25">
      <c r="A693">
        <v>692</v>
      </c>
      <c r="B693" t="str">
        <f>IF(ISERROR(VLOOKUP(E693,Nombres!A:D,2,FALSE)),"PROBLEMAAAAAA",VLOOKUP(E693,Nombres!A:D,2,FALSE))</f>
        <v>Peña</v>
      </c>
      <c r="C693" t="str">
        <f>IF(ISERROR(VLOOKUP(E693,Nombres!A:D,4,FALSE)),"PROBLEMAAAAAA",VLOOKUP(E693,Nombres!A:D,4,FALSE))</f>
        <v>POR</v>
      </c>
      <c r="D693" t="str">
        <f>IF(ISERROR(VLOOKUP(E693,Nombres!A:D,3,FALSE)),"PROBLEMAAAAAA",VLOOKUP(E693,Nombres!A:D,3,FALSE))</f>
        <v>Elche</v>
      </c>
      <c r="E693" t="s">
        <v>441</v>
      </c>
      <c r="F693" s="1">
        <v>45929</v>
      </c>
      <c r="G693" t="s">
        <v>7</v>
      </c>
      <c r="H693" t="s">
        <v>31</v>
      </c>
      <c r="I693" s="2">
        <v>2225124</v>
      </c>
    </row>
    <row r="694" spans="1:9" x14ac:dyDescent="0.25">
      <c r="A694">
        <v>693</v>
      </c>
      <c r="B694" t="str">
        <f>IF(ISERROR(VLOOKUP(E694,Nombres!A:D,2,FALSE)),"PROBLEMAAAAAA",VLOOKUP(E694,Nombres!A:D,2,FALSE))</f>
        <v>Rueda</v>
      </c>
      <c r="C694" t="str">
        <f>IF(ISERROR(VLOOKUP(E694,Nombres!A:D,4,FALSE)),"PROBLEMAAAAAA",VLOOKUP(E694,Nombres!A:D,4,FALSE))</f>
        <v>DEF</v>
      </c>
      <c r="D694" t="str">
        <f>IF(ISERROR(VLOOKUP(E694,Nombres!A:D,3,FALSE)),"PROBLEMAAAAAA",VLOOKUP(E694,Nombres!A:D,3,FALSE))</f>
        <v>Celta</v>
      </c>
      <c r="E694" t="s">
        <v>440</v>
      </c>
      <c r="F694" s="1">
        <v>45929</v>
      </c>
      <c r="G694" t="s">
        <v>14</v>
      </c>
      <c r="H694" t="s">
        <v>31</v>
      </c>
      <c r="I694" s="2">
        <v>12000010</v>
      </c>
    </row>
    <row r="695" spans="1:9" x14ac:dyDescent="0.25">
      <c r="A695">
        <v>694</v>
      </c>
      <c r="B695" t="str">
        <f>IF(ISERROR(VLOOKUP(E695,Nombres!A:D,2,FALSE)),"PROBLEMAAAAAA",VLOOKUP(E695,Nombres!A:D,2,FALSE))</f>
        <v>Juanlu</v>
      </c>
      <c r="C695" t="str">
        <f>IF(ISERROR(VLOOKUP(E695,Nombres!A:D,4,FALSE)),"PROBLEMAAAAAA",VLOOKUP(E695,Nombres!A:D,4,FALSE))</f>
        <v>MED</v>
      </c>
      <c r="D695" t="str">
        <f>IF(ISERROR(VLOOKUP(E695,Nombres!A:D,3,FALSE)),"PROBLEMAAAAAA",VLOOKUP(E695,Nombres!A:D,3,FALSE))</f>
        <v>Sevilla</v>
      </c>
      <c r="E695" t="s">
        <v>33</v>
      </c>
      <c r="F695" s="1">
        <v>45929</v>
      </c>
      <c r="G695" t="s">
        <v>31</v>
      </c>
      <c r="H695" t="s">
        <v>6</v>
      </c>
      <c r="I695" s="2">
        <v>3329753</v>
      </c>
    </row>
    <row r="696" spans="1:9" x14ac:dyDescent="0.25">
      <c r="A696">
        <v>695</v>
      </c>
      <c r="B696" t="str">
        <f>IF(ISERROR(VLOOKUP(E696,Nombres!A:D,2,FALSE)),"PROBLEMAAAAAA",VLOOKUP(E696,Nombres!A:D,2,FALSE))</f>
        <v>Militão</v>
      </c>
      <c r="C696" t="str">
        <f>IF(ISERROR(VLOOKUP(E696,Nombres!A:D,4,FALSE)),"PROBLEMAAAAAA",VLOOKUP(E696,Nombres!A:D,4,FALSE))</f>
        <v>DEF</v>
      </c>
      <c r="D696" t="str">
        <f>IF(ISERROR(VLOOKUP(E696,Nombres!A:D,3,FALSE)),"PROBLEMAAAAAA",VLOOKUP(E696,Nombres!A:D,3,FALSE))</f>
        <v>Real Madrid</v>
      </c>
      <c r="E696" t="s">
        <v>164</v>
      </c>
      <c r="F696" s="1">
        <v>45929</v>
      </c>
      <c r="G696" t="s">
        <v>31</v>
      </c>
      <c r="H696" t="s">
        <v>6</v>
      </c>
      <c r="I696" s="2">
        <v>56177599</v>
      </c>
    </row>
    <row r="697" spans="1:9" x14ac:dyDescent="0.25">
      <c r="A697">
        <v>696</v>
      </c>
      <c r="B697" t="str">
        <f>IF(ISERROR(VLOOKUP(E697,Nombres!A:D,2,FALSE)),"PROBLEMAAAAAA",VLOOKUP(E697,Nombres!A:D,2,FALSE))</f>
        <v>Oyarzabal</v>
      </c>
      <c r="C697" t="str">
        <f>IF(ISERROR(VLOOKUP(E697,Nombres!A:D,4,FALSE)),"PROBLEMAAAAAA",VLOOKUP(E697,Nombres!A:D,4,FALSE))</f>
        <v>DEL</v>
      </c>
      <c r="D697" t="str">
        <f>IF(ISERROR(VLOOKUP(E697,Nombres!A:D,3,FALSE)),"PROBLEMAAAAAA",VLOOKUP(E697,Nombres!A:D,3,FALSE))</f>
        <v>Real Sociedad</v>
      </c>
      <c r="E697" t="s">
        <v>136</v>
      </c>
      <c r="F697" s="1">
        <v>45929</v>
      </c>
      <c r="G697" t="s">
        <v>31</v>
      </c>
      <c r="H697" t="s">
        <v>9</v>
      </c>
      <c r="I697" s="2">
        <v>44354180</v>
      </c>
    </row>
    <row r="698" spans="1:9" x14ac:dyDescent="0.25">
      <c r="A698">
        <v>697</v>
      </c>
      <c r="B698" t="str">
        <f>IF(ISERROR(VLOOKUP(E698,Nombres!A:D,2,FALSE)),"PROBLEMAAAAAA",VLOOKUP(E698,Nombres!A:D,2,FALSE))</f>
        <v>Rubén G.</v>
      </c>
      <c r="C698" t="str">
        <f>IF(ISERROR(VLOOKUP(E698,Nombres!A:D,4,FALSE)),"PROBLEMAAAAAA",VLOOKUP(E698,Nombres!A:D,4,FALSE))</f>
        <v>MED</v>
      </c>
      <c r="D698" t="str">
        <f>IF(ISERROR(VLOOKUP(E698,Nombres!A:D,3,FALSE)),"PROBLEMAAAAAA",VLOOKUP(E698,Nombres!A:D,3,FALSE))</f>
        <v>Osasuna</v>
      </c>
      <c r="E698" t="s">
        <v>37</v>
      </c>
      <c r="F698" s="1">
        <v>45929</v>
      </c>
      <c r="G698" t="s">
        <v>31</v>
      </c>
      <c r="H698" t="s">
        <v>14</v>
      </c>
      <c r="I698" s="2">
        <v>5317380</v>
      </c>
    </row>
    <row r="699" spans="1:9" x14ac:dyDescent="0.25">
      <c r="A699">
        <v>698</v>
      </c>
      <c r="B699" t="str">
        <f>IF(ISERROR(VLOOKUP(E699,Nombres!A:D,2,FALSE)),"PROBLEMAAAAAA",VLOOKUP(E699,Nombres!A:D,2,FALSE))</f>
        <v>Ruggeri</v>
      </c>
      <c r="C699" t="str">
        <f>IF(ISERROR(VLOOKUP(E699,Nombres!A:D,4,FALSE)),"PROBLEMAAAAAA",VLOOKUP(E699,Nombres!A:D,4,FALSE))</f>
        <v>DEF</v>
      </c>
      <c r="D699" t="str">
        <f>IF(ISERROR(VLOOKUP(E699,Nombres!A:D,3,FALSE)),"PROBLEMAAAAAA",VLOOKUP(E699,Nombres!A:D,3,FALSE))</f>
        <v>Atlético</v>
      </c>
      <c r="E699" t="s">
        <v>100</v>
      </c>
      <c r="F699" s="1">
        <v>45929</v>
      </c>
      <c r="G699" t="s">
        <v>31</v>
      </c>
      <c r="H699" t="s">
        <v>7</v>
      </c>
      <c r="I699" s="2">
        <v>10791321</v>
      </c>
    </row>
    <row r="700" spans="1:9" x14ac:dyDescent="0.25">
      <c r="A700">
        <v>699</v>
      </c>
      <c r="B700" t="str">
        <f>IF(ISERROR(VLOOKUP(E700,Nombres!A:D,2,FALSE)),"PROBLEMAAAAAA",VLOOKUP(E700,Nombres!A:D,2,FALSE))</f>
        <v>Sergio Gómez</v>
      </c>
      <c r="C700" t="str">
        <f>IF(ISERROR(VLOOKUP(E700,Nombres!A:D,4,FALSE)),"PROBLEMAAAAAA",VLOOKUP(E700,Nombres!A:D,4,FALSE))</f>
        <v>DEF</v>
      </c>
      <c r="D700" t="str">
        <f>IF(ISERROR(VLOOKUP(E700,Nombres!A:D,3,FALSE)),"PROBLEMAAAAAA",VLOOKUP(E700,Nombres!A:D,3,FALSE))</f>
        <v>Real Sociedad</v>
      </c>
      <c r="E700" t="s">
        <v>160</v>
      </c>
      <c r="F700" s="1">
        <v>45929</v>
      </c>
      <c r="G700" t="s">
        <v>768</v>
      </c>
      <c r="H700" t="s">
        <v>31</v>
      </c>
      <c r="I700" s="2">
        <v>5829874</v>
      </c>
    </row>
    <row r="701" spans="1:9" x14ac:dyDescent="0.25">
      <c r="A701">
        <v>700</v>
      </c>
      <c r="B701" t="str">
        <f>IF(ISERROR(VLOOKUP(E701,Nombres!A:D,2,FALSE)),"PROBLEMAAAAAA",VLOOKUP(E701,Nombres!A:D,2,FALSE))</f>
        <v>Suazo</v>
      </c>
      <c r="C701" t="str">
        <f>IF(ISERROR(VLOOKUP(E701,Nombres!A:D,4,FALSE)),"PROBLEMAAAAAA",VLOOKUP(E701,Nombres!A:D,4,FALSE))</f>
        <v>DEF</v>
      </c>
      <c r="D701" t="str">
        <f>IF(ISERROR(VLOOKUP(E701,Nombres!A:D,3,FALSE)),"PROBLEMAAAAAA",VLOOKUP(E701,Nombres!A:D,3,FALSE))</f>
        <v>Sevilla</v>
      </c>
      <c r="E701" t="s">
        <v>296</v>
      </c>
      <c r="F701" s="1">
        <v>45929</v>
      </c>
      <c r="G701" t="s">
        <v>768</v>
      </c>
      <c r="H701" t="s">
        <v>10</v>
      </c>
      <c r="I701" s="2">
        <v>8975124</v>
      </c>
    </row>
    <row r="702" spans="1:9" x14ac:dyDescent="0.25">
      <c r="A702">
        <v>701</v>
      </c>
      <c r="B702" t="str">
        <f>IF(ISERROR(VLOOKUP(E702,Nombres!A:D,2,FALSE)),"PROBLEMAAAAAA",VLOOKUP(E702,Nombres!A:D,2,FALSE))</f>
        <v>Tchouaméni</v>
      </c>
      <c r="C702" t="str">
        <f>IF(ISERROR(VLOOKUP(E702,Nombres!A:D,4,FALSE)),"PROBLEMAAAAAA",VLOOKUP(E702,Nombres!A:D,4,FALSE))</f>
        <v>MED</v>
      </c>
      <c r="D702" t="str">
        <f>IF(ISERROR(VLOOKUP(E702,Nombres!A:D,3,FALSE)),"PROBLEMAAAAAA",VLOOKUP(E702,Nombres!A:D,3,FALSE))</f>
        <v>Real Madrid</v>
      </c>
      <c r="E702" t="s">
        <v>196</v>
      </c>
      <c r="F702" s="1">
        <v>45929</v>
      </c>
      <c r="G702" t="s">
        <v>31</v>
      </c>
      <c r="H702" t="s">
        <v>7</v>
      </c>
      <c r="I702" s="2">
        <v>62471604</v>
      </c>
    </row>
    <row r="703" spans="1:9" x14ac:dyDescent="0.25">
      <c r="A703">
        <v>702</v>
      </c>
      <c r="B703" t="str">
        <f>IF(ISERROR(VLOOKUP(E703,Nombres!A:D,2,FALSE)),"PROBLEMAAAAAA",VLOOKUP(E703,Nombres!A:D,2,FALSE))</f>
        <v>Areso</v>
      </c>
      <c r="C703" t="str">
        <f>IF(ISERROR(VLOOKUP(E703,Nombres!A:D,4,FALSE)),"PROBLEMAAAAAA",VLOOKUP(E703,Nombres!A:D,4,FALSE))</f>
        <v>DEF</v>
      </c>
      <c r="D703" t="str">
        <f>IF(ISERROR(VLOOKUP(E703,Nombres!A:D,3,FALSE)),"PROBLEMAAAAAA",VLOOKUP(E703,Nombres!A:D,3,FALSE))</f>
        <v>Athletic</v>
      </c>
      <c r="E703" t="s">
        <v>34</v>
      </c>
      <c r="F703" s="1">
        <v>45930</v>
      </c>
      <c r="G703" t="s">
        <v>10</v>
      </c>
      <c r="H703" t="s">
        <v>9</v>
      </c>
      <c r="I703" s="2">
        <v>15500000</v>
      </c>
    </row>
    <row r="704" spans="1:9" x14ac:dyDescent="0.25">
      <c r="A704">
        <v>703</v>
      </c>
      <c r="B704" t="str">
        <f>IF(ISERROR(VLOOKUP(E704,Nombres!A:D,2,FALSE)),"PROBLEMAAAAAA",VLOOKUP(E704,Nombres!A:D,2,FALSE))</f>
        <v>Francés</v>
      </c>
      <c r="C704" t="str">
        <f>IF(ISERROR(VLOOKUP(E704,Nombres!A:D,4,FALSE)),"PROBLEMAAAAAA",VLOOKUP(E704,Nombres!A:D,4,FALSE))</f>
        <v>DEF</v>
      </c>
      <c r="D704" t="str">
        <f>IF(ISERROR(VLOOKUP(E704,Nombres!A:D,3,FALSE)),"PROBLEMAAAAAA",VLOOKUP(E704,Nombres!A:D,3,FALSE))</f>
        <v>Girona</v>
      </c>
      <c r="E704" t="s">
        <v>443</v>
      </c>
      <c r="F704" s="1">
        <v>45930</v>
      </c>
      <c r="G704" t="s">
        <v>7</v>
      </c>
      <c r="H704" t="s">
        <v>31</v>
      </c>
      <c r="I704" s="2">
        <v>1704077</v>
      </c>
    </row>
    <row r="705" spans="1:9" x14ac:dyDescent="0.25">
      <c r="A705">
        <v>704</v>
      </c>
      <c r="B705" t="str">
        <f>IF(ISERROR(VLOOKUP(E705,Nombres!A:D,2,FALSE)),"PROBLEMAAAAAA",VLOOKUP(E705,Nombres!A:D,2,FALSE))</f>
        <v>Griezmann</v>
      </c>
      <c r="C705" t="str">
        <f>IF(ISERROR(VLOOKUP(E705,Nombres!A:D,4,FALSE)),"PROBLEMAAAAAA",VLOOKUP(E705,Nombres!A:D,4,FALSE))</f>
        <v>DEL</v>
      </c>
      <c r="D705" t="str">
        <f>IF(ISERROR(VLOOKUP(E705,Nombres!A:D,3,FALSE)),"PROBLEMAAAAAA",VLOOKUP(E705,Nombres!A:D,3,FALSE))</f>
        <v>Atlético</v>
      </c>
      <c r="E705" t="s">
        <v>359</v>
      </c>
      <c r="F705" s="1">
        <v>45930</v>
      </c>
      <c r="G705" t="s">
        <v>31</v>
      </c>
      <c r="H705" t="s">
        <v>9</v>
      </c>
      <c r="I705" s="2">
        <v>23879223</v>
      </c>
    </row>
    <row r="706" spans="1:9" x14ac:dyDescent="0.25">
      <c r="A706">
        <v>705</v>
      </c>
      <c r="B706" t="str">
        <f>IF(ISERROR(VLOOKUP(E706,Nombres!A:D,2,FALSE)),"PROBLEMAAAAAA",VLOOKUP(E706,Nombres!A:D,2,FALSE))</f>
        <v>Jauregizar</v>
      </c>
      <c r="C706" t="str">
        <f>IF(ISERROR(VLOOKUP(E706,Nombres!A:D,4,FALSE)),"PROBLEMAAAAAA",VLOOKUP(E706,Nombres!A:D,4,FALSE))</f>
        <v>MED</v>
      </c>
      <c r="D706" t="str">
        <f>IF(ISERROR(VLOOKUP(E706,Nombres!A:D,3,FALSE)),"PROBLEMAAAAAA",VLOOKUP(E706,Nombres!A:D,3,FALSE))</f>
        <v>Athletic</v>
      </c>
      <c r="E706" t="s">
        <v>176</v>
      </c>
      <c r="F706" s="1">
        <v>45930</v>
      </c>
      <c r="G706" t="s">
        <v>7</v>
      </c>
      <c r="H706" t="s">
        <v>14</v>
      </c>
      <c r="I706" s="2">
        <v>18099036</v>
      </c>
    </row>
    <row r="707" spans="1:9" x14ac:dyDescent="0.25">
      <c r="A707">
        <v>706</v>
      </c>
      <c r="B707" t="str">
        <f>IF(ISERROR(VLOOKUP(E707,Nombres!A:D,2,FALSE)),"PROBLEMAAAAAA",VLOOKUP(E707,Nombres!A:D,2,FALSE))</f>
        <v>Toljan</v>
      </c>
      <c r="C707" t="str">
        <f>IF(ISERROR(VLOOKUP(E707,Nombres!A:D,4,FALSE)),"PROBLEMAAAAAA",VLOOKUP(E707,Nombres!A:D,4,FALSE))</f>
        <v>DEF</v>
      </c>
      <c r="D707" t="str">
        <f>IF(ISERROR(VLOOKUP(E707,Nombres!A:D,3,FALSE)),"PROBLEMAAAAAA",VLOOKUP(E707,Nombres!A:D,3,FALSE))</f>
        <v>Levante</v>
      </c>
      <c r="E707" t="s">
        <v>315</v>
      </c>
      <c r="F707" s="1">
        <v>45930</v>
      </c>
      <c r="G707" t="s">
        <v>10</v>
      </c>
      <c r="H707" t="s">
        <v>6</v>
      </c>
      <c r="I707" s="2">
        <v>14047148</v>
      </c>
    </row>
    <row r="708" spans="1:9" x14ac:dyDescent="0.25">
      <c r="A708">
        <v>707</v>
      </c>
      <c r="B708" t="str">
        <f>IF(ISERROR(VLOOKUP(E708,Nombres!A:D,2,FALSE)),"PROBLEMAAAAAA",VLOOKUP(E708,Nombres!A:D,2,FALSE))</f>
        <v>Luis Milla</v>
      </c>
      <c r="C708" t="str">
        <f>IF(ISERROR(VLOOKUP(E708,Nombres!A:D,4,FALSE)),"PROBLEMAAAAAA",VLOOKUP(E708,Nombres!A:D,4,FALSE))</f>
        <v>MED</v>
      </c>
      <c r="D708" t="str">
        <f>IF(ISERROR(VLOOKUP(E708,Nombres!A:D,3,FALSE)),"PROBLEMAAAAAA",VLOOKUP(E708,Nombres!A:D,3,FALSE))</f>
        <v>Getafe</v>
      </c>
      <c r="E708" t="s">
        <v>326</v>
      </c>
      <c r="F708" s="1">
        <v>45930</v>
      </c>
      <c r="G708" t="s">
        <v>6</v>
      </c>
      <c r="H708" t="s">
        <v>768</v>
      </c>
      <c r="I708" s="2">
        <v>45988103</v>
      </c>
    </row>
    <row r="709" spans="1:9" x14ac:dyDescent="0.25">
      <c r="A709">
        <v>708</v>
      </c>
      <c r="B709" t="str">
        <f>IF(ISERROR(VLOOKUP(E709,Nombres!A:D,2,FALSE)),"PROBLEMAAAAAA",VLOOKUP(E709,Nombres!A:D,2,FALSE))</f>
        <v>Lo Celso</v>
      </c>
      <c r="C709" t="str">
        <f>IF(ISERROR(VLOOKUP(E709,Nombres!A:D,4,FALSE)),"PROBLEMAAAAAA",VLOOKUP(E709,Nombres!A:D,4,FALSE))</f>
        <v>MED</v>
      </c>
      <c r="D709" t="str">
        <f>IF(ISERROR(VLOOKUP(E709,Nombres!A:D,3,FALSE)),"PROBLEMAAAAAA",VLOOKUP(E709,Nombres!A:D,3,FALSE))</f>
        <v>Betis</v>
      </c>
      <c r="E709" t="s">
        <v>299</v>
      </c>
      <c r="F709" s="1">
        <v>45930</v>
      </c>
      <c r="G709" t="s">
        <v>31</v>
      </c>
      <c r="H709" t="s">
        <v>9</v>
      </c>
      <c r="I709" s="2">
        <v>76756602</v>
      </c>
    </row>
    <row r="710" spans="1:9" x14ac:dyDescent="0.25">
      <c r="A710">
        <v>709</v>
      </c>
      <c r="B710" t="str">
        <f>IF(ISERROR(VLOOKUP(E710,Nombres!A:D,2,FALSE)),"PROBLEMAAAAAA",VLOOKUP(E710,Nombres!A:D,2,FALSE))</f>
        <v>Pubill</v>
      </c>
      <c r="C710" t="str">
        <f>IF(ISERROR(VLOOKUP(E710,Nombres!A:D,4,FALSE)),"PROBLEMAAAAAA",VLOOKUP(E710,Nombres!A:D,4,FALSE))</f>
        <v>DEF</v>
      </c>
      <c r="D710" t="str">
        <f>IF(ISERROR(VLOOKUP(E710,Nombres!A:D,3,FALSE)),"PROBLEMAAAAAA",VLOOKUP(E710,Nombres!A:D,3,FALSE))</f>
        <v>Atlético</v>
      </c>
      <c r="E710" t="s">
        <v>445</v>
      </c>
      <c r="F710" s="1">
        <v>45930</v>
      </c>
      <c r="G710" t="s">
        <v>11</v>
      </c>
      <c r="H710" t="s">
        <v>31</v>
      </c>
      <c r="I710" s="2">
        <v>1478279</v>
      </c>
    </row>
    <row r="711" spans="1:9" x14ac:dyDescent="0.25">
      <c r="A711">
        <v>635</v>
      </c>
      <c r="B711" t="str">
        <f>IF(ISERROR(VLOOKUP(E711,Nombres!A:D,2,FALSE)),"PROBLEMAAAAAA",VLOOKUP(E711,Nombres!A:D,2,FALSE))</f>
        <v>Vargas</v>
      </c>
      <c r="C711" t="str">
        <f>IF(ISERROR(VLOOKUP(E711,Nombres!A:D,4,FALSE)),"PROBLEMAAAAAA",VLOOKUP(E711,Nombres!A:D,4,FALSE))</f>
        <v>DEL</v>
      </c>
      <c r="D711" t="str">
        <f>IF(ISERROR(VLOOKUP(E711,Nombres!A:D,3,FALSE)),"PROBLEMAAAAAA",VLOOKUP(E711,Nombres!A:D,3,FALSE))</f>
        <v>Sevilla</v>
      </c>
      <c r="E711" t="s">
        <v>301</v>
      </c>
      <c r="F711" s="1">
        <v>45923</v>
      </c>
      <c r="G711" t="s">
        <v>10</v>
      </c>
      <c r="H711" t="s">
        <v>13</v>
      </c>
      <c r="I711" s="2">
        <v>30085836</v>
      </c>
    </row>
    <row r="712" spans="1:9" x14ac:dyDescent="0.25">
      <c r="A712">
        <v>711</v>
      </c>
      <c r="B712" t="str">
        <f>IF(ISERROR(VLOOKUP(E712,Nombres!A:D,2,FALSE)),"PROBLEMAAAAAA",VLOOKUP(E712,Nombres!A:D,2,FALSE))</f>
        <v>Mojica</v>
      </c>
      <c r="C712" t="str">
        <f>IF(ISERROR(VLOOKUP(E712,Nombres!A:D,4,FALSE)),"PROBLEMAAAAAA",VLOOKUP(E712,Nombres!A:D,4,FALSE))</f>
        <v>DEF</v>
      </c>
      <c r="D712" t="str">
        <f>IF(ISERROR(VLOOKUP(E712,Nombres!A:D,3,FALSE)),"PROBLEMAAAAAA",VLOOKUP(E712,Nombres!A:D,3,FALSE))</f>
        <v>Mallorca</v>
      </c>
      <c r="E712" t="s">
        <v>173</v>
      </c>
      <c r="F712" s="1">
        <v>45930</v>
      </c>
      <c r="G712" t="s">
        <v>31</v>
      </c>
      <c r="H712" t="s">
        <v>12</v>
      </c>
      <c r="I712" s="2">
        <v>6711961</v>
      </c>
    </row>
    <row r="713" spans="1:9" x14ac:dyDescent="0.25">
      <c r="A713">
        <v>712</v>
      </c>
      <c r="B713" t="str">
        <f>IF(ISERROR(VLOOKUP(E713,Nombres!A:D,2,FALSE)),"PROBLEMAAAAAA",VLOOKUP(E713,Nombres!A:D,2,FALSE))</f>
        <v>Oluwaseyi</v>
      </c>
      <c r="C713" t="str">
        <f>IF(ISERROR(VLOOKUP(E713,Nombres!A:D,4,FALSE)),"PROBLEMAAAAAA",VLOOKUP(E713,Nombres!A:D,4,FALSE))</f>
        <v>DEL</v>
      </c>
      <c r="D713" t="str">
        <f>IF(ISERROR(VLOOKUP(E713,Nombres!A:D,3,FALSE)),"PROBLEMAAAAAA",VLOOKUP(E713,Nombres!A:D,3,FALSE))</f>
        <v>Villarreal</v>
      </c>
      <c r="E713" t="s">
        <v>444</v>
      </c>
      <c r="F713" s="1">
        <v>45930</v>
      </c>
      <c r="G713" t="s">
        <v>7</v>
      </c>
      <c r="H713" t="s">
        <v>31</v>
      </c>
      <c r="I713" s="2">
        <v>2856286</v>
      </c>
    </row>
    <row r="714" spans="1:9" x14ac:dyDescent="0.25">
      <c r="A714">
        <v>713</v>
      </c>
      <c r="B714" t="str">
        <f>IF(ISERROR(VLOOKUP(E714,Nombres!A:D,2,FALSE)),"PROBLEMAAAAAA",VLOOKUP(E714,Nombres!A:D,2,FALSE))</f>
        <v>Roca</v>
      </c>
      <c r="C714" t="str">
        <f>IF(ISERROR(VLOOKUP(E714,Nombres!A:D,4,FALSE)),"PROBLEMAAAAAA",VLOOKUP(E714,Nombres!A:D,4,FALSE))</f>
        <v>MED</v>
      </c>
      <c r="D714" t="str">
        <f>IF(ISERROR(VLOOKUP(E714,Nombres!A:D,3,FALSE)),"PROBLEMAAAAAA",VLOOKUP(E714,Nombres!A:D,3,FALSE))</f>
        <v>Espanyol</v>
      </c>
      <c r="E714" t="s">
        <v>446</v>
      </c>
      <c r="F714" s="1">
        <v>45930</v>
      </c>
      <c r="G714" t="s">
        <v>7</v>
      </c>
      <c r="H714" t="s">
        <v>31</v>
      </c>
      <c r="I714" s="2">
        <v>379084</v>
      </c>
    </row>
    <row r="715" spans="1:9" x14ac:dyDescent="0.25">
      <c r="A715">
        <v>714</v>
      </c>
      <c r="B715" t="str">
        <f>IF(ISERROR(VLOOKUP(E715,Nombres!A:D,2,FALSE)),"PROBLEMAAAAAA",VLOOKUP(E715,Nombres!A:D,2,FALSE))</f>
        <v>Tenaglia</v>
      </c>
      <c r="C715" t="str">
        <f>IF(ISERROR(VLOOKUP(E715,Nombres!A:D,4,FALSE)),"PROBLEMAAAAAA",VLOOKUP(E715,Nombres!A:D,4,FALSE))</f>
        <v>DEF</v>
      </c>
      <c r="D715" t="str">
        <f>IF(ISERROR(VLOOKUP(E715,Nombres!A:D,3,FALSE)),"PROBLEMAAAAAA",VLOOKUP(E715,Nombres!A:D,3,FALSE))</f>
        <v>Alavés</v>
      </c>
      <c r="E715" t="s">
        <v>288</v>
      </c>
      <c r="F715" s="1">
        <v>45930</v>
      </c>
      <c r="G715" t="s">
        <v>13</v>
      </c>
      <c r="H715" t="s">
        <v>6</v>
      </c>
      <c r="I715" s="2">
        <v>18024671</v>
      </c>
    </row>
    <row r="716" spans="1:9" x14ac:dyDescent="0.25">
      <c r="A716">
        <v>715</v>
      </c>
      <c r="B716" t="str">
        <f>IF(ISERROR(VLOOKUP(E716,Nombres!A:D,2,FALSE)),"PROBLEMAAAAAA",VLOOKUP(E716,Nombres!A:D,2,FALSE))</f>
        <v>Boyomo</v>
      </c>
      <c r="C716" t="str">
        <f>IF(ISERROR(VLOOKUP(E716,Nombres!A:D,4,FALSE)),"PROBLEMAAAAAA",VLOOKUP(E716,Nombres!A:D,4,FALSE))</f>
        <v>DEF</v>
      </c>
      <c r="D716" t="str">
        <f>IF(ISERROR(VLOOKUP(E716,Nombres!A:D,3,FALSE)),"PROBLEMAAAAAA",VLOOKUP(E716,Nombres!A:D,3,FALSE))</f>
        <v>Osasuna</v>
      </c>
      <c r="E716" t="s">
        <v>115</v>
      </c>
      <c r="F716" s="1">
        <v>45931</v>
      </c>
      <c r="G716" t="s">
        <v>11</v>
      </c>
      <c r="H716" t="s">
        <v>7</v>
      </c>
      <c r="I716" s="2">
        <v>26929228</v>
      </c>
    </row>
    <row r="717" spans="1:9" x14ac:dyDescent="0.25">
      <c r="A717">
        <v>716</v>
      </c>
      <c r="B717" t="str">
        <f>IF(ISERROR(VLOOKUP(E717,Nombres!A:D,2,FALSE)),"PROBLEMAAAAAA",VLOOKUP(E717,Nombres!A:D,2,FALSE))</f>
        <v>Fornals</v>
      </c>
      <c r="C717" t="str">
        <f>IF(ISERROR(VLOOKUP(E717,Nombres!A:D,4,FALSE)),"PROBLEMAAAAAA",VLOOKUP(E717,Nombres!A:D,4,FALSE))</f>
        <v>MED</v>
      </c>
      <c r="D717" t="str">
        <f>IF(ISERROR(VLOOKUP(E717,Nombres!A:D,3,FALSE)),"PROBLEMAAAAAA",VLOOKUP(E717,Nombres!A:D,3,FALSE))</f>
        <v>Betis</v>
      </c>
      <c r="E717" t="s">
        <v>120</v>
      </c>
      <c r="F717" s="1">
        <v>45931</v>
      </c>
      <c r="G717" t="s">
        <v>12</v>
      </c>
      <c r="H717" t="s">
        <v>768</v>
      </c>
      <c r="I717" s="2">
        <v>34462038</v>
      </c>
    </row>
    <row r="718" spans="1:9" x14ac:dyDescent="0.25">
      <c r="A718">
        <v>717</v>
      </c>
      <c r="B718" t="str">
        <f>IF(ISERROR(VLOOKUP(E718,Nombres!A:D,2,FALSE)),"PROBLEMAAAAAA",VLOOKUP(E718,Nombres!A:D,2,FALSE))</f>
        <v>Mastantuono</v>
      </c>
      <c r="C718" t="str">
        <f>IF(ISERROR(VLOOKUP(E718,Nombres!A:D,4,FALSE)),"PROBLEMAAAAAA",VLOOKUP(E718,Nombres!A:D,4,FALSE))</f>
        <v>DEL</v>
      </c>
      <c r="D718" t="str">
        <f>IF(ISERROR(VLOOKUP(E718,Nombres!A:D,3,FALSE)),"PROBLEMAAAAAA",VLOOKUP(E718,Nombres!A:D,3,FALSE))</f>
        <v>Real Madrid</v>
      </c>
      <c r="E718" t="s">
        <v>278</v>
      </c>
      <c r="F718" s="1">
        <v>45931</v>
      </c>
      <c r="G718" t="s">
        <v>31</v>
      </c>
      <c r="H718" t="s">
        <v>768</v>
      </c>
      <c r="I718" s="2">
        <v>46731008</v>
      </c>
    </row>
    <row r="719" spans="1:9" x14ac:dyDescent="0.25">
      <c r="A719">
        <v>718</v>
      </c>
      <c r="B719" t="str">
        <f>IF(ISERROR(VLOOKUP(E719,Nombres!A:D,2,FALSE)),"PROBLEMAAAAAA",VLOOKUP(E719,Nombres!A:D,2,FALSE))</f>
        <v>Güler</v>
      </c>
      <c r="C719" t="str">
        <f>IF(ISERROR(VLOOKUP(E719,Nombres!A:D,4,FALSE)),"PROBLEMAAAAAA",VLOOKUP(E719,Nombres!A:D,4,FALSE))</f>
        <v>MED</v>
      </c>
      <c r="D719" t="str">
        <f>IF(ISERROR(VLOOKUP(E719,Nombres!A:D,3,FALSE)),"PROBLEMAAAAAA",VLOOKUP(E719,Nombres!A:D,3,FALSE))</f>
        <v>Real Madrid</v>
      </c>
      <c r="E719" t="s">
        <v>38</v>
      </c>
      <c r="F719" s="1">
        <v>45931</v>
      </c>
      <c r="G719" t="s">
        <v>768</v>
      </c>
      <c r="H719" t="s">
        <v>11</v>
      </c>
      <c r="I719" s="2">
        <v>122854925</v>
      </c>
    </row>
    <row r="720" spans="1:9" x14ac:dyDescent="0.25">
      <c r="A720">
        <v>719</v>
      </c>
      <c r="B720" t="str">
        <f>IF(ISERROR(VLOOKUP(E720,Nombres!A:D,2,FALSE)),"PROBLEMAAAAAA",VLOOKUP(E720,Nombres!A:D,2,FALSE))</f>
        <v>Boyé</v>
      </c>
      <c r="C720" t="str">
        <f>IF(ISERROR(VLOOKUP(E720,Nombres!A:D,4,FALSE)),"PROBLEMAAAAAA",VLOOKUP(E720,Nombres!A:D,4,FALSE))</f>
        <v>DEL</v>
      </c>
      <c r="D720" t="str">
        <f>IF(ISERROR(VLOOKUP(E720,Nombres!A:D,3,FALSE)),"PROBLEMAAAAAA",VLOOKUP(E720,Nombres!A:D,3,FALSE))</f>
        <v>Alavés</v>
      </c>
      <c r="E720" t="s">
        <v>314</v>
      </c>
      <c r="F720" s="1">
        <v>45931</v>
      </c>
      <c r="G720" t="s">
        <v>9</v>
      </c>
      <c r="H720" t="s">
        <v>10</v>
      </c>
      <c r="I720" s="2">
        <v>2506689</v>
      </c>
    </row>
    <row r="721" spans="1:9" x14ac:dyDescent="0.25">
      <c r="A721">
        <v>720</v>
      </c>
      <c r="B721" t="str">
        <f>IF(ISERROR(VLOOKUP(E721,Nombres!A:D,2,FALSE)),"PROBLEMAAAAAA",VLOOKUP(E721,Nombres!A:D,2,FALSE))</f>
        <v>Foulquier</v>
      </c>
      <c r="C721" t="str">
        <f>IF(ISERROR(VLOOKUP(E721,Nombres!A:D,4,FALSE)),"PROBLEMAAAAAA",VLOOKUP(E721,Nombres!A:D,4,FALSE))</f>
        <v>DEF</v>
      </c>
      <c r="D721" t="str">
        <f>IF(ISERROR(VLOOKUP(E721,Nombres!A:D,3,FALSE)),"PROBLEMAAAAAA",VLOOKUP(E721,Nombres!A:D,3,FALSE))</f>
        <v>Valencia</v>
      </c>
      <c r="E721" t="s">
        <v>307</v>
      </c>
      <c r="F721" s="1">
        <v>45931</v>
      </c>
      <c r="G721" t="s">
        <v>6</v>
      </c>
      <c r="H721" t="s">
        <v>14</v>
      </c>
      <c r="I721" s="2">
        <v>10552100</v>
      </c>
    </row>
    <row r="722" spans="1:9" x14ac:dyDescent="0.25">
      <c r="A722">
        <v>721</v>
      </c>
      <c r="B722" t="str">
        <f>IF(ISERROR(VLOOKUP(E722,Nombres!A:D,2,FALSE)),"PROBLEMAAAAAA",VLOOKUP(E722,Nombres!A:D,2,FALSE))</f>
        <v>Pépé</v>
      </c>
      <c r="C722" t="str">
        <f>IF(ISERROR(VLOOKUP(E722,Nombres!A:D,4,FALSE)),"PROBLEMAAAAAA",VLOOKUP(E722,Nombres!A:D,4,FALSE))</f>
        <v>DEL</v>
      </c>
      <c r="D722" t="str">
        <f>IF(ISERROR(VLOOKUP(E722,Nombres!A:D,3,FALSE)),"PROBLEMAAAAAA",VLOOKUP(E722,Nombres!A:D,3,FALSE))</f>
        <v>Villarreal</v>
      </c>
      <c r="E722" t="s">
        <v>105</v>
      </c>
      <c r="F722" s="1">
        <v>45931</v>
      </c>
      <c r="G722" t="s">
        <v>13</v>
      </c>
      <c r="H722" t="s">
        <v>11</v>
      </c>
      <c r="I722" s="2">
        <v>85296567</v>
      </c>
    </row>
    <row r="723" spans="1:9" x14ac:dyDescent="0.25">
      <c r="A723">
        <v>722</v>
      </c>
      <c r="B723" t="str">
        <f>IF(ISERROR(VLOOKUP(E723,Nombres!A:D,2,FALSE)),"PROBLEMAAAAAA",VLOOKUP(E723,Nombres!A:D,2,FALSE))</f>
        <v>Catena</v>
      </c>
      <c r="C723" t="str">
        <f>IF(ISERROR(VLOOKUP(E723,Nombres!A:D,4,FALSE)),"PROBLEMAAAAAA",VLOOKUP(E723,Nombres!A:D,4,FALSE))</f>
        <v>DEF</v>
      </c>
      <c r="D723" t="str">
        <f>IF(ISERROR(VLOOKUP(E723,Nombres!A:D,3,FALSE)),"PROBLEMAAAAAA",VLOOKUP(E723,Nombres!A:D,3,FALSE))</f>
        <v>Osasuna</v>
      </c>
      <c r="E723" t="s">
        <v>175</v>
      </c>
      <c r="F723" s="1">
        <v>45931</v>
      </c>
      <c r="G723" t="s">
        <v>13</v>
      </c>
      <c r="H723" t="s">
        <v>768</v>
      </c>
      <c r="I723" s="2">
        <v>34082326</v>
      </c>
    </row>
    <row r="724" spans="1:9" x14ac:dyDescent="0.25">
      <c r="A724">
        <v>723</v>
      </c>
      <c r="B724" t="str">
        <f>IF(ISERROR(VLOOKUP(E724,Nombres!A:D,2,FALSE)),"PROBLEMAAAAAA",VLOOKUP(E724,Nombres!A:D,2,FALSE))</f>
        <v>Arambarri</v>
      </c>
      <c r="C724" t="str">
        <f>IF(ISERROR(VLOOKUP(E724,Nombres!A:D,4,FALSE)),"PROBLEMAAAAAA",VLOOKUP(E724,Nombres!A:D,4,FALSE))</f>
        <v>MED</v>
      </c>
      <c r="D724" t="str">
        <f>IF(ISERROR(VLOOKUP(E724,Nombres!A:D,3,FALSE)),"PROBLEMAAAAAA",VLOOKUP(E724,Nombres!A:D,3,FALSE))</f>
        <v>Getafe</v>
      </c>
      <c r="E724" t="s">
        <v>73</v>
      </c>
      <c r="F724" s="1">
        <v>45931</v>
      </c>
      <c r="G724" t="s">
        <v>14</v>
      </c>
      <c r="H724" t="s">
        <v>13</v>
      </c>
      <c r="I724" s="2">
        <v>20000000</v>
      </c>
    </row>
    <row r="725" spans="1:9" x14ac:dyDescent="0.25">
      <c r="A725">
        <v>724</v>
      </c>
      <c r="B725" t="str">
        <f>IF(ISERROR(VLOOKUP(E725,Nombres!A:D,2,FALSE)),"PROBLEMAAAAAA",VLOOKUP(E725,Nombres!A:D,2,FALSE))</f>
        <v>Martim Neto</v>
      </c>
      <c r="C725" t="str">
        <f>IF(ISERROR(VLOOKUP(E725,Nombres!A:D,4,FALSE)),"PROBLEMAAAAAA",VLOOKUP(E725,Nombres!A:D,4,FALSE))</f>
        <v>MED</v>
      </c>
      <c r="D725" t="str">
        <f>IF(ISERROR(VLOOKUP(E725,Nombres!A:D,3,FALSE)),"PROBLEMAAAAAA",VLOOKUP(E725,Nombres!A:D,3,FALSE))</f>
        <v>Elche</v>
      </c>
      <c r="E725" t="s">
        <v>320</v>
      </c>
      <c r="F725" s="1">
        <v>45931</v>
      </c>
      <c r="G725" t="s">
        <v>13</v>
      </c>
      <c r="H725" t="s">
        <v>6</v>
      </c>
      <c r="I725" s="2">
        <v>6085841</v>
      </c>
    </row>
    <row r="726" spans="1:9" x14ac:dyDescent="0.25">
      <c r="A726">
        <v>725</v>
      </c>
      <c r="B726" t="str">
        <f>IF(ISERROR(VLOOKUP(E726,Nombres!A:D,2,FALSE)),"PROBLEMAAAAAA",VLOOKUP(E726,Nombres!A:D,2,FALSE))</f>
        <v>Ferran</v>
      </c>
      <c r="C726" t="str">
        <f>IF(ISERROR(VLOOKUP(E726,Nombres!A:D,4,FALSE)),"PROBLEMAAAAAA",VLOOKUP(E726,Nombres!A:D,4,FALSE))</f>
        <v>DEL</v>
      </c>
      <c r="D726" t="str">
        <f>IF(ISERROR(VLOOKUP(E726,Nombres!A:D,3,FALSE)),"PROBLEMAAAAAA",VLOOKUP(E726,Nombres!A:D,3,FALSE))</f>
        <v>Barcelona</v>
      </c>
      <c r="E726" t="s">
        <v>161</v>
      </c>
      <c r="F726" s="1">
        <v>45931</v>
      </c>
      <c r="G726" t="s">
        <v>13</v>
      </c>
      <c r="H726" t="s">
        <v>12</v>
      </c>
      <c r="I726" s="2">
        <v>79644740</v>
      </c>
    </row>
    <row r="727" spans="1:9" x14ac:dyDescent="0.25">
      <c r="A727">
        <v>726</v>
      </c>
      <c r="B727" t="str">
        <f>IF(ISERROR(VLOOKUP(E727,Nombres!A:D,2,FALSE)),"PROBLEMAAAAAA",VLOOKUP(E727,Nombres!A:D,2,FALSE))</f>
        <v>Dendoncker</v>
      </c>
      <c r="C727" t="str">
        <f>IF(ISERROR(VLOOKUP(E727,Nombres!A:D,4,FALSE)),"PROBLEMAAAAAA",VLOOKUP(E727,Nombres!A:D,4,FALSE))</f>
        <v>MED</v>
      </c>
      <c r="D727" t="str">
        <f>IF(ISERROR(VLOOKUP(E727,Nombres!A:D,3,FALSE)),"PROBLEMAAAAAA",VLOOKUP(E727,Nombres!A:D,3,FALSE))</f>
        <v>Real Oviedo</v>
      </c>
      <c r="E727" t="s">
        <v>285</v>
      </c>
      <c r="F727" s="1">
        <v>45931</v>
      </c>
      <c r="G727" t="s">
        <v>14</v>
      </c>
      <c r="H727" t="s">
        <v>10</v>
      </c>
      <c r="I727" s="2">
        <v>8987987</v>
      </c>
    </row>
    <row r="728" spans="1:9" x14ac:dyDescent="0.25">
      <c r="A728">
        <v>727</v>
      </c>
      <c r="B728" t="str">
        <f>IF(ISERROR(VLOOKUP(E728,Nombres!A:D,2,FALSE)),"PROBLEMAAAAAA",VLOOKUP(E728,Nombres!A:D,2,FALSE))</f>
        <v>Araújo</v>
      </c>
      <c r="C728" t="str">
        <f>IF(ISERROR(VLOOKUP(E728,Nombres!A:D,4,FALSE)),"PROBLEMAAAAAA",VLOOKUP(E728,Nombres!A:D,4,FALSE))</f>
        <v>DEF</v>
      </c>
      <c r="D728" t="str">
        <f>IF(ISERROR(VLOOKUP(E728,Nombres!A:D,3,FALSE)),"PROBLEMAAAAAA",VLOOKUP(E728,Nombres!A:D,3,FALSE))</f>
        <v>Barcelona</v>
      </c>
      <c r="E728" t="s">
        <v>72</v>
      </c>
      <c r="F728" s="1">
        <v>45931</v>
      </c>
      <c r="G728" t="s">
        <v>12</v>
      </c>
      <c r="H728" t="s">
        <v>31</v>
      </c>
      <c r="I728" s="2">
        <v>19750244</v>
      </c>
    </row>
    <row r="729" spans="1:9" x14ac:dyDescent="0.25">
      <c r="A729">
        <v>728</v>
      </c>
      <c r="B729" t="str">
        <f>IF(ISERROR(VLOOKUP(E729,Nombres!A:D,2,FALSE)),"PROBLEMAAAAAA",VLOOKUP(E729,Nombres!A:D,2,FALSE))</f>
        <v>Lemar</v>
      </c>
      <c r="C729" t="str">
        <f>IF(ISERROR(VLOOKUP(E729,Nombres!A:D,4,FALSE)),"PROBLEMAAAAAA",VLOOKUP(E729,Nombres!A:D,4,FALSE))</f>
        <v>MED</v>
      </c>
      <c r="D729" t="str">
        <f>IF(ISERROR(VLOOKUP(E729,Nombres!A:D,3,FALSE)),"PROBLEMAAAAAA",VLOOKUP(E729,Nombres!A:D,3,FALSE))</f>
        <v>Girona</v>
      </c>
      <c r="E729" t="s">
        <v>626</v>
      </c>
      <c r="F729" s="1">
        <v>45931</v>
      </c>
      <c r="G729" t="s">
        <v>9</v>
      </c>
      <c r="H729" t="s">
        <v>31</v>
      </c>
      <c r="I729" s="2">
        <v>1764566</v>
      </c>
    </row>
    <row r="730" spans="1:9" x14ac:dyDescent="0.25">
      <c r="A730">
        <v>729</v>
      </c>
      <c r="B730" t="str">
        <f>IF(ISERROR(VLOOKUP(E730,Nombres!A:D,2,FALSE)),"PROBLEMAAAAAA",VLOOKUP(E730,Nombres!A:D,2,FALSE))</f>
        <v>Samú</v>
      </c>
      <c r="C730" t="str">
        <f>IF(ISERROR(VLOOKUP(E730,Nombres!A:D,4,FALSE)),"PROBLEMAAAAAA",VLOOKUP(E730,Nombres!A:D,4,FALSE))</f>
        <v>MED</v>
      </c>
      <c r="D730" t="str">
        <f>IF(ISERROR(VLOOKUP(E730,Nombres!A:D,3,FALSE)),"PROBLEMAAAAAA",VLOOKUP(E730,Nombres!A:D,3,FALSE))</f>
        <v>Mallorca</v>
      </c>
      <c r="E730" t="s">
        <v>761</v>
      </c>
      <c r="F730" s="1">
        <v>45931</v>
      </c>
      <c r="G730" t="s">
        <v>10</v>
      </c>
      <c r="H730" t="s">
        <v>31</v>
      </c>
      <c r="I730" s="2">
        <v>3874521</v>
      </c>
    </row>
    <row r="731" spans="1:9" x14ac:dyDescent="0.25">
      <c r="A731">
        <v>730</v>
      </c>
      <c r="B731" t="str">
        <f>IF(ISERROR(VLOOKUP(E731,Nombres!A:D,2,FALSE)),"PROBLEMAAAAAA",VLOOKUP(E731,Nombres!A:D,2,FALSE))</f>
        <v>Peña</v>
      </c>
      <c r="C731" t="str">
        <f>IF(ISERROR(VLOOKUP(E731,Nombres!A:D,4,FALSE)),"PROBLEMAAAAAA",VLOOKUP(E731,Nombres!A:D,4,FALSE))</f>
        <v>POR</v>
      </c>
      <c r="D731" t="str">
        <f>IF(ISERROR(VLOOKUP(E731,Nombres!A:D,3,FALSE)),"PROBLEMAAAAAA",VLOOKUP(E731,Nombres!A:D,3,FALSE))</f>
        <v>Elche</v>
      </c>
      <c r="E731" t="s">
        <v>441</v>
      </c>
      <c r="F731" s="1">
        <v>45931</v>
      </c>
      <c r="G731" t="s">
        <v>31</v>
      </c>
      <c r="H731" t="s">
        <v>7</v>
      </c>
      <c r="I731" s="2">
        <v>2259813</v>
      </c>
    </row>
    <row r="732" spans="1:9" x14ac:dyDescent="0.25">
      <c r="A732">
        <v>731</v>
      </c>
      <c r="B732" t="str">
        <f>IF(ISERROR(VLOOKUP(E732,Nombres!A:D,2,FALSE)),"PROBLEMAAAAAA",VLOOKUP(E732,Nombres!A:D,2,FALSE))</f>
        <v>Bernal</v>
      </c>
      <c r="C732" t="str">
        <f>IF(ISERROR(VLOOKUP(E732,Nombres!A:D,4,FALSE)),"PROBLEMAAAAAA",VLOOKUP(E732,Nombres!A:D,4,FALSE))</f>
        <v>MED</v>
      </c>
      <c r="D732" t="str">
        <f>IF(ISERROR(VLOOKUP(E732,Nombres!A:D,3,FALSE)),"PROBLEMAAAAAA",VLOOKUP(E732,Nombres!A:D,3,FALSE))</f>
        <v>Barcelona</v>
      </c>
      <c r="E732" t="s">
        <v>302</v>
      </c>
      <c r="F732" s="1">
        <v>45931</v>
      </c>
      <c r="G732" t="s">
        <v>9</v>
      </c>
      <c r="H732" t="s">
        <v>10</v>
      </c>
      <c r="I732" s="2">
        <v>2324209</v>
      </c>
    </row>
    <row r="733" spans="1:9" x14ac:dyDescent="0.25">
      <c r="A733">
        <v>732</v>
      </c>
      <c r="B733" t="str">
        <f>IF(ISERROR(VLOOKUP(E733,Nombres!A:D,2,FALSE)),"PROBLEMAAAAAA",VLOOKUP(E733,Nombres!A:D,2,FALSE))</f>
        <v>Oluwaseyi</v>
      </c>
      <c r="C733" t="str">
        <f>IF(ISERROR(VLOOKUP(E733,Nombres!A:D,4,FALSE)),"PROBLEMAAAAAA",VLOOKUP(E733,Nombres!A:D,4,FALSE))</f>
        <v>DEL</v>
      </c>
      <c r="D733" t="str">
        <f>IF(ISERROR(VLOOKUP(E733,Nombres!A:D,3,FALSE)),"PROBLEMAAAAAA",VLOOKUP(E733,Nombres!A:D,3,FALSE))</f>
        <v>Villarreal</v>
      </c>
      <c r="E733" t="s">
        <v>444</v>
      </c>
      <c r="F733" s="1">
        <v>45931</v>
      </c>
      <c r="G733" t="s">
        <v>31</v>
      </c>
      <c r="H733" t="s">
        <v>7</v>
      </c>
      <c r="I733" s="2">
        <v>2929819</v>
      </c>
    </row>
    <row r="734" spans="1:9" x14ac:dyDescent="0.25">
      <c r="A734">
        <v>733</v>
      </c>
      <c r="B734" t="str">
        <f>IF(ISERROR(VLOOKUP(E734,Nombres!A:D,2,FALSE)),"PROBLEMAAAAAA",VLOOKUP(E734,Nombres!A:D,2,FALSE))</f>
        <v>Alemão</v>
      </c>
      <c r="C734" t="str">
        <f>IF(ISERROR(VLOOKUP(E734,Nombres!A:D,4,FALSE)),"PROBLEMAAAAAA",VLOOKUP(E734,Nombres!A:D,4,FALSE))</f>
        <v>DEL</v>
      </c>
      <c r="D734" t="str">
        <f>IF(ISERROR(VLOOKUP(E734,Nombres!A:D,3,FALSE)),"PROBLEMAAAAAA",VLOOKUP(E734,Nombres!A:D,3,FALSE))</f>
        <v>Rayo</v>
      </c>
      <c r="E734" t="s">
        <v>318</v>
      </c>
      <c r="F734" s="1">
        <v>45932</v>
      </c>
      <c r="G734" t="s">
        <v>11</v>
      </c>
      <c r="H734" t="s">
        <v>13</v>
      </c>
      <c r="I734" s="2">
        <v>5000000</v>
      </c>
    </row>
    <row r="735" spans="1:9" x14ac:dyDescent="0.25">
      <c r="A735">
        <v>734</v>
      </c>
      <c r="B735" t="str">
        <f>IF(ISERROR(VLOOKUP(E735,Nombres!A:D,2,FALSE)),"PROBLEMAAAAAA",VLOOKUP(E735,Nombres!A:D,2,FALSE))</f>
        <v>Femenia</v>
      </c>
      <c r="C735" t="str">
        <f>IF(ISERROR(VLOOKUP(E735,Nombres!A:D,4,FALSE)),"PROBLEMAAAAAA",VLOOKUP(E735,Nombres!A:D,4,FALSE))</f>
        <v>DEF</v>
      </c>
      <c r="D735" t="str">
        <f>IF(ISERROR(VLOOKUP(E735,Nombres!A:D,3,FALSE)),"PROBLEMAAAAAA",VLOOKUP(E735,Nombres!A:D,3,FALSE))</f>
        <v>Getafe</v>
      </c>
      <c r="E735" t="s">
        <v>334</v>
      </c>
      <c r="F735" s="1">
        <v>45932</v>
      </c>
      <c r="G735" t="s">
        <v>11</v>
      </c>
      <c r="H735" t="s">
        <v>12</v>
      </c>
      <c r="I735" s="2">
        <v>6501001</v>
      </c>
    </row>
    <row r="736" spans="1:9" x14ac:dyDescent="0.25">
      <c r="A736">
        <v>735</v>
      </c>
      <c r="B736" t="str">
        <f>IF(ISERROR(VLOOKUP(E736,Nombres!A:D,2,FALSE)),"PROBLEMAAAAAA",VLOOKUP(E736,Nombres!A:D,2,FALSE))</f>
        <v>Víctor Muñoz</v>
      </c>
      <c r="C736" t="str">
        <f>IF(ISERROR(VLOOKUP(E736,Nombres!A:D,4,FALSE)),"PROBLEMAAAAAA",VLOOKUP(E736,Nombres!A:D,4,FALSE))</f>
        <v>DEL</v>
      </c>
      <c r="D736" t="str">
        <f>IF(ISERROR(VLOOKUP(E736,Nombres!A:D,3,FALSE)),"PROBLEMAAAAAA",VLOOKUP(E736,Nombres!A:D,3,FALSE))</f>
        <v>Osasuna</v>
      </c>
      <c r="E736" t="s">
        <v>270</v>
      </c>
      <c r="F736" s="1">
        <v>45932</v>
      </c>
      <c r="G736" t="s">
        <v>11</v>
      </c>
      <c r="H736" t="s">
        <v>6</v>
      </c>
      <c r="I736" s="2">
        <v>13159467</v>
      </c>
    </row>
    <row r="737" spans="1:9" x14ac:dyDescent="0.25">
      <c r="A737">
        <v>736</v>
      </c>
      <c r="B737" t="str">
        <f>IF(ISERROR(VLOOKUP(E737,Nombres!A:D,2,FALSE)),"PROBLEMAAAAAA",VLOOKUP(E737,Nombres!A:D,2,FALSE))</f>
        <v>Gazzaniga</v>
      </c>
      <c r="C737" t="str">
        <f>IF(ISERROR(VLOOKUP(E737,Nombres!A:D,4,FALSE)),"PROBLEMAAAAAA",VLOOKUP(E737,Nombres!A:D,4,FALSE))</f>
        <v>POR</v>
      </c>
      <c r="D737" t="str">
        <f>IF(ISERROR(VLOOKUP(E737,Nombres!A:D,3,FALSE)),"PROBLEMAAAAAA",VLOOKUP(E737,Nombres!A:D,3,FALSE))</f>
        <v>Girona</v>
      </c>
      <c r="E737" t="s">
        <v>338</v>
      </c>
      <c r="F737" s="1">
        <v>45932</v>
      </c>
      <c r="G737" t="s">
        <v>12</v>
      </c>
      <c r="H737" t="s">
        <v>8</v>
      </c>
      <c r="I737" s="2">
        <v>8871008</v>
      </c>
    </row>
    <row r="738" spans="1:9" x14ac:dyDescent="0.25">
      <c r="A738">
        <v>737</v>
      </c>
      <c r="B738" t="str">
        <f>IF(ISERROR(VLOOKUP(E738,Nombres!A:D,2,FALSE)),"PROBLEMAAAAAA",VLOOKUP(E738,Nombres!A:D,2,FALSE))</f>
        <v>Mingueza</v>
      </c>
      <c r="C738" t="str">
        <f>IF(ISERROR(VLOOKUP(E738,Nombres!A:D,4,FALSE)),"PROBLEMAAAAAA",VLOOKUP(E738,Nombres!A:D,4,FALSE))</f>
        <v>DEF</v>
      </c>
      <c r="D738" t="str">
        <f>IF(ISERROR(VLOOKUP(E738,Nombres!A:D,3,FALSE)),"PROBLEMAAAAAA",VLOOKUP(E738,Nombres!A:D,3,FALSE))</f>
        <v>Celta</v>
      </c>
      <c r="E738" t="s">
        <v>128</v>
      </c>
      <c r="F738" s="1">
        <v>45932</v>
      </c>
      <c r="G738" t="s">
        <v>6</v>
      </c>
      <c r="H738" t="s">
        <v>31</v>
      </c>
      <c r="I738" s="2">
        <v>13112224</v>
      </c>
    </row>
    <row r="739" spans="1:9" x14ac:dyDescent="0.25">
      <c r="A739">
        <v>738</v>
      </c>
      <c r="B739" t="str">
        <f>IF(ISERROR(VLOOKUP(E739,Nombres!A:D,2,FALSE)),"PROBLEMAAAAAA",VLOOKUP(E739,Nombres!A:D,2,FALSE))</f>
        <v>Iván Martín</v>
      </c>
      <c r="C739" t="str">
        <f>IF(ISERROR(VLOOKUP(E739,Nombres!A:D,4,FALSE)),"PROBLEMAAAAAA",VLOOKUP(E739,Nombres!A:D,4,FALSE))</f>
        <v>MED</v>
      </c>
      <c r="D739" t="str">
        <f>IF(ISERROR(VLOOKUP(E739,Nombres!A:D,3,FALSE)),"PROBLEMAAAAAA",VLOOKUP(E739,Nombres!A:D,3,FALSE))</f>
        <v>Girona</v>
      </c>
      <c r="E739" t="s">
        <v>142</v>
      </c>
      <c r="F739" s="1">
        <v>45932</v>
      </c>
      <c r="G739" t="s">
        <v>6</v>
      </c>
      <c r="H739" t="s">
        <v>31</v>
      </c>
      <c r="I739" s="2">
        <v>6844512</v>
      </c>
    </row>
    <row r="740" spans="1:9" x14ac:dyDescent="0.25">
      <c r="A740">
        <v>739</v>
      </c>
      <c r="B740" t="str">
        <f>IF(ISERROR(VLOOKUP(E740,Nombres!A:D,2,FALSE)),"PROBLEMAAAAAA",VLOOKUP(E740,Nombres!A:D,2,FALSE))</f>
        <v>Guevara</v>
      </c>
      <c r="C740" t="str">
        <f>IF(ISERROR(VLOOKUP(E740,Nombres!A:D,4,FALSE)),"PROBLEMAAAAAA",VLOOKUP(E740,Nombres!A:D,4,FALSE))</f>
        <v>MED</v>
      </c>
      <c r="D740" t="str">
        <f>IF(ISERROR(VLOOKUP(E740,Nombres!A:D,3,FALSE)),"PROBLEMAAAAAA",VLOOKUP(E740,Nombres!A:D,3,FALSE))</f>
        <v>Alavés</v>
      </c>
      <c r="E740" t="s">
        <v>130</v>
      </c>
      <c r="F740" s="1">
        <v>45932</v>
      </c>
      <c r="G740" t="s">
        <v>7</v>
      </c>
      <c r="H740" t="s">
        <v>31</v>
      </c>
      <c r="I740" s="2">
        <v>896928</v>
      </c>
    </row>
    <row r="741" spans="1:9" x14ac:dyDescent="0.25">
      <c r="A741">
        <v>740</v>
      </c>
      <c r="B741" t="str">
        <f>IF(ISERROR(VLOOKUP(E741,Nombres!A:D,2,FALSE)),"PROBLEMAAAAAA",VLOOKUP(E741,Nombres!A:D,2,FALSE))</f>
        <v>Pétrot</v>
      </c>
      <c r="C741" t="str">
        <f>IF(ISERROR(VLOOKUP(E741,Nombres!A:D,4,FALSE)),"PROBLEMAAAAAA",VLOOKUP(E741,Nombres!A:D,4,FALSE))</f>
        <v>DEF</v>
      </c>
      <c r="D741" t="str">
        <f>IF(ISERROR(VLOOKUP(E741,Nombres!A:D,3,FALSE)),"PROBLEMAAAAAA",VLOOKUP(E741,Nombres!A:D,3,FALSE))</f>
        <v>Elche</v>
      </c>
      <c r="E741" t="s">
        <v>762</v>
      </c>
      <c r="F741" s="1">
        <v>45933</v>
      </c>
      <c r="G741" t="s">
        <v>14</v>
      </c>
      <c r="H741" t="s">
        <v>31</v>
      </c>
      <c r="I741" s="2">
        <v>547689</v>
      </c>
    </row>
    <row r="742" spans="1:9" x14ac:dyDescent="0.25">
      <c r="A742">
        <v>741</v>
      </c>
      <c r="B742" t="str">
        <f>IF(ISERROR(VLOOKUP(E742,Nombres!A:D,2,FALSE)),"PROBLEMAAAAAA",VLOOKUP(E742,Nombres!A:D,2,FALSE))</f>
        <v>Antony</v>
      </c>
      <c r="C742" t="str">
        <f>IF(ISERROR(VLOOKUP(E742,Nombres!A:D,4,FALSE)),"PROBLEMAAAAAA",VLOOKUP(E742,Nombres!A:D,4,FALSE))</f>
        <v>DEL</v>
      </c>
      <c r="D742" t="str">
        <f>IF(ISERROR(VLOOKUP(E742,Nombres!A:D,3,FALSE)),"PROBLEMAAAAAA",VLOOKUP(E742,Nombres!A:D,3,FALSE))</f>
        <v>Betis</v>
      </c>
      <c r="E742" t="s">
        <v>324</v>
      </c>
      <c r="F742" s="1">
        <v>45933</v>
      </c>
      <c r="G742" t="s">
        <v>11</v>
      </c>
      <c r="H742" t="s">
        <v>31</v>
      </c>
      <c r="I742" s="2">
        <v>83626346</v>
      </c>
    </row>
    <row r="743" spans="1:9" x14ac:dyDescent="0.25">
      <c r="A743">
        <v>742</v>
      </c>
      <c r="B743" t="str">
        <f>IF(ISERROR(VLOOKUP(E743,Nombres!A:D,2,FALSE)),"PROBLEMAAAAAA",VLOOKUP(E743,Nombres!A:D,2,FALSE))</f>
        <v>Costas</v>
      </c>
      <c r="C743" t="str">
        <f>IF(ISERROR(VLOOKUP(E743,Nombres!A:D,4,FALSE)),"PROBLEMAAAAAA",VLOOKUP(E743,Nombres!A:D,4,FALSE))</f>
        <v>DEF</v>
      </c>
      <c r="D743" t="str">
        <f>IF(ISERROR(VLOOKUP(E743,Nombres!A:D,3,FALSE)),"PROBLEMAAAAAA",VLOOKUP(E743,Nombres!A:D,3,FALSE))</f>
        <v>Real Oviedo</v>
      </c>
      <c r="E743" t="s">
        <v>763</v>
      </c>
      <c r="F743" s="1">
        <v>45933</v>
      </c>
      <c r="G743" t="s">
        <v>14</v>
      </c>
      <c r="H743" t="s">
        <v>31</v>
      </c>
      <c r="I743" s="2">
        <v>850978</v>
      </c>
    </row>
    <row r="744" spans="1:9" x14ac:dyDescent="0.25">
      <c r="A744">
        <v>743</v>
      </c>
      <c r="B744" t="str">
        <f>IF(ISERROR(VLOOKUP(E744,Nombres!A:D,2,FALSE)),"PROBLEMAAAAAA",VLOOKUP(E744,Nombres!A:D,2,FALSE))</f>
        <v>Vinicius</v>
      </c>
      <c r="C744" t="str">
        <f>IF(ISERROR(VLOOKUP(E744,Nombres!A:D,4,FALSE)),"PROBLEMAAAAAA",VLOOKUP(E744,Nombres!A:D,4,FALSE))</f>
        <v>DEL</v>
      </c>
      <c r="D744" t="str">
        <f>IF(ISERROR(VLOOKUP(E744,Nombres!A:D,3,FALSE)),"PROBLEMAAAAAA",VLOOKUP(E744,Nombres!A:D,3,FALSE))</f>
        <v>Real Madrid</v>
      </c>
      <c r="E744" t="s">
        <v>764</v>
      </c>
      <c r="F744" s="1">
        <v>45933</v>
      </c>
      <c r="G744" t="s">
        <v>7</v>
      </c>
      <c r="H744" t="s">
        <v>31</v>
      </c>
      <c r="I744" s="2">
        <v>130000001</v>
      </c>
    </row>
    <row r="745" spans="1:9" x14ac:dyDescent="0.25">
      <c r="A745">
        <v>744</v>
      </c>
      <c r="B745" t="str">
        <f>IF(ISERROR(VLOOKUP(E745,Nombres!A:D,2,FALSE)),"PROBLEMAAAAAA",VLOOKUP(E745,Nombres!A:D,2,FALSE))</f>
        <v>Koundé</v>
      </c>
      <c r="C745" t="str">
        <f>IF(ISERROR(VLOOKUP(E745,Nombres!A:D,4,FALSE)),"PROBLEMAAAAAA",VLOOKUP(E745,Nombres!A:D,4,FALSE))</f>
        <v>DEF</v>
      </c>
      <c r="D745" t="str">
        <f>IF(ISERROR(VLOOKUP(E745,Nombres!A:D,3,FALSE)),"PROBLEMAAAAAA",VLOOKUP(E745,Nombres!A:D,3,FALSE))</f>
        <v>Barcelona</v>
      </c>
      <c r="E745" t="s">
        <v>227</v>
      </c>
      <c r="F745" s="1">
        <v>45933</v>
      </c>
      <c r="G745" t="s">
        <v>31</v>
      </c>
      <c r="H745" t="s">
        <v>7</v>
      </c>
      <c r="I745" s="2">
        <v>53854422</v>
      </c>
    </row>
    <row r="746" spans="1:9" x14ac:dyDescent="0.25">
      <c r="A746">
        <v>745</v>
      </c>
      <c r="B746" t="str">
        <f>IF(ISERROR(VLOOKUP(E746,Nombres!A:D,2,FALSE)),"PROBLEMAAAAAA",VLOOKUP(E746,Nombres!A:D,2,FALSE))</f>
        <v>Romero</v>
      </c>
      <c r="C746" t="str">
        <f>IF(ISERROR(VLOOKUP(E746,Nombres!A:D,4,FALSE)),"PROBLEMAAAAAA",VLOOKUP(E746,Nombres!A:D,4,FALSE))</f>
        <v>DEF</v>
      </c>
      <c r="D746" t="str">
        <f>IF(ISERROR(VLOOKUP(E746,Nombres!A:D,3,FALSE)),"PROBLEMAAAAAA",VLOOKUP(E746,Nombres!A:D,3,FALSE))</f>
        <v>Espanyol</v>
      </c>
      <c r="E746" t="s">
        <v>321</v>
      </c>
      <c r="F746" s="1">
        <v>45933</v>
      </c>
      <c r="G746" t="s">
        <v>7</v>
      </c>
      <c r="H746" t="s">
        <v>13</v>
      </c>
      <c r="I746" s="2">
        <v>16000000</v>
      </c>
    </row>
    <row r="747" spans="1:9" x14ac:dyDescent="0.25">
      <c r="A747">
        <v>746</v>
      </c>
      <c r="B747" t="str">
        <f>IF(ISERROR(VLOOKUP(E747,Nombres!A:D,2,FALSE)),"PROBLEMAAAAAA",VLOOKUP(E747,Nombres!A:D,2,FALSE))</f>
        <v>Dituro</v>
      </c>
      <c r="C747" t="str">
        <f>IF(ISERROR(VLOOKUP(E747,Nombres!A:D,4,FALSE)),"PROBLEMAAAAAA",VLOOKUP(E747,Nombres!A:D,4,FALSE))</f>
        <v>POR</v>
      </c>
      <c r="D747" t="str">
        <f>IF(ISERROR(VLOOKUP(E747,Nombres!A:D,3,FALSE)),"PROBLEMAAAAAA",VLOOKUP(E747,Nombres!A:D,3,FALSE))</f>
        <v>Elche</v>
      </c>
      <c r="E747" t="s">
        <v>260</v>
      </c>
      <c r="F747" s="1">
        <v>45933</v>
      </c>
      <c r="G747" t="s">
        <v>31</v>
      </c>
      <c r="H747" t="s">
        <v>13</v>
      </c>
      <c r="I747" s="2">
        <v>6708375</v>
      </c>
    </row>
    <row r="748" spans="1:9" x14ac:dyDescent="0.25">
      <c r="A748">
        <v>747</v>
      </c>
      <c r="B748" t="str">
        <f>IF(ISERROR(VLOOKUP(E748,Nombres!A:D,2,FALSE)),"PROBLEMAAAAAA",VLOOKUP(E748,Nombres!A:D,2,FALSE))</f>
        <v>C. Álvarez</v>
      </c>
      <c r="C748" t="str">
        <f>IF(ISERROR(VLOOKUP(E748,Nombres!A:D,4,FALSE)),"PROBLEMAAAAAA",VLOOKUP(E748,Nombres!A:D,4,FALSE))</f>
        <v>MED</v>
      </c>
      <c r="D748" t="str">
        <f>IF(ISERROR(VLOOKUP(E748,Nombres!A:D,3,FALSE)),"PROBLEMAAAAAA",VLOOKUP(E748,Nombres!A:D,3,FALSE))</f>
        <v>Levante</v>
      </c>
      <c r="E748" t="s">
        <v>331</v>
      </c>
      <c r="F748" s="1">
        <v>45934</v>
      </c>
      <c r="G748" t="s">
        <v>6</v>
      </c>
      <c r="H748" t="s">
        <v>9</v>
      </c>
      <c r="I748" s="2">
        <v>15411401</v>
      </c>
    </row>
    <row r="749" spans="1:9" x14ac:dyDescent="0.25">
      <c r="A749">
        <v>748</v>
      </c>
      <c r="B749" t="str">
        <f>IF(ISERROR(VLOOKUP(E749,Nombres!A:D,2,FALSE)),"PROBLEMAAAAAA",VLOOKUP(E749,Nombres!A:D,2,FALSE))</f>
        <v>Moleiro</v>
      </c>
      <c r="C749" t="str">
        <f>IF(ISERROR(VLOOKUP(E749,Nombres!A:D,4,FALSE)),"PROBLEMAAAAAA",VLOOKUP(E749,Nombres!A:D,4,FALSE))</f>
        <v>MED</v>
      </c>
      <c r="D749" t="str">
        <f>IF(ISERROR(VLOOKUP(E749,Nombres!A:D,3,FALSE)),"PROBLEMAAAAAA",VLOOKUP(E749,Nombres!A:D,3,FALSE))</f>
        <v>Villarreal</v>
      </c>
      <c r="E749" t="s">
        <v>111</v>
      </c>
      <c r="F749" s="1">
        <v>45934</v>
      </c>
      <c r="G749" t="s">
        <v>9</v>
      </c>
      <c r="H749" t="s">
        <v>8</v>
      </c>
      <c r="I749" s="2">
        <v>20794268</v>
      </c>
    </row>
    <row r="750" spans="1:9" x14ac:dyDescent="0.25">
      <c r="A750">
        <v>749</v>
      </c>
      <c r="B750" t="str">
        <f>IF(ISERROR(VLOOKUP(E750,Nombres!A:D,2,FALSE)),"PROBLEMAAAAAA",VLOOKUP(E750,Nombres!A:D,2,FALSE))</f>
        <v>Navarro</v>
      </c>
      <c r="C750" t="str">
        <f>IF(ISERROR(VLOOKUP(E750,Nombres!A:D,4,FALSE)),"PROBLEMAAAAAA",VLOOKUP(E750,Nombres!A:D,4,FALSE))</f>
        <v>MED</v>
      </c>
      <c r="D750" t="str">
        <f>IF(ISERROR(VLOOKUP(E750,Nombres!A:D,3,FALSE)),"PROBLEMAAAAAA",VLOOKUP(E750,Nombres!A:D,3,FALSE))</f>
        <v>Athletic</v>
      </c>
      <c r="E750" t="s">
        <v>230</v>
      </c>
      <c r="F750" s="1">
        <v>45934</v>
      </c>
      <c r="G750" t="s">
        <v>14</v>
      </c>
      <c r="H750" t="s">
        <v>31</v>
      </c>
      <c r="I750" s="2">
        <v>4800000</v>
      </c>
    </row>
    <row r="751" spans="1:9" x14ac:dyDescent="0.25">
      <c r="A751">
        <v>750</v>
      </c>
      <c r="B751" t="str">
        <f>IF(ISERROR(VLOOKUP(E751,Nombres!A:D,2,FALSE)),"PROBLEMAAAAAA",VLOOKUP(E751,Nombres!A:D,2,FALSE))</f>
        <v>Rashford</v>
      </c>
      <c r="C751" t="str">
        <f>IF(ISERROR(VLOOKUP(E751,Nombres!A:D,4,FALSE)),"PROBLEMAAAAAA",VLOOKUP(E751,Nombres!A:D,4,FALSE))</f>
        <v>DEL</v>
      </c>
      <c r="D751" t="str">
        <f>IF(ISERROR(VLOOKUP(E751,Nombres!A:D,3,FALSE)),"PROBLEMAAAAAA",VLOOKUP(E751,Nombres!A:D,3,FALSE))</f>
        <v>Barcelona</v>
      </c>
      <c r="E751" t="s">
        <v>689</v>
      </c>
      <c r="F751" s="1">
        <v>45934</v>
      </c>
      <c r="G751" t="s">
        <v>11</v>
      </c>
      <c r="H751" t="s">
        <v>31</v>
      </c>
      <c r="I751" s="2">
        <v>66100000</v>
      </c>
    </row>
    <row r="752" spans="1:9" x14ac:dyDescent="0.25">
      <c r="A752">
        <v>751</v>
      </c>
      <c r="B752" t="str">
        <f>IF(ISERROR(VLOOKUP(E752,Nombres!A:D,2,FALSE)),"PROBLEMAAAAAA",VLOOKUP(E752,Nombres!A:D,2,FALSE))</f>
        <v>Budimir</v>
      </c>
      <c r="C752" t="str">
        <f>IF(ISERROR(VLOOKUP(E752,Nombres!A:D,4,FALSE)),"PROBLEMAAAAAA",VLOOKUP(E752,Nombres!A:D,4,FALSE))</f>
        <v>DEL</v>
      </c>
      <c r="D752" t="str">
        <f>IF(ISERROR(VLOOKUP(E752,Nombres!A:D,3,FALSE)),"PROBLEMAAAAAA",VLOOKUP(E752,Nombres!A:D,3,FALSE))</f>
        <v>Osasuna</v>
      </c>
      <c r="E752" t="s">
        <v>195</v>
      </c>
      <c r="F752" s="1">
        <v>45934</v>
      </c>
      <c r="G752" t="s">
        <v>31</v>
      </c>
      <c r="H752" t="s">
        <v>14</v>
      </c>
      <c r="I752" s="2">
        <v>36605526</v>
      </c>
    </row>
    <row r="753" spans="1:9" x14ac:dyDescent="0.25">
      <c r="A753">
        <v>752</v>
      </c>
      <c r="B753" t="str">
        <f>IF(ISERROR(VLOOKUP(E753,Nombres!A:D,2,FALSE)),"PROBLEMAAAAAA",VLOOKUP(E753,Nombres!A:D,2,FALSE))</f>
        <v>Mario Martín</v>
      </c>
      <c r="C753" t="str">
        <f>IF(ISERROR(VLOOKUP(E753,Nombres!A:D,4,FALSE)),"PROBLEMAAAAAA",VLOOKUP(E753,Nombres!A:D,4,FALSE))</f>
        <v>MED</v>
      </c>
      <c r="D753" t="str">
        <f>IF(ISERROR(VLOOKUP(E753,Nombres!A:D,3,FALSE)),"PROBLEMAAAAAA",VLOOKUP(E753,Nombres!A:D,3,FALSE))</f>
        <v>Getafe</v>
      </c>
      <c r="E753" t="s">
        <v>360</v>
      </c>
      <c r="F753" s="1">
        <v>45934</v>
      </c>
      <c r="G753" t="s">
        <v>31</v>
      </c>
      <c r="H753" t="s">
        <v>14</v>
      </c>
      <c r="I753" s="2">
        <v>2468142</v>
      </c>
    </row>
    <row r="754" spans="1:9" x14ac:dyDescent="0.25">
      <c r="A754">
        <v>753</v>
      </c>
      <c r="B754" t="str">
        <f>IF(ISERROR(VLOOKUP(E754,Nombres!A:D,2,FALSE)),"PROBLEMAAAAAA",VLOOKUP(E754,Nombres!A:D,2,FALSE))</f>
        <v>Mouriño</v>
      </c>
      <c r="C754" t="str">
        <f>IF(ISERROR(VLOOKUP(E754,Nombres!A:D,4,FALSE)),"PROBLEMAAAAAA",VLOOKUP(E754,Nombres!A:D,4,FALSE))</f>
        <v>DEF</v>
      </c>
      <c r="D754" t="str">
        <f>IF(ISERROR(VLOOKUP(E754,Nombres!A:D,3,FALSE)),"PROBLEMAAAAAA",VLOOKUP(E754,Nombres!A:D,3,FALSE))</f>
        <v>Villarreal</v>
      </c>
      <c r="E754" t="s">
        <v>70</v>
      </c>
      <c r="F754" s="1">
        <v>45934</v>
      </c>
      <c r="G754" t="s">
        <v>31</v>
      </c>
      <c r="H754" t="s">
        <v>11</v>
      </c>
      <c r="I754" s="2">
        <v>29898266</v>
      </c>
    </row>
    <row r="755" spans="1:9" x14ac:dyDescent="0.25">
      <c r="A755">
        <v>754</v>
      </c>
      <c r="B755" t="str">
        <f>IF(ISERROR(VLOOKUP(E755,Nombres!A:D,2,FALSE)),"PROBLEMAAAAAA",VLOOKUP(E755,Nombres!A:D,2,FALSE))</f>
        <v>Ryan</v>
      </c>
      <c r="C755" t="str">
        <f>IF(ISERROR(VLOOKUP(E755,Nombres!A:D,4,FALSE)),"PROBLEMAAAAAA",VLOOKUP(E755,Nombres!A:D,4,FALSE))</f>
        <v>POR</v>
      </c>
      <c r="D755" t="str">
        <f>IF(ISERROR(VLOOKUP(E755,Nombres!A:D,3,FALSE)),"PROBLEMAAAAAA",VLOOKUP(E755,Nombres!A:D,3,FALSE))</f>
        <v>Levante</v>
      </c>
      <c r="E755" t="s">
        <v>322</v>
      </c>
      <c r="F755" s="1">
        <v>45934</v>
      </c>
      <c r="G755" t="s">
        <v>768</v>
      </c>
      <c r="H755" t="s">
        <v>13</v>
      </c>
      <c r="I755" s="2">
        <v>10000000</v>
      </c>
    </row>
    <row r="756" spans="1:9" x14ac:dyDescent="0.25">
      <c r="A756">
        <v>755</v>
      </c>
      <c r="B756" t="str">
        <f>IF(ISERROR(VLOOKUP(E756,Nombres!A:D,2,FALSE)),"PROBLEMAAAAAA",VLOOKUP(E756,Nombres!A:D,2,FALSE))</f>
        <v>Rincón</v>
      </c>
      <c r="C756" t="str">
        <f>IF(ISERROR(VLOOKUP(E756,Nombres!A:D,4,FALSE)),"PROBLEMAAAAAA",VLOOKUP(E756,Nombres!A:D,4,FALSE))</f>
        <v>DEF</v>
      </c>
      <c r="D756" t="str">
        <f>IF(ISERROR(VLOOKUP(E756,Nombres!A:D,3,FALSE)),"PROBLEMAAAAAA",VLOOKUP(E756,Nombres!A:D,3,FALSE))</f>
        <v>Girona</v>
      </c>
      <c r="E756" t="s">
        <v>214</v>
      </c>
      <c r="F756" s="1">
        <v>45934</v>
      </c>
      <c r="G756" t="s">
        <v>768</v>
      </c>
      <c r="H756" t="s">
        <v>9</v>
      </c>
      <c r="I756" s="2">
        <v>3500000</v>
      </c>
    </row>
    <row r="757" spans="1:9" x14ac:dyDescent="0.25">
      <c r="A757">
        <v>756</v>
      </c>
      <c r="B757" t="str">
        <f>IF(ISERROR(VLOOKUP(E757,Nombres!A:D,2,FALSE)),"PROBLEMAAAAAA",VLOOKUP(E757,Nombres!A:D,2,FALSE))</f>
        <v>Bretones</v>
      </c>
      <c r="C757" t="str">
        <f>IF(ISERROR(VLOOKUP(E757,Nombres!A:D,4,FALSE)),"PROBLEMAAAAAA",VLOOKUP(E757,Nombres!A:D,4,FALSE))</f>
        <v>DEF</v>
      </c>
      <c r="D757" t="str">
        <f>IF(ISERROR(VLOOKUP(E757,Nombres!A:D,3,FALSE)),"PROBLEMAAAAAA",VLOOKUP(E757,Nombres!A:D,3,FALSE))</f>
        <v>Osasuna</v>
      </c>
      <c r="E757" t="s">
        <v>67</v>
      </c>
      <c r="F757" s="1">
        <v>45934</v>
      </c>
      <c r="G757" t="s">
        <v>768</v>
      </c>
      <c r="H757" t="s">
        <v>8</v>
      </c>
      <c r="I757" s="2">
        <v>3373737</v>
      </c>
    </row>
    <row r="758" spans="1:9" x14ac:dyDescent="0.25">
      <c r="A758">
        <v>757</v>
      </c>
      <c r="B758" t="str">
        <f>IF(ISERROR(VLOOKUP(E758,Nombres!A:D,2,FALSE)),"PROBLEMAAAAAA",VLOOKUP(E758,Nombres!A:D,2,FALSE))</f>
        <v>Foulquier</v>
      </c>
      <c r="C758" t="str">
        <f>IF(ISERROR(VLOOKUP(E758,Nombres!A:D,4,FALSE)),"PROBLEMAAAAAA",VLOOKUP(E758,Nombres!A:D,4,FALSE))</f>
        <v>DEF</v>
      </c>
      <c r="D758" t="str">
        <f>IF(ISERROR(VLOOKUP(E758,Nombres!A:D,3,FALSE)),"PROBLEMAAAAAA",VLOOKUP(E758,Nombres!A:D,3,FALSE))</f>
        <v>Valencia</v>
      </c>
      <c r="E758" t="s">
        <v>307</v>
      </c>
      <c r="F758" s="1">
        <v>45935</v>
      </c>
      <c r="G758" t="s">
        <v>31</v>
      </c>
      <c r="H758" t="s">
        <v>6</v>
      </c>
      <c r="I758" s="2">
        <v>7215134</v>
      </c>
    </row>
    <row r="759" spans="1:9" x14ac:dyDescent="0.25">
      <c r="A759">
        <v>758</v>
      </c>
      <c r="B759" t="str">
        <f>IF(ISERROR(VLOOKUP(E759,Nombres!A:D,2,FALSE)),"PROBLEMAAAAAA",VLOOKUP(E759,Nombres!A:D,2,FALSE))</f>
        <v>Eric García</v>
      </c>
      <c r="C759" t="str">
        <f>IF(ISERROR(VLOOKUP(E759,Nombres!A:D,4,FALSE)),"PROBLEMAAAAAA",VLOOKUP(E759,Nombres!A:D,4,FALSE))</f>
        <v>DEF</v>
      </c>
      <c r="D759" t="str">
        <f>IF(ISERROR(VLOOKUP(E759,Nombres!A:D,3,FALSE)),"PROBLEMAAAAAA",VLOOKUP(E759,Nombres!A:D,3,FALSE))</f>
        <v>Barcelona</v>
      </c>
      <c r="E759" t="s">
        <v>152</v>
      </c>
      <c r="F759" s="1">
        <v>45935</v>
      </c>
      <c r="G759" t="s">
        <v>11</v>
      </c>
      <c r="H759" t="s">
        <v>12</v>
      </c>
      <c r="I759" s="2">
        <v>45306673</v>
      </c>
    </row>
    <row r="760" spans="1:9" x14ac:dyDescent="0.25">
      <c r="A760">
        <v>759</v>
      </c>
      <c r="B760" t="str">
        <f>IF(ISERROR(VLOOKUP(E760,Nombres!A:D,2,FALSE)),"PROBLEMAAAAAA",VLOOKUP(E760,Nombres!A:D,2,FALSE))</f>
        <v>M. Llorente</v>
      </c>
      <c r="C760" t="str">
        <f>IF(ISERROR(VLOOKUP(E760,Nombres!A:D,4,FALSE)),"PROBLEMAAAAAA",VLOOKUP(E760,Nombres!A:D,4,FALSE))</f>
        <v>DEF</v>
      </c>
      <c r="D760" t="str">
        <f>IF(ISERROR(VLOOKUP(E760,Nombres!A:D,3,FALSE)),"PROBLEMAAAAAA",VLOOKUP(E760,Nombres!A:D,3,FALSE))</f>
        <v>Atlético</v>
      </c>
      <c r="E760" t="s">
        <v>765</v>
      </c>
      <c r="F760" s="1">
        <v>45935</v>
      </c>
      <c r="G760" t="s">
        <v>768</v>
      </c>
      <c r="H760" t="s">
        <v>31</v>
      </c>
      <c r="I760" s="2">
        <v>48000000</v>
      </c>
    </row>
    <row r="761" spans="1:9" x14ac:dyDescent="0.25">
      <c r="A761">
        <v>760</v>
      </c>
      <c r="B761" t="str">
        <f>IF(ISERROR(VLOOKUP(E761,Nombres!A:D,2,FALSE)),"PROBLEMAAAAAA",VLOOKUP(E761,Nombres!A:D,2,FALSE))</f>
        <v>Iglesias</v>
      </c>
      <c r="C761" t="str">
        <f>IF(ISERROR(VLOOKUP(E761,Nombres!A:D,4,FALSE)),"PROBLEMAAAAAA",VLOOKUP(E761,Nombres!A:D,4,FALSE))</f>
        <v>DEL</v>
      </c>
      <c r="D761" t="str">
        <f>IF(ISERROR(VLOOKUP(E761,Nombres!A:D,3,FALSE)),"PROBLEMAAAAAA",VLOOKUP(E761,Nombres!A:D,3,FALSE))</f>
        <v>Celta</v>
      </c>
      <c r="E761" t="s">
        <v>766</v>
      </c>
      <c r="F761" s="1">
        <v>45935</v>
      </c>
      <c r="G761" t="s">
        <v>14</v>
      </c>
      <c r="H761" t="s">
        <v>31</v>
      </c>
      <c r="I761" s="2">
        <v>17552500</v>
      </c>
    </row>
    <row r="762" spans="1:9" x14ac:dyDescent="0.25">
      <c r="A762">
        <v>761</v>
      </c>
      <c r="B762" t="str">
        <f>IF(ISERROR(VLOOKUP(E762,Nombres!A:D,2,FALSE)),"PROBLEMAAAAAA",VLOOKUP(E762,Nombres!A:D,2,FALSE))</f>
        <v>Paredes</v>
      </c>
      <c r="C762" t="str">
        <f>IF(ISERROR(VLOOKUP(E762,Nombres!A:D,4,FALSE)),"PROBLEMAAAAAA",VLOOKUP(E762,Nombres!A:D,4,FALSE))</f>
        <v>DEF</v>
      </c>
      <c r="D762" t="str">
        <f>IF(ISERROR(VLOOKUP(E762,Nombres!A:D,3,FALSE)),"PROBLEMAAAAAA",VLOOKUP(E762,Nombres!A:D,3,FALSE))</f>
        <v>Athletic</v>
      </c>
      <c r="E762" t="s">
        <v>43</v>
      </c>
      <c r="F762" s="1">
        <v>45935</v>
      </c>
      <c r="G762" t="s">
        <v>7</v>
      </c>
      <c r="H762" t="s">
        <v>31</v>
      </c>
      <c r="I762" s="2">
        <v>28504496</v>
      </c>
    </row>
    <row r="763" spans="1:9" x14ac:dyDescent="0.25">
      <c r="A763">
        <v>762</v>
      </c>
      <c r="B763" t="str">
        <f>IF(ISERROR(VLOOKUP(E763,Nombres!A:D,2,FALSE)),"PROBLEMAAAAAA",VLOOKUP(E763,Nombres!A:D,2,FALSE))</f>
        <v>Agoume</v>
      </c>
      <c r="C763" t="str">
        <f>IF(ISERROR(VLOOKUP(E763,Nombres!A:D,4,FALSE)),"PROBLEMAAAAAA",VLOOKUP(E763,Nombres!A:D,4,FALSE))</f>
        <v>MED</v>
      </c>
      <c r="D763" t="str">
        <f>IF(ISERROR(VLOOKUP(E763,Nombres!A:D,3,FALSE)),"PROBLEMAAAAAA",VLOOKUP(E763,Nombres!A:D,3,FALSE))</f>
        <v>Sevilla</v>
      </c>
      <c r="E763" t="s">
        <v>68</v>
      </c>
      <c r="F763" s="1">
        <v>45935</v>
      </c>
      <c r="G763" t="s">
        <v>14</v>
      </c>
      <c r="H763" t="s">
        <v>31</v>
      </c>
      <c r="I763" s="2">
        <v>12000158</v>
      </c>
    </row>
    <row r="764" spans="1:9" x14ac:dyDescent="0.25">
      <c r="A764">
        <v>763</v>
      </c>
      <c r="B764" t="str">
        <f>IF(ISERROR(VLOOKUP(E764,Nombres!A:D,2,FALSE)),"PROBLEMAAAAAA",VLOOKUP(E764,Nombres!A:D,2,FALSE))</f>
        <v>Alejandro Rego</v>
      </c>
      <c r="C764" t="str">
        <f>IF(ISERROR(VLOOKUP(E764,Nombres!A:D,4,FALSE)),"PROBLEMAAAAAA",VLOOKUP(E764,Nombres!A:D,4,FALSE))</f>
        <v>DEF</v>
      </c>
      <c r="D764" t="str">
        <f>IF(ISERROR(VLOOKUP(E764,Nombres!A:D,3,FALSE)),"PROBLEMAAAAAA",VLOOKUP(E764,Nombres!A:D,3,FALSE))</f>
        <v>Athletic</v>
      </c>
      <c r="E764" t="s">
        <v>767</v>
      </c>
      <c r="F764" s="1">
        <v>45935</v>
      </c>
      <c r="G764" t="s">
        <v>7</v>
      </c>
      <c r="H764" t="s">
        <v>31</v>
      </c>
      <c r="I764" s="2">
        <v>512739</v>
      </c>
    </row>
    <row r="765" spans="1:9" x14ac:dyDescent="0.25">
      <c r="A765">
        <v>764</v>
      </c>
      <c r="B765" t="str">
        <f>IF(ISERROR(VLOOKUP(E765,Nombres!A:D,2,FALSE)),"PROBLEMAAAAAA",VLOOKUP(E765,Nombres!A:D,2,FALSE))</f>
        <v>Araújo</v>
      </c>
      <c r="C765" t="str">
        <f>IF(ISERROR(VLOOKUP(E765,Nombres!A:D,4,FALSE)),"PROBLEMAAAAAA",VLOOKUP(E765,Nombres!A:D,4,FALSE))</f>
        <v>DEF</v>
      </c>
      <c r="D765" t="str">
        <f>IF(ISERROR(VLOOKUP(E765,Nombres!A:D,3,FALSE)),"PROBLEMAAAAAA",VLOOKUP(E765,Nombres!A:D,3,FALSE))</f>
        <v>Barcelona</v>
      </c>
      <c r="E765" t="s">
        <v>72</v>
      </c>
      <c r="F765" s="1">
        <v>45935</v>
      </c>
      <c r="G765" t="s">
        <v>31</v>
      </c>
      <c r="H765" t="s">
        <v>12</v>
      </c>
      <c r="I765" s="2">
        <v>22297359</v>
      </c>
    </row>
    <row r="766" spans="1:9" x14ac:dyDescent="0.25">
      <c r="A766">
        <v>765</v>
      </c>
      <c r="B766" t="str">
        <f>IF(ISERROR(VLOOKUP(E766,Nombres!A:D,2,FALSE)),"PROBLEMAAAAAA",VLOOKUP(E766,Nombres!A:D,2,FALSE))</f>
        <v>I. Williams</v>
      </c>
      <c r="C766" t="str">
        <f>IF(ISERROR(VLOOKUP(E766,Nombres!A:D,4,FALSE)),"PROBLEMAAAAAA",VLOOKUP(E766,Nombres!A:D,4,FALSE))</f>
        <v>DEL</v>
      </c>
      <c r="D766" t="str">
        <f>IF(ISERROR(VLOOKUP(E766,Nombres!A:D,3,FALSE)),"PROBLEMAAAAAA",VLOOKUP(E766,Nombres!A:D,3,FALSE))</f>
        <v>Athletic</v>
      </c>
      <c r="E766" t="s">
        <v>439</v>
      </c>
      <c r="F766" s="1">
        <v>45935</v>
      </c>
      <c r="G766" t="s">
        <v>31</v>
      </c>
      <c r="H766" t="s">
        <v>6</v>
      </c>
      <c r="I766" s="2">
        <v>34702163</v>
      </c>
    </row>
    <row r="767" spans="1:9" x14ac:dyDescent="0.25">
      <c r="A767">
        <v>766</v>
      </c>
      <c r="B767" t="str">
        <f>IF(ISERROR(VLOOKUP(E767,Nombres!A:D,2,FALSE)),"PROBLEMAAAAAA",VLOOKUP(E767,Nombres!A:D,2,FALSE))</f>
        <v>Juan Cruz</v>
      </c>
      <c r="C767" t="str">
        <f>IF(ISERROR(VLOOKUP(E767,Nombres!A:D,4,FALSE)),"PROBLEMAAAAAA",VLOOKUP(E767,Nombres!A:D,4,FALSE))</f>
        <v>DEF</v>
      </c>
      <c r="D767" t="str">
        <f>IF(ISERROR(VLOOKUP(E767,Nombres!A:D,3,FALSE)),"PROBLEMAAAAAA",VLOOKUP(E767,Nombres!A:D,3,FALSE))</f>
        <v>Osasuna</v>
      </c>
      <c r="E767" t="s">
        <v>262</v>
      </c>
      <c r="F767" s="1">
        <v>45936</v>
      </c>
      <c r="G767" t="s">
        <v>7</v>
      </c>
      <c r="H767" t="s">
        <v>31</v>
      </c>
      <c r="I767" s="2">
        <v>2806143</v>
      </c>
    </row>
    <row r="768" spans="1:9" x14ac:dyDescent="0.25">
      <c r="A768">
        <v>767</v>
      </c>
      <c r="B768" t="str">
        <f>IF(ISERROR(VLOOKUP(E768,Nombres!A:D,2,FALSE)),"PROBLEMAAAAAA",VLOOKUP(E768,Nombres!A:D,2,FALSE))</f>
        <v>Roberto</v>
      </c>
      <c r="C768" t="str">
        <f>IF(ISERROR(VLOOKUP(E768,Nombres!A:D,4,FALSE)),"PROBLEMAAAAAA",VLOOKUP(E768,Nombres!A:D,4,FALSE))</f>
        <v>DEL</v>
      </c>
      <c r="D768" t="str">
        <f>IF(ISERROR(VLOOKUP(E768,Nombres!A:D,3,FALSE)),"PROBLEMAAAAAA",VLOOKUP(E768,Nombres!A:D,3,FALSE))</f>
        <v>Espanyol</v>
      </c>
      <c r="E768" t="s">
        <v>306</v>
      </c>
      <c r="F768" s="1">
        <v>45936</v>
      </c>
      <c r="G768" t="s">
        <v>6</v>
      </c>
      <c r="H768" t="s">
        <v>31</v>
      </c>
      <c r="I768" s="2">
        <v>11087545</v>
      </c>
    </row>
    <row r="769" spans="1:9" x14ac:dyDescent="0.25">
      <c r="A769">
        <v>768</v>
      </c>
      <c r="B769" t="str">
        <f>IF(ISERROR(VLOOKUP(E769,Nombres!A:D,2,FALSE)),"PROBLEMAAAAAA",VLOOKUP(E769,Nombres!A:D,2,FALSE))</f>
        <v>Unai López</v>
      </c>
      <c r="C769" t="str">
        <f>IF(ISERROR(VLOOKUP(E769,Nombres!A:D,4,FALSE)),"PROBLEMAAAAAA",VLOOKUP(E769,Nombres!A:D,4,FALSE))</f>
        <v>MED</v>
      </c>
      <c r="D769" t="str">
        <f>IF(ISERROR(VLOOKUP(E769,Nombres!A:D,3,FALSE)),"PROBLEMAAAAAA",VLOOKUP(E769,Nombres!A:D,3,FALSE))</f>
        <v>Rayo</v>
      </c>
      <c r="E769" t="s">
        <v>769</v>
      </c>
      <c r="F769" s="1">
        <v>45936</v>
      </c>
      <c r="G769" t="s">
        <v>10</v>
      </c>
      <c r="H769" t="s">
        <v>31</v>
      </c>
      <c r="I769" s="2">
        <v>4785214</v>
      </c>
    </row>
    <row r="770" spans="1:9" x14ac:dyDescent="0.25">
      <c r="A770">
        <v>769</v>
      </c>
      <c r="B770" t="str">
        <f>IF(ISERROR(VLOOKUP(E770,Nombres!A:D,2,FALSE)),"PROBLEMAAAAAA",VLOOKUP(E770,Nombres!A:D,2,FALSE))</f>
        <v>Rodríguez</v>
      </c>
      <c r="C770" t="str">
        <f>IF(ISERROR(VLOOKUP(E770,Nombres!A:D,4,FALSE)),"PROBLEMAAAAAA",VLOOKUP(E770,Nombres!A:D,4,FALSE))</f>
        <v>DEF</v>
      </c>
      <c r="D770" t="str">
        <f>IF(ISERROR(VLOOKUP(E770,Nombres!A:D,3,FALSE)),"PROBLEMAAAAAA",VLOOKUP(E770,Nombres!A:D,3,FALSE))</f>
        <v>Betis</v>
      </c>
      <c r="E770" t="s">
        <v>770</v>
      </c>
      <c r="F770" s="1">
        <v>45936</v>
      </c>
      <c r="G770" t="s">
        <v>14</v>
      </c>
      <c r="H770" t="s">
        <v>31</v>
      </c>
      <c r="I770" s="2">
        <v>10225841</v>
      </c>
    </row>
    <row r="771" spans="1:9" x14ac:dyDescent="0.25">
      <c r="A771">
        <v>770</v>
      </c>
      <c r="B771" t="str">
        <f>IF(ISERROR(VLOOKUP(E771,Nombres!A:D,2,FALSE)),"PROBLEMAAAAAA",VLOOKUP(E771,Nombres!A:D,2,FALSE))</f>
        <v>Mingueza</v>
      </c>
      <c r="C771" t="str">
        <f>IF(ISERROR(VLOOKUP(E771,Nombres!A:D,4,FALSE)),"PROBLEMAAAAAA",VLOOKUP(E771,Nombres!A:D,4,FALSE))</f>
        <v>DEF</v>
      </c>
      <c r="D771" t="str">
        <f>IF(ISERROR(VLOOKUP(E771,Nombres!A:D,3,FALSE)),"PROBLEMAAAAAA",VLOOKUP(E771,Nombres!A:D,3,FALSE))</f>
        <v>Celta</v>
      </c>
      <c r="E771" t="s">
        <v>128</v>
      </c>
      <c r="F771" s="1">
        <v>45936</v>
      </c>
      <c r="G771" t="s">
        <v>31</v>
      </c>
      <c r="H771" t="s">
        <v>6</v>
      </c>
      <c r="I771" s="2">
        <v>12736575</v>
      </c>
    </row>
    <row r="772" spans="1:9" x14ac:dyDescent="0.25">
      <c r="A772">
        <v>771</v>
      </c>
      <c r="B772" t="str">
        <f>IF(ISERROR(VLOOKUP(E772,Nombres!A:D,2,FALSE)),"PROBLEMAAAAAA",VLOOKUP(E772,Nombres!A:D,2,FALSE))</f>
        <v>Antony</v>
      </c>
      <c r="C772" t="str">
        <f>IF(ISERROR(VLOOKUP(E772,Nombres!A:D,4,FALSE)),"PROBLEMAAAAAA",VLOOKUP(E772,Nombres!A:D,4,FALSE))</f>
        <v>DEL</v>
      </c>
      <c r="D772" t="str">
        <f>IF(ISERROR(VLOOKUP(E772,Nombres!A:D,3,FALSE)),"PROBLEMAAAAAA",VLOOKUP(E772,Nombres!A:D,3,FALSE))</f>
        <v>Betis</v>
      </c>
      <c r="E772" t="s">
        <v>324</v>
      </c>
      <c r="F772" s="1">
        <v>45936</v>
      </c>
      <c r="G772" t="s">
        <v>31</v>
      </c>
      <c r="H772" t="s">
        <v>11</v>
      </c>
      <c r="I772" s="2">
        <v>85961246</v>
      </c>
    </row>
    <row r="773" spans="1:9" x14ac:dyDescent="0.25">
      <c r="A773">
        <v>772</v>
      </c>
      <c r="B773" t="str">
        <f>IF(ISERROR(VLOOKUP(E773,Nombres!A:D,2,FALSE)),"PROBLEMAAAAAA",VLOOKUP(E773,Nombres!A:D,2,FALSE))</f>
        <v>Diakhaby</v>
      </c>
      <c r="C773" t="str">
        <f>IF(ISERROR(VLOOKUP(E773,Nombres!A:D,4,FALSE)),"PROBLEMAAAAAA",VLOOKUP(E773,Nombres!A:D,4,FALSE))</f>
        <v>DEF</v>
      </c>
      <c r="D773" t="str">
        <f>IF(ISERROR(VLOOKUP(E773,Nombres!A:D,3,FALSE)),"PROBLEMAAAAAA",VLOOKUP(E773,Nombres!A:D,3,FALSE))</f>
        <v>Valencia</v>
      </c>
      <c r="E773" t="s">
        <v>238</v>
      </c>
      <c r="F773" s="1">
        <v>45936</v>
      </c>
      <c r="G773" t="s">
        <v>31</v>
      </c>
      <c r="H773" t="s">
        <v>12</v>
      </c>
      <c r="I773" s="2">
        <v>8206580</v>
      </c>
    </row>
    <row r="774" spans="1:9" x14ac:dyDescent="0.25">
      <c r="A774">
        <v>773</v>
      </c>
      <c r="B774" t="str">
        <f>IF(ISERROR(VLOOKUP(E774,Nombres!A:D,2,FALSE)),"PROBLEMAAAAAA",VLOOKUP(E774,Nombres!A:D,2,FALSE))</f>
        <v>Muriqi</v>
      </c>
      <c r="C774" t="str">
        <f>IF(ISERROR(VLOOKUP(E774,Nombres!A:D,4,FALSE)),"PROBLEMAAAAAA",VLOOKUP(E774,Nombres!A:D,4,FALSE))</f>
        <v>DEL</v>
      </c>
      <c r="D774" t="str">
        <f>IF(ISERROR(VLOOKUP(E774,Nombres!A:D,3,FALSE)),"PROBLEMAAAAAA",VLOOKUP(E774,Nombres!A:D,3,FALSE))</f>
        <v>Mallorca</v>
      </c>
      <c r="E774" t="s">
        <v>35</v>
      </c>
      <c r="F774" s="1">
        <v>45936</v>
      </c>
      <c r="G774" t="s">
        <v>31</v>
      </c>
      <c r="H774" t="s">
        <v>12</v>
      </c>
      <c r="I774" s="2">
        <v>26129572</v>
      </c>
    </row>
    <row r="775" spans="1:9" x14ac:dyDescent="0.25">
      <c r="A775">
        <v>774</v>
      </c>
      <c r="B775" t="str">
        <f>IF(ISERROR(VLOOKUP(E775,Nombres!A:D,2,FALSE)),"PROBLEMAAAAAA",VLOOKUP(E775,Nombres!A:D,2,FALSE))</f>
        <v>Valles</v>
      </c>
      <c r="C775" t="str">
        <f>IF(ISERROR(VLOOKUP(E775,Nombres!A:D,4,FALSE)),"PROBLEMAAAAAA",VLOOKUP(E775,Nombres!A:D,4,FALSE))</f>
        <v>POR</v>
      </c>
      <c r="D775" t="str">
        <f>IF(ISERROR(VLOOKUP(E775,Nombres!A:D,3,FALSE)),"PROBLEMAAAAAA",VLOOKUP(E775,Nombres!A:D,3,FALSE))</f>
        <v>Betis</v>
      </c>
      <c r="E775" t="s">
        <v>228</v>
      </c>
      <c r="F775" s="1">
        <v>45937</v>
      </c>
      <c r="G775" t="s">
        <v>31</v>
      </c>
      <c r="H775" t="s">
        <v>10</v>
      </c>
      <c r="I775" s="2">
        <v>8157372</v>
      </c>
    </row>
    <row r="776" spans="1:9" x14ac:dyDescent="0.25">
      <c r="A776">
        <v>775</v>
      </c>
      <c r="B776" t="str">
        <f>IF(ISERROR(VLOOKUP(E776,Nombres!A:D,2,FALSE)),"PROBLEMAAAAAA",VLOOKUP(E776,Nombres!A:D,2,FALSE))</f>
        <v>Pablo Torre</v>
      </c>
      <c r="C776" t="str">
        <f>IF(ISERROR(VLOOKUP(E776,Nombres!A:D,4,FALSE)),"PROBLEMAAAAAA",VLOOKUP(E776,Nombres!A:D,4,FALSE))</f>
        <v>MED</v>
      </c>
      <c r="D776" t="str">
        <f>IF(ISERROR(VLOOKUP(E776,Nombres!A:D,3,FALSE)),"PROBLEMAAAAAA",VLOOKUP(E776,Nombres!A:D,3,FALSE))</f>
        <v>Mallorca</v>
      </c>
      <c r="E776" t="s">
        <v>74</v>
      </c>
      <c r="F776" s="1">
        <v>45937</v>
      </c>
      <c r="G776" t="s">
        <v>31</v>
      </c>
      <c r="H776" t="s">
        <v>768</v>
      </c>
      <c r="I776" s="2">
        <v>8474525</v>
      </c>
    </row>
    <row r="777" spans="1:9" x14ac:dyDescent="0.25">
      <c r="A777">
        <v>776</v>
      </c>
      <c r="B777" t="str">
        <f>IF(ISERROR(VLOOKUP(E777,Nombres!A:D,2,FALSE)),"PROBLEMAAAAAA",VLOOKUP(E777,Nombres!A:D,2,FALSE))</f>
        <v>Ferran</v>
      </c>
      <c r="C777" t="str">
        <f>IF(ISERROR(VLOOKUP(E777,Nombres!A:D,4,FALSE)),"PROBLEMAAAAAA",VLOOKUP(E777,Nombres!A:D,4,FALSE))</f>
        <v>DEL</v>
      </c>
      <c r="D777" t="str">
        <f>IF(ISERROR(VLOOKUP(E777,Nombres!A:D,3,FALSE)),"PROBLEMAAAAAA",VLOOKUP(E777,Nombres!A:D,3,FALSE))</f>
        <v>Barcelona</v>
      </c>
      <c r="E777" t="s">
        <v>161</v>
      </c>
      <c r="F777" s="1">
        <v>45937</v>
      </c>
      <c r="G777" t="s">
        <v>31</v>
      </c>
      <c r="H777" t="s">
        <v>13</v>
      </c>
      <c r="I777" s="2">
        <v>73786727</v>
      </c>
    </row>
    <row r="778" spans="1:9" x14ac:dyDescent="0.25">
      <c r="A778">
        <v>777</v>
      </c>
      <c r="B778" t="str">
        <f>IF(ISERROR(VLOOKUP(E778,Nombres!A:D,2,FALSE)),"PROBLEMAAAAAA",VLOOKUP(E778,Nombres!A:D,2,FALSE))</f>
        <v>Vargas</v>
      </c>
      <c r="C778" t="str">
        <f>IF(ISERROR(VLOOKUP(E778,Nombres!A:D,4,FALSE)),"PROBLEMAAAAAA",VLOOKUP(E778,Nombres!A:D,4,FALSE))</f>
        <v>DEL</v>
      </c>
      <c r="D778" t="str">
        <f>IF(ISERROR(VLOOKUP(E778,Nombres!A:D,3,FALSE)),"PROBLEMAAAAAA",VLOOKUP(E778,Nombres!A:D,3,FALSE))</f>
        <v>Sevilla</v>
      </c>
      <c r="E778" t="s">
        <v>301</v>
      </c>
      <c r="F778" s="1">
        <v>45937</v>
      </c>
      <c r="G778" t="s">
        <v>13</v>
      </c>
      <c r="H778" t="s">
        <v>10</v>
      </c>
      <c r="I778" s="2">
        <v>34085836</v>
      </c>
    </row>
    <row r="779" spans="1:9" x14ac:dyDescent="0.25">
      <c r="A779">
        <v>778</v>
      </c>
      <c r="B779" t="str">
        <f>IF(ISERROR(VLOOKUP(E779,Nombres!A:D,2,FALSE)),"PROBLEMAAAAAA",VLOOKUP(E779,Nombres!A:D,2,FALSE))</f>
        <v>Fermín</v>
      </c>
      <c r="C779" t="str">
        <f>IF(ISERROR(VLOOKUP(E779,Nombres!A:D,4,FALSE)),"PROBLEMAAAAAA",VLOOKUP(E779,Nombres!A:D,4,FALSE))</f>
        <v>MED</v>
      </c>
      <c r="D779" t="str">
        <f>IF(ISERROR(VLOOKUP(E779,Nombres!A:D,3,FALSE)),"PROBLEMAAAAAA",VLOOKUP(E779,Nombres!A:D,3,FALSE))</f>
        <v>Barcelona</v>
      </c>
      <c r="E779" t="s">
        <v>184</v>
      </c>
      <c r="F779" s="1">
        <v>45937</v>
      </c>
      <c r="G779" t="s">
        <v>14</v>
      </c>
      <c r="H779" t="s">
        <v>31</v>
      </c>
      <c r="I779" s="2">
        <v>22222222</v>
      </c>
    </row>
    <row r="780" spans="1:9" x14ac:dyDescent="0.25">
      <c r="A780">
        <v>779</v>
      </c>
      <c r="B780" t="str">
        <f>IF(ISERROR(VLOOKUP(E780,Nombres!A:D,2,FALSE)),"PROBLEMAAAAAA",VLOOKUP(E780,Nombres!A:D,2,FALSE))</f>
        <v>Valjent</v>
      </c>
      <c r="C780" t="str">
        <f>IF(ISERROR(VLOOKUP(E780,Nombres!A:D,4,FALSE)),"PROBLEMAAAAAA",VLOOKUP(E780,Nombres!A:D,4,FALSE))</f>
        <v>DEF</v>
      </c>
      <c r="D780" t="str">
        <f>IF(ISERROR(VLOOKUP(E780,Nombres!A:D,3,FALSE)),"PROBLEMAAAAAA",VLOOKUP(E780,Nombres!A:D,3,FALSE))</f>
        <v>Mallorca</v>
      </c>
      <c r="E780" t="s">
        <v>197</v>
      </c>
      <c r="F780" s="1">
        <v>45937</v>
      </c>
      <c r="G780" t="s">
        <v>11</v>
      </c>
      <c r="H780" t="s">
        <v>31</v>
      </c>
      <c r="I780" s="2">
        <v>7108000</v>
      </c>
    </row>
    <row r="781" spans="1:9" x14ac:dyDescent="0.25">
      <c r="A781">
        <v>780</v>
      </c>
      <c r="B781" t="str">
        <f>IF(ISERROR(VLOOKUP(E781,Nombres!A:D,2,FALSE)),"PROBLEMAAAAAA",VLOOKUP(E781,Nombres!A:D,2,FALSE))</f>
        <v>Sotelo</v>
      </c>
      <c r="C781" t="str">
        <f>IF(ISERROR(VLOOKUP(E781,Nombres!A:D,4,FALSE)),"PROBLEMAAAAAA",VLOOKUP(E781,Nombres!A:D,4,FALSE))</f>
        <v>MED</v>
      </c>
      <c r="D781" t="str">
        <f>IF(ISERROR(VLOOKUP(E781,Nombres!A:D,3,FALSE)),"PROBLEMAAAAAA",VLOOKUP(E781,Nombres!A:D,3,FALSE))</f>
        <v>Celta</v>
      </c>
      <c r="E781" t="s">
        <v>771</v>
      </c>
      <c r="F781" s="1">
        <v>45937</v>
      </c>
      <c r="G781" t="s">
        <v>9</v>
      </c>
      <c r="H781" t="s">
        <v>31</v>
      </c>
      <c r="I781" s="2">
        <v>15000000</v>
      </c>
    </row>
    <row r="782" spans="1:9" x14ac:dyDescent="0.25">
      <c r="A782">
        <v>781</v>
      </c>
      <c r="B782" t="str">
        <f>IF(ISERROR(VLOOKUP(E782,Nombres!A:D,2,FALSE)),"PROBLEMAAAAAA",VLOOKUP(E782,Nombres!A:D,2,FALSE))</f>
        <v>Luiz Junior</v>
      </c>
      <c r="C782" t="str">
        <f>IF(ISERROR(VLOOKUP(E782,Nombres!A:D,4,FALSE)),"PROBLEMAAAAAA",VLOOKUP(E782,Nombres!A:D,4,FALSE))</f>
        <v>POR</v>
      </c>
      <c r="D782" t="str">
        <f>IF(ISERROR(VLOOKUP(E782,Nombres!A:D,3,FALSE)),"PROBLEMAAAAAA",VLOOKUP(E782,Nombres!A:D,3,FALSE))</f>
        <v>Villarreal</v>
      </c>
      <c r="E782" t="s">
        <v>332</v>
      </c>
      <c r="F782" s="1">
        <v>45937</v>
      </c>
      <c r="G782" t="s">
        <v>31</v>
      </c>
      <c r="H782" t="s">
        <v>12</v>
      </c>
      <c r="I782" s="2">
        <v>24021481</v>
      </c>
    </row>
    <row r="783" spans="1:9" x14ac:dyDescent="0.25">
      <c r="A783">
        <v>782</v>
      </c>
      <c r="B783" t="str">
        <f>IF(ISERROR(VLOOKUP(E783,Nombres!A:D,2,FALSE)),"PROBLEMAAAAAA",VLOOKUP(E783,Nombres!A:D,2,FALSE))</f>
        <v>Bellingham</v>
      </c>
      <c r="C783" t="str">
        <f>IF(ISERROR(VLOOKUP(E783,Nombres!A:D,4,FALSE)),"PROBLEMAAAAAA",VLOOKUP(E783,Nombres!A:D,4,FALSE))</f>
        <v>MED</v>
      </c>
      <c r="D783" t="str">
        <f>IF(ISERROR(VLOOKUP(E783,Nombres!A:D,3,FALSE)),"PROBLEMAAAAAA",VLOOKUP(E783,Nombres!A:D,3,FALSE))</f>
        <v>Real Madrid</v>
      </c>
      <c r="E783" t="s">
        <v>425</v>
      </c>
      <c r="F783" s="1">
        <v>45937</v>
      </c>
      <c r="G783" t="s">
        <v>11</v>
      </c>
      <c r="H783" t="s">
        <v>7</v>
      </c>
      <c r="I783" s="2">
        <v>81008927</v>
      </c>
    </row>
    <row r="784" spans="1:9" x14ac:dyDescent="0.25">
      <c r="A784">
        <v>783</v>
      </c>
      <c r="B784" t="str">
        <f>IF(ISERROR(VLOOKUP(E784,Nombres!A:D,2,FALSE)),"PROBLEMAAAAAA",VLOOKUP(E784,Nombres!A:D,2,FALSE))</f>
        <v>Pere Milla</v>
      </c>
      <c r="C784" t="str">
        <f>IF(ISERROR(VLOOKUP(E784,Nombres!A:D,4,FALSE)),"PROBLEMAAAAAA",VLOOKUP(E784,Nombres!A:D,4,FALSE))</f>
        <v>DEL</v>
      </c>
      <c r="D784" t="str">
        <f>IF(ISERROR(VLOOKUP(E784,Nombres!A:D,3,FALSE)),"PROBLEMAAAAAA",VLOOKUP(E784,Nombres!A:D,3,FALSE))</f>
        <v>Espanyol</v>
      </c>
      <c r="E784" t="s">
        <v>426</v>
      </c>
      <c r="F784" s="1">
        <v>45938</v>
      </c>
      <c r="G784" t="s">
        <v>13</v>
      </c>
      <c r="H784" t="s">
        <v>10</v>
      </c>
      <c r="I784" s="2">
        <v>10928095</v>
      </c>
    </row>
    <row r="785" spans="1:9" x14ac:dyDescent="0.25">
      <c r="A785">
        <v>784</v>
      </c>
      <c r="B785" t="str">
        <f>IF(ISERROR(VLOOKUP(E785,Nombres!A:D,2,FALSE)),"PROBLEMAAAAAA",VLOOKUP(E785,Nombres!A:D,2,FALSE))</f>
        <v>Marcão</v>
      </c>
      <c r="C785" t="str">
        <f>IF(ISERROR(VLOOKUP(E785,Nombres!A:D,4,FALSE)),"PROBLEMAAAAAA",VLOOKUP(E785,Nombres!A:D,4,FALSE))</f>
        <v>DEF</v>
      </c>
      <c r="D785" t="str">
        <f>IF(ISERROR(VLOOKUP(E785,Nombres!A:D,3,FALSE)),"PROBLEMAAAAAA",VLOOKUP(E785,Nombres!A:D,3,FALSE))</f>
        <v>Sevilla</v>
      </c>
      <c r="E785" t="s">
        <v>129</v>
      </c>
      <c r="F785" s="1">
        <v>45938</v>
      </c>
      <c r="G785" t="s">
        <v>12</v>
      </c>
      <c r="H785" t="s">
        <v>9</v>
      </c>
      <c r="I785" s="2">
        <v>1834561</v>
      </c>
    </row>
    <row r="786" spans="1:9" x14ac:dyDescent="0.25">
      <c r="A786">
        <v>785</v>
      </c>
      <c r="B786" t="str">
        <f>IF(ISERROR(VLOOKUP(E786,Nombres!A:D,2,FALSE)),"PROBLEMAAAAAA",VLOOKUP(E786,Nombres!A:D,2,FALSE))</f>
        <v>Romero</v>
      </c>
      <c r="C786" t="str">
        <f>IF(ISERROR(VLOOKUP(E786,Nombres!A:D,4,FALSE)),"PROBLEMAAAAAA",VLOOKUP(E786,Nombres!A:D,4,FALSE))</f>
        <v>DEL</v>
      </c>
      <c r="D786" t="str">
        <f>IF(ISERROR(VLOOKUP(E786,Nombres!A:D,3,FALSE)),"PROBLEMAAAAAA",VLOOKUP(E786,Nombres!A:D,3,FALSE))</f>
        <v>Sevilla</v>
      </c>
      <c r="E786" t="s">
        <v>187</v>
      </c>
      <c r="F786" s="1">
        <v>45938</v>
      </c>
      <c r="G786" t="s">
        <v>12</v>
      </c>
      <c r="H786" t="s">
        <v>7</v>
      </c>
      <c r="I786" s="2">
        <v>13987987</v>
      </c>
    </row>
    <row r="787" spans="1:9" x14ac:dyDescent="0.25">
      <c r="A787">
        <v>786</v>
      </c>
      <c r="B787" t="str">
        <f>IF(ISERROR(VLOOKUP(E787,Nombres!A:D,2,FALSE)),"PROBLEMAAAAAA",VLOOKUP(E787,Nombres!A:D,2,FALSE))</f>
        <v>Szczesny</v>
      </c>
      <c r="C787" t="str">
        <f>IF(ISERROR(VLOOKUP(E787,Nombres!A:D,4,FALSE)),"PROBLEMAAAAAA",VLOOKUP(E787,Nombres!A:D,4,FALSE))</f>
        <v>POR</v>
      </c>
      <c r="D787" t="str">
        <f>IF(ISERROR(VLOOKUP(E787,Nombres!A:D,3,FALSE)),"PROBLEMAAAAAA",VLOOKUP(E787,Nombres!A:D,3,FALSE))</f>
        <v>Barcelona</v>
      </c>
      <c r="E787" t="s">
        <v>724</v>
      </c>
      <c r="F787" s="1">
        <v>45938</v>
      </c>
      <c r="G787" t="s">
        <v>12</v>
      </c>
      <c r="H787" t="s">
        <v>31</v>
      </c>
      <c r="I787" s="2">
        <v>8610010</v>
      </c>
    </row>
    <row r="788" spans="1:9" x14ac:dyDescent="0.25">
      <c r="A788">
        <v>787</v>
      </c>
      <c r="B788" t="str">
        <f>IF(ISERROR(VLOOKUP(E788,Nombres!A:D,2,FALSE)),"PROBLEMAAAAAA",VLOOKUP(E788,Nombres!A:D,2,FALSE))</f>
        <v>Cardoso</v>
      </c>
      <c r="C788" t="str">
        <f>IF(ISERROR(VLOOKUP(E788,Nombres!A:D,4,FALSE)),"PROBLEMAAAAAA",VLOOKUP(E788,Nombres!A:D,4,FALSE))</f>
        <v>DEF</v>
      </c>
      <c r="D788" t="str">
        <f>IF(ISERROR(VLOOKUP(E788,Nombres!A:D,3,FALSE)),"PROBLEMAAAAAA",VLOOKUP(E788,Nombres!A:D,3,FALSE))</f>
        <v>Sevilla</v>
      </c>
      <c r="E788" t="s">
        <v>401</v>
      </c>
      <c r="F788" s="1">
        <v>45938</v>
      </c>
      <c r="G788" t="s">
        <v>13</v>
      </c>
      <c r="H788" t="s">
        <v>31</v>
      </c>
      <c r="I788" s="2">
        <v>1556770</v>
      </c>
    </row>
    <row r="789" spans="1:9" x14ac:dyDescent="0.25">
      <c r="A789">
        <v>788</v>
      </c>
      <c r="B789" t="str">
        <f>IF(ISERROR(VLOOKUP(E789,Nombres!A:D,2,FALSE)),"PROBLEMAAAAAA",VLOOKUP(E789,Nombres!A:D,2,FALSE))</f>
        <v>Riedel</v>
      </c>
      <c r="C789" t="str">
        <f>IF(ISERROR(VLOOKUP(E789,Nombres!A:D,4,FALSE)),"PROBLEMAAAAAA",VLOOKUP(E789,Nombres!A:D,4,FALSE))</f>
        <v>DEF</v>
      </c>
      <c r="D789" t="str">
        <f>IF(ISERROR(VLOOKUP(E789,Nombres!A:D,3,FALSE)),"PROBLEMAAAAAA",VLOOKUP(E789,Nombres!A:D,3,FALSE))</f>
        <v>Espanyol</v>
      </c>
      <c r="E789" t="s">
        <v>698</v>
      </c>
      <c r="F789" s="1">
        <v>45938</v>
      </c>
      <c r="G789" t="s">
        <v>10</v>
      </c>
      <c r="H789" t="s">
        <v>31</v>
      </c>
      <c r="I789" s="2">
        <v>8745874</v>
      </c>
    </row>
    <row r="790" spans="1:9" x14ac:dyDescent="0.25">
      <c r="A790">
        <v>789</v>
      </c>
      <c r="B790" t="str">
        <f>IF(ISERROR(VLOOKUP(E790,Nombres!A:D,2,FALSE)),"PROBLEMAAAAAA",VLOOKUP(E790,Nombres!A:D,2,FALSE))</f>
        <v>Gorrotxategi</v>
      </c>
      <c r="C790" t="str">
        <f>IF(ISERROR(VLOOKUP(E790,Nombres!A:D,4,FALSE)),"PROBLEMAAAAAA",VLOOKUP(E790,Nombres!A:D,4,FALSE))</f>
        <v>MED</v>
      </c>
      <c r="D790" t="str">
        <f>IF(ISERROR(VLOOKUP(E790,Nombres!A:D,3,FALSE)),"PROBLEMAAAAAA",VLOOKUP(E790,Nombres!A:D,3,FALSE))</f>
        <v>Real Sociedad</v>
      </c>
      <c r="E790" t="s">
        <v>772</v>
      </c>
      <c r="F790" s="1">
        <v>45938</v>
      </c>
      <c r="G790" t="s">
        <v>12</v>
      </c>
      <c r="H790" t="s">
        <v>31</v>
      </c>
      <c r="I790" s="2">
        <v>6100101</v>
      </c>
    </row>
    <row r="791" spans="1:9" x14ac:dyDescent="0.25">
      <c r="A791">
        <v>790</v>
      </c>
      <c r="B791" t="str">
        <f>IF(ISERROR(VLOOKUP(E791,Nombres!A:D,2,FALSE)),"PROBLEMAAAAAA",VLOOKUP(E791,Nombres!A:D,2,FALSE))</f>
        <v>Hancko</v>
      </c>
      <c r="C791" t="str">
        <f>IF(ISERROR(VLOOKUP(E791,Nombres!A:D,4,FALSE)),"PROBLEMAAAAAA",VLOOKUP(E791,Nombres!A:D,4,FALSE))</f>
        <v>DEF</v>
      </c>
      <c r="D791" t="str">
        <f>IF(ISERROR(VLOOKUP(E791,Nombres!A:D,3,FALSE)),"PROBLEMAAAAAA",VLOOKUP(E791,Nombres!A:D,3,FALSE))</f>
        <v>Atlético</v>
      </c>
      <c r="E791" t="s">
        <v>107</v>
      </c>
      <c r="F791" s="1">
        <v>45938</v>
      </c>
      <c r="G791" t="s">
        <v>11</v>
      </c>
      <c r="H791" t="s">
        <v>31</v>
      </c>
      <c r="I791" s="2">
        <v>20000000</v>
      </c>
    </row>
    <row r="792" spans="1:9" x14ac:dyDescent="0.25">
      <c r="A792">
        <v>791</v>
      </c>
      <c r="B792" t="str">
        <f>IF(ISERROR(VLOOKUP(E792,Nombres!A:D,2,FALSE)),"PROBLEMAAAAAA",VLOOKUP(E792,Nombres!A:D,2,FALSE))</f>
        <v>Rafa Mir</v>
      </c>
      <c r="C792" t="str">
        <f>IF(ISERROR(VLOOKUP(E792,Nombres!A:D,4,FALSE)),"PROBLEMAAAAAA",VLOOKUP(E792,Nombres!A:D,4,FALSE))</f>
        <v>DEL</v>
      </c>
      <c r="D792" t="str">
        <f>IF(ISERROR(VLOOKUP(E792,Nombres!A:D,3,FALSE)),"PROBLEMAAAAAA",VLOOKUP(E792,Nombres!A:D,3,FALSE))</f>
        <v>Elche</v>
      </c>
      <c r="E792" t="s">
        <v>287</v>
      </c>
      <c r="F792" s="1">
        <v>45938</v>
      </c>
      <c r="G792" t="s">
        <v>31</v>
      </c>
      <c r="H792" t="s">
        <v>9</v>
      </c>
      <c r="I792" s="2">
        <v>21110640</v>
      </c>
    </row>
    <row r="793" spans="1:9" x14ac:dyDescent="0.25">
      <c r="A793">
        <v>792</v>
      </c>
      <c r="B793" t="str">
        <f>IF(ISERROR(VLOOKUP(E793,Nombres!A:D,2,FALSE)),"PROBLEMAAAAAA",VLOOKUP(E793,Nombres!A:D,2,FALSE))</f>
        <v>Maffeo</v>
      </c>
      <c r="C793" t="str">
        <f>IF(ISERROR(VLOOKUP(E793,Nombres!A:D,4,FALSE)),"PROBLEMAAAAAA",VLOOKUP(E793,Nombres!A:D,4,FALSE))</f>
        <v>DEF</v>
      </c>
      <c r="D793" t="str">
        <f>IF(ISERROR(VLOOKUP(E793,Nombres!A:D,3,FALSE)),"PROBLEMAAAAAA",VLOOKUP(E793,Nombres!A:D,3,FALSE))</f>
        <v>Mallorca</v>
      </c>
      <c r="E793" t="s">
        <v>364</v>
      </c>
      <c r="F793" s="1">
        <v>45938</v>
      </c>
      <c r="G793" t="s">
        <v>9</v>
      </c>
      <c r="H793" t="s">
        <v>13</v>
      </c>
      <c r="I793" s="2">
        <v>1532830</v>
      </c>
    </row>
    <row r="794" spans="1:9" x14ac:dyDescent="0.25">
      <c r="A794">
        <v>793</v>
      </c>
      <c r="B794" t="str">
        <f>IF(ISERROR(VLOOKUP(E794,Nombres!A:D,2,FALSE)),"PROBLEMAAAAAA",VLOOKUP(E794,Nombres!A:D,2,FALSE))</f>
        <v>Dolan</v>
      </c>
      <c r="C794" t="str">
        <f>IF(ISERROR(VLOOKUP(E794,Nombres!A:D,4,FALSE)),"PROBLEMAAAAAA",VLOOKUP(E794,Nombres!A:D,4,FALSE))</f>
        <v>DEL</v>
      </c>
      <c r="D794" t="str">
        <f>IF(ISERROR(VLOOKUP(E794,Nombres!A:D,3,FALSE)),"PROBLEMAAAAAA",VLOOKUP(E794,Nombres!A:D,3,FALSE))</f>
        <v>Espanyol</v>
      </c>
      <c r="E794" t="s">
        <v>295</v>
      </c>
      <c r="F794" s="1">
        <v>45938</v>
      </c>
      <c r="G794" t="s">
        <v>9</v>
      </c>
      <c r="H794" t="s">
        <v>768</v>
      </c>
      <c r="I794" s="2">
        <v>6529830</v>
      </c>
    </row>
    <row r="795" spans="1:9" x14ac:dyDescent="0.25">
      <c r="A795">
        <v>794</v>
      </c>
      <c r="B795" t="str">
        <f>IF(ISERROR(VLOOKUP(E795,Nombres!A:D,2,FALSE)),"PROBLEMAAAAAA",VLOOKUP(E795,Nombres!A:D,2,FALSE))</f>
        <v>Brais</v>
      </c>
      <c r="C795" t="str">
        <f>IF(ISERROR(VLOOKUP(E795,Nombres!A:D,4,FALSE)),"PROBLEMAAAAAA",VLOOKUP(E795,Nombres!A:D,4,FALSE))</f>
        <v>MED</v>
      </c>
      <c r="D795" t="str">
        <f>IF(ISERROR(VLOOKUP(E795,Nombres!A:D,3,FALSE)),"PROBLEMAAAAAA",VLOOKUP(E795,Nombres!A:D,3,FALSE))</f>
        <v>Real Sociedad</v>
      </c>
      <c r="E795" t="s">
        <v>158</v>
      </c>
      <c r="F795" s="1">
        <v>45938</v>
      </c>
      <c r="G795" t="s">
        <v>31</v>
      </c>
      <c r="H795" t="s">
        <v>12</v>
      </c>
      <c r="I795" s="2">
        <v>12818323</v>
      </c>
    </row>
    <row r="796" spans="1:9" x14ac:dyDescent="0.25">
      <c r="A796">
        <v>795</v>
      </c>
      <c r="B796" t="str">
        <f>IF(ISERROR(VLOOKUP(E796,Nombres!A:D,2,FALSE)),"PROBLEMAAAAAA",VLOOKUP(E796,Nombres!A:D,2,FALSE))</f>
        <v>Álvaro García</v>
      </c>
      <c r="C796" t="str">
        <f>IF(ISERROR(VLOOKUP(E796,Nombres!A:D,4,FALSE)),"PROBLEMAAAAAA",VLOOKUP(E796,Nombres!A:D,4,FALSE))</f>
        <v>MED</v>
      </c>
      <c r="D796" t="str">
        <f>IF(ISERROR(VLOOKUP(E796,Nombres!A:D,3,FALSE)),"PROBLEMAAAAAA",VLOOKUP(E796,Nombres!A:D,3,FALSE))</f>
        <v>Rayo</v>
      </c>
      <c r="E796" t="s">
        <v>60</v>
      </c>
      <c r="F796" s="1">
        <v>45938</v>
      </c>
      <c r="G796" t="s">
        <v>31</v>
      </c>
      <c r="H796" t="s">
        <v>13</v>
      </c>
      <c r="I796" s="2">
        <v>27583249</v>
      </c>
    </row>
    <row r="797" spans="1:9" x14ac:dyDescent="0.25">
      <c r="A797">
        <v>796</v>
      </c>
      <c r="B797" t="str">
        <f>IF(ISERROR(VLOOKUP(E797,Nombres!A:D,2,FALSE)),"PROBLEMAAAAAA",VLOOKUP(E797,Nombres!A:D,2,FALSE))</f>
        <v>Javi Rodríguez</v>
      </c>
      <c r="C797" t="str">
        <f>IF(ISERROR(VLOOKUP(E797,Nombres!A:D,4,FALSE)),"PROBLEMAAAAAA",VLOOKUP(E797,Nombres!A:D,4,FALSE))</f>
        <v>DEF</v>
      </c>
      <c r="D797" t="str">
        <f>IF(ISERROR(VLOOKUP(E797,Nombres!A:D,3,FALSE)),"PROBLEMAAAAAA",VLOOKUP(E797,Nombres!A:D,3,FALSE))</f>
        <v>Celta</v>
      </c>
      <c r="E797" t="s">
        <v>277</v>
      </c>
      <c r="F797" s="1">
        <v>45938</v>
      </c>
      <c r="G797" t="s">
        <v>9</v>
      </c>
      <c r="H797" t="s">
        <v>10</v>
      </c>
      <c r="I797" s="2">
        <v>1000000</v>
      </c>
    </row>
    <row r="798" spans="1:9" x14ac:dyDescent="0.25">
      <c r="A798">
        <v>797</v>
      </c>
      <c r="B798" t="str">
        <f>IF(ISERROR(VLOOKUP(E798,Nombres!A:D,2,FALSE)),"PROBLEMAAAAAA",VLOOKUP(E798,Nombres!A:D,2,FALSE))</f>
        <v>Barrenetxea</v>
      </c>
      <c r="C798" t="str">
        <f>IF(ISERROR(VLOOKUP(E798,Nombres!A:D,4,FALSE)),"PROBLEMAAAAAA",VLOOKUP(E798,Nombres!A:D,4,FALSE))</f>
        <v>MED</v>
      </c>
      <c r="D798" t="str">
        <f>IF(ISERROR(VLOOKUP(E798,Nombres!A:D,3,FALSE)),"PROBLEMAAAAAA",VLOOKUP(E798,Nombres!A:D,3,FALSE))</f>
        <v>Real Sociedad</v>
      </c>
      <c r="E798" t="s">
        <v>47</v>
      </c>
      <c r="F798" s="1">
        <v>45938</v>
      </c>
      <c r="G798" t="s">
        <v>13</v>
      </c>
      <c r="H798" t="s">
        <v>6</v>
      </c>
      <c r="I798" s="2">
        <v>32736001</v>
      </c>
    </row>
    <row r="799" spans="1:9" x14ac:dyDescent="0.25">
      <c r="A799">
        <v>798</v>
      </c>
      <c r="B799" t="str">
        <f>IF(ISERROR(VLOOKUP(E799,Nombres!A:D,2,FALSE)),"PROBLEMAAAAAA",VLOOKUP(E799,Nombres!A:D,2,FALSE))</f>
        <v>Valentín Gómez</v>
      </c>
      <c r="C799" t="str">
        <f>IF(ISERROR(VLOOKUP(E799,Nombres!A:D,4,FALSE)),"PROBLEMAAAAAA",VLOOKUP(E799,Nombres!A:D,4,FALSE))</f>
        <v>DEF</v>
      </c>
      <c r="D799" t="str">
        <f>IF(ISERROR(VLOOKUP(E799,Nombres!A:D,3,FALSE)),"PROBLEMAAAAAA",VLOOKUP(E799,Nombres!A:D,3,FALSE))</f>
        <v>Betis</v>
      </c>
      <c r="E799" t="s">
        <v>773</v>
      </c>
      <c r="F799" s="1">
        <v>45939</v>
      </c>
      <c r="G799" t="s">
        <v>6</v>
      </c>
      <c r="H799" t="s">
        <v>31</v>
      </c>
      <c r="I799" s="2">
        <v>2863699</v>
      </c>
    </row>
    <row r="800" spans="1:9" x14ac:dyDescent="0.25">
      <c r="A800">
        <v>799</v>
      </c>
      <c r="B800" t="str">
        <f>IF(ISERROR(VLOOKUP(E800,Nombres!A:D,2,FALSE)),"PROBLEMAAAAAA",VLOOKUP(E800,Nombres!A:D,2,FALSE))</f>
        <v>Vlachodimos</v>
      </c>
      <c r="C800" t="str">
        <f>IF(ISERROR(VLOOKUP(E800,Nombres!A:D,4,FALSE)),"PROBLEMAAAAAA",VLOOKUP(E800,Nombres!A:D,4,FALSE))</f>
        <v>POR</v>
      </c>
      <c r="D800" t="str">
        <f>IF(ISERROR(VLOOKUP(E800,Nombres!A:D,3,FALSE)),"PROBLEMAAAAAA",VLOOKUP(E800,Nombres!A:D,3,FALSE))</f>
        <v>Sevilla</v>
      </c>
      <c r="E800" t="s">
        <v>748</v>
      </c>
      <c r="F800" s="1">
        <v>45939</v>
      </c>
      <c r="G800" t="s">
        <v>13</v>
      </c>
      <c r="H800" t="s">
        <v>31</v>
      </c>
      <c r="I800" s="2">
        <v>12831346</v>
      </c>
    </row>
    <row r="801" spans="1:9" x14ac:dyDescent="0.25">
      <c r="A801">
        <v>800</v>
      </c>
      <c r="B801" t="str">
        <f>IF(ISERROR(VLOOKUP(E801,Nombres!A:D,2,FALSE)),"PROBLEMAAAAAA",VLOOKUP(E801,Nombres!A:D,2,FALSE))</f>
        <v>Mayoral</v>
      </c>
      <c r="C801" t="str">
        <f>IF(ISERROR(VLOOKUP(E801,Nombres!A:D,4,FALSE)),"PROBLEMAAAAAA",VLOOKUP(E801,Nombres!A:D,4,FALSE))</f>
        <v>DEL</v>
      </c>
      <c r="D801" t="str">
        <f>IF(ISERROR(VLOOKUP(E801,Nombres!A:D,3,FALSE)),"PROBLEMAAAAAA",VLOOKUP(E801,Nombres!A:D,3,FALSE))</f>
        <v>Getafe</v>
      </c>
      <c r="E801" t="s">
        <v>178</v>
      </c>
      <c r="F801" s="1">
        <v>45939</v>
      </c>
      <c r="G801" t="s">
        <v>13</v>
      </c>
      <c r="H801" t="s">
        <v>31</v>
      </c>
      <c r="I801" s="2">
        <v>7711880</v>
      </c>
    </row>
    <row r="802" spans="1:9" x14ac:dyDescent="0.25">
      <c r="A802">
        <v>801</v>
      </c>
      <c r="B802" t="str">
        <f>IF(ISERROR(VLOOKUP(E802,Nombres!A:D,2,FALSE)),"PROBLEMAAAAAA",VLOOKUP(E802,Nombres!A:D,2,FALSE))</f>
        <v>Darder</v>
      </c>
      <c r="C802" t="str">
        <f>IF(ISERROR(VLOOKUP(E802,Nombres!A:D,4,FALSE)),"PROBLEMAAAAAA",VLOOKUP(E802,Nombres!A:D,4,FALSE))</f>
        <v>MED</v>
      </c>
      <c r="D802" t="str">
        <f>IF(ISERROR(VLOOKUP(E802,Nombres!A:D,3,FALSE)),"PROBLEMAAAAAA",VLOOKUP(E802,Nombres!A:D,3,FALSE))</f>
        <v>Mallorca</v>
      </c>
      <c r="E802" t="s">
        <v>144</v>
      </c>
      <c r="F802" s="1">
        <v>45939</v>
      </c>
      <c r="G802" t="s">
        <v>31</v>
      </c>
      <c r="H802" t="s">
        <v>14</v>
      </c>
      <c r="I802" s="2">
        <v>15322230</v>
      </c>
    </row>
    <row r="803" spans="1:9" x14ac:dyDescent="0.25">
      <c r="A803">
        <v>802</v>
      </c>
      <c r="B803" t="str">
        <f>IF(ISERROR(VLOOKUP(E803,Nombres!A:D,2,FALSE)),"PROBLEMAAAAAA",VLOOKUP(E803,Nombres!A:D,2,FALSE))</f>
        <v>Carmona</v>
      </c>
      <c r="C803" t="str">
        <f>IF(ISERROR(VLOOKUP(E803,Nombres!A:D,4,FALSE)),"PROBLEMAAAAAA",VLOOKUP(E803,Nombres!A:D,4,FALSE))</f>
        <v>DEF</v>
      </c>
      <c r="D803" t="str">
        <f>IF(ISERROR(VLOOKUP(E803,Nombres!A:D,3,FALSE)),"PROBLEMAAAAAA",VLOOKUP(E803,Nombres!A:D,3,FALSE))</f>
        <v>Sevilla</v>
      </c>
      <c r="E803" t="s">
        <v>522</v>
      </c>
      <c r="F803" s="1">
        <v>45940</v>
      </c>
      <c r="G803" t="s">
        <v>10</v>
      </c>
      <c r="H803" t="s">
        <v>31</v>
      </c>
      <c r="I803" s="2">
        <v>10987542</v>
      </c>
    </row>
    <row r="804" spans="1:9" x14ac:dyDescent="0.25">
      <c r="A804">
        <v>803</v>
      </c>
      <c r="B804" t="str">
        <f>IF(ISERROR(VLOOKUP(E804,Nombres!A:D,2,FALSE)),"PROBLEMAAAAAA",VLOOKUP(E804,Nombres!A:D,2,FALSE))</f>
        <v>Bailly</v>
      </c>
      <c r="C804" t="str">
        <f>IF(ISERROR(VLOOKUP(E804,Nombres!A:D,4,FALSE)),"PROBLEMAAAAAA",VLOOKUP(E804,Nombres!A:D,4,FALSE))</f>
        <v>DEF</v>
      </c>
      <c r="D804" t="str">
        <f>IF(ISERROR(VLOOKUP(E804,Nombres!A:D,3,FALSE)),"PROBLEMAAAAAA",VLOOKUP(E804,Nombres!A:D,3,FALSE))</f>
        <v>Real Oviedo</v>
      </c>
      <c r="E804" t="s">
        <v>500</v>
      </c>
      <c r="F804" s="1">
        <v>45940</v>
      </c>
      <c r="G804" t="s">
        <v>12</v>
      </c>
      <c r="H804" t="s">
        <v>31</v>
      </c>
      <c r="I804" s="2">
        <v>796906</v>
      </c>
    </row>
    <row r="805" spans="1:9" x14ac:dyDescent="0.25">
      <c r="A805">
        <v>804</v>
      </c>
      <c r="B805" t="str">
        <f>IF(ISERROR(VLOOKUP(E805,Nombres!A:D,2,FALSE)),"PROBLEMAAAAAA",VLOOKUP(E805,Nombres!A:D,2,FALSE))</f>
        <v>Mendoza</v>
      </c>
      <c r="C805" t="str">
        <f>IF(ISERROR(VLOOKUP(E805,Nombres!A:D,4,FALSE)),"PROBLEMAAAAAA",VLOOKUP(E805,Nombres!A:D,4,FALSE))</f>
        <v>MED</v>
      </c>
      <c r="D805" t="str">
        <f>IF(ISERROR(VLOOKUP(E805,Nombres!A:D,3,FALSE)),"PROBLEMAAAAAA",VLOOKUP(E805,Nombres!A:D,3,FALSE))</f>
        <v>Elche</v>
      </c>
      <c r="E805" t="s">
        <v>327</v>
      </c>
      <c r="F805" s="1">
        <v>45940</v>
      </c>
      <c r="G805" t="s">
        <v>13</v>
      </c>
      <c r="H805" t="s">
        <v>31</v>
      </c>
      <c r="I805" s="2">
        <v>4374460</v>
      </c>
    </row>
    <row r="806" spans="1:9" x14ac:dyDescent="0.25">
      <c r="A806">
        <v>805</v>
      </c>
      <c r="B806" t="str">
        <f>IF(ISERROR(VLOOKUP(E806,Nombres!A:D,2,FALSE)),"PROBLEMAAAAAA",VLOOKUP(E806,Nombres!A:D,2,FALSE))</f>
        <v>Pedri</v>
      </c>
      <c r="C806" t="str">
        <f>IF(ISERROR(VLOOKUP(E806,Nombres!A:D,4,FALSE)),"PROBLEMAAAAAA",VLOOKUP(E806,Nombres!A:D,4,FALSE))</f>
        <v>MED</v>
      </c>
      <c r="D806" t="str">
        <f>IF(ISERROR(VLOOKUP(E806,Nombres!A:D,3,FALSE)),"PROBLEMAAAAAA",VLOOKUP(E806,Nombres!A:D,3,FALSE))</f>
        <v>Barcelona</v>
      </c>
      <c r="E806" t="s">
        <v>677</v>
      </c>
      <c r="F806" s="1">
        <v>45940</v>
      </c>
      <c r="G806" t="s">
        <v>13</v>
      </c>
      <c r="H806" t="s">
        <v>31</v>
      </c>
      <c r="I806" s="2">
        <v>132979000</v>
      </c>
    </row>
    <row r="807" spans="1:9" x14ac:dyDescent="0.25">
      <c r="A807">
        <v>806</v>
      </c>
      <c r="B807" t="str">
        <f>IF(ISERROR(VLOOKUP(E807,Nombres!A:D,2,FALSE)),"PROBLEMAAAAAA",VLOOKUP(E807,Nombres!A:D,2,FALSE))</f>
        <v>Iván Martín</v>
      </c>
      <c r="C807" t="str">
        <f>IF(ISERROR(VLOOKUP(E807,Nombres!A:D,4,FALSE)),"PROBLEMAAAAAA",VLOOKUP(E807,Nombres!A:D,4,FALSE))</f>
        <v>MED</v>
      </c>
      <c r="D807" t="str">
        <f>IF(ISERROR(VLOOKUP(E807,Nombres!A:D,3,FALSE)),"PROBLEMAAAAAA",VLOOKUP(E807,Nombres!A:D,3,FALSE))</f>
        <v>Girona</v>
      </c>
      <c r="E807" t="s">
        <v>142</v>
      </c>
      <c r="F807" s="1">
        <v>45940</v>
      </c>
      <c r="G807" t="s">
        <v>31</v>
      </c>
      <c r="H807" t="s">
        <v>6</v>
      </c>
      <c r="I807" s="2">
        <v>3834030</v>
      </c>
    </row>
    <row r="808" spans="1:9" x14ac:dyDescent="0.25">
      <c r="A808">
        <v>807</v>
      </c>
      <c r="B808" t="str">
        <f>IF(ISERROR(VLOOKUP(E808,Nombres!A:D,2,FALSE)),"PROBLEMAAAAAA",VLOOKUP(E808,Nombres!A:D,2,FALSE))</f>
        <v>Martín</v>
      </c>
      <c r="C808" t="str">
        <f>IF(ISERROR(VLOOKUP(E808,Nombres!A:D,4,FALSE)),"PROBLEMAAAAAA",VLOOKUP(E808,Nombres!A:D,4,FALSE))</f>
        <v>DEF</v>
      </c>
      <c r="D808" t="str">
        <f>IF(ISERROR(VLOOKUP(E808,Nombres!A:D,3,FALSE)),"PROBLEMAAAAAA",VLOOKUP(E808,Nombres!A:D,3,FALSE))</f>
        <v>Barcelona</v>
      </c>
      <c r="E808" t="s">
        <v>313</v>
      </c>
      <c r="F808" s="1">
        <v>45940</v>
      </c>
      <c r="G808" t="s">
        <v>31</v>
      </c>
      <c r="H808" t="s">
        <v>9</v>
      </c>
      <c r="I808" s="2">
        <v>9544151</v>
      </c>
    </row>
    <row r="809" spans="1:9" x14ac:dyDescent="0.25">
      <c r="A809">
        <v>808</v>
      </c>
      <c r="B809" t="str">
        <f>IF(ISERROR(VLOOKUP(E809,Nombres!A:D,2,FALSE)),"PROBLEMAAAAAA",VLOOKUP(E809,Nombres!A:D,2,FALSE))</f>
        <v>Pathé Ciss</v>
      </c>
      <c r="C809" t="str">
        <f>IF(ISERROR(VLOOKUP(E809,Nombres!A:D,4,FALSE)),"PROBLEMAAAAAA",VLOOKUP(E809,Nombres!A:D,4,FALSE))</f>
        <v>MED</v>
      </c>
      <c r="D809" t="str">
        <f>IF(ISERROR(VLOOKUP(E809,Nombres!A:D,3,FALSE)),"PROBLEMAAAAAA",VLOOKUP(E809,Nombres!A:D,3,FALSE))</f>
        <v>Rayo</v>
      </c>
      <c r="E809" t="s">
        <v>231</v>
      </c>
      <c r="F809" s="1">
        <v>45940</v>
      </c>
      <c r="G809" t="s">
        <v>9</v>
      </c>
      <c r="H809" t="s">
        <v>8</v>
      </c>
      <c r="I809" s="2">
        <v>11000010</v>
      </c>
    </row>
    <row r="810" spans="1:9" x14ac:dyDescent="0.25">
      <c r="A810">
        <v>809</v>
      </c>
      <c r="B810" t="str">
        <f>IF(ISERROR(VLOOKUP(E810,Nombres!A:D,2,FALSE)),"PROBLEMAAAAAA",VLOOKUP(E810,Nombres!A:D,2,FALSE))</f>
        <v>Iván Romero</v>
      </c>
      <c r="C810" t="str">
        <f>IF(ISERROR(VLOOKUP(E810,Nombres!A:D,4,FALSE)),"PROBLEMAAAAAA",VLOOKUP(E810,Nombres!A:D,4,FALSE))</f>
        <v>DEL</v>
      </c>
      <c r="D810" t="str">
        <f>IF(ISERROR(VLOOKUP(E810,Nombres!A:D,3,FALSE)),"PROBLEMAAAAAA",VLOOKUP(E810,Nombres!A:D,3,FALSE))</f>
        <v>Levante</v>
      </c>
      <c r="E810" t="s">
        <v>281</v>
      </c>
      <c r="F810" s="1">
        <v>45941</v>
      </c>
      <c r="G810" t="s">
        <v>12</v>
      </c>
      <c r="H810" t="s">
        <v>11</v>
      </c>
      <c r="I810" s="2">
        <v>10073333</v>
      </c>
    </row>
    <row r="811" spans="1:9" x14ac:dyDescent="0.25">
      <c r="A811">
        <v>810</v>
      </c>
      <c r="B811" t="str">
        <f>IF(ISERROR(VLOOKUP(E811,Nombres!A:D,2,FALSE)),"PROBLEMAAAAAA",VLOOKUP(E811,Nombres!A:D,2,FALSE))</f>
        <v>Carmo</v>
      </c>
      <c r="C811" t="str">
        <f>IF(ISERROR(VLOOKUP(E811,Nombres!A:D,4,FALSE)),"PROBLEMAAAAAA",VLOOKUP(E811,Nombres!A:D,4,FALSE))</f>
        <v>DEF</v>
      </c>
      <c r="D811" t="str">
        <f>IF(ISERROR(VLOOKUP(E811,Nombres!A:D,3,FALSE)),"PROBLEMAAAAAA",VLOOKUP(E811,Nombres!A:D,3,FALSE))</f>
        <v>Real Oviedo</v>
      </c>
      <c r="E811" t="s">
        <v>774</v>
      </c>
      <c r="F811" s="1">
        <v>45941</v>
      </c>
      <c r="G811" t="s">
        <v>13</v>
      </c>
      <c r="H811" t="s">
        <v>31</v>
      </c>
      <c r="I811" s="2">
        <v>1800000</v>
      </c>
    </row>
    <row r="812" spans="1:9" x14ac:dyDescent="0.25">
      <c r="A812">
        <v>811</v>
      </c>
      <c r="B812" t="str">
        <f>IF(ISERROR(VLOOKUP(E812,Nombres!A:D,2,FALSE)),"PROBLEMAAAAAA",VLOOKUP(E812,Nombres!A:D,2,FALSE))</f>
        <v>Morales</v>
      </c>
      <c r="C812" t="str">
        <f>IF(ISERROR(VLOOKUP(E812,Nombres!A:D,4,FALSE)),"PROBLEMAAAAAA",VLOOKUP(E812,Nombres!A:D,4,FALSE))</f>
        <v>DEL</v>
      </c>
      <c r="D812" t="str">
        <f>IF(ISERROR(VLOOKUP(E812,Nombres!A:D,3,FALSE)),"PROBLEMAAAAAA",VLOOKUP(E812,Nombres!A:D,3,FALSE))</f>
        <v>Levante</v>
      </c>
      <c r="E812" t="s">
        <v>434</v>
      </c>
      <c r="F812" s="1">
        <v>45942</v>
      </c>
      <c r="G812" t="s">
        <v>8</v>
      </c>
      <c r="H812" t="s">
        <v>31</v>
      </c>
      <c r="I812" s="2">
        <v>8396857</v>
      </c>
    </row>
    <row r="813" spans="1:9" x14ac:dyDescent="0.25">
      <c r="A813">
        <v>812</v>
      </c>
      <c r="B813" t="str">
        <f>IF(ISERROR(VLOOKUP(E813,Nombres!A:D,2,FALSE)),"PROBLEMAAAAAA",VLOOKUP(E813,Nombres!A:D,2,FALSE))</f>
        <v>Román</v>
      </c>
      <c r="C813" t="str">
        <f>IF(ISERROR(VLOOKUP(E813,Nombres!A:D,4,FALSE)),"PROBLEMAAAAAA",VLOOKUP(E813,Nombres!A:D,4,FALSE))</f>
        <v>MED</v>
      </c>
      <c r="D813" t="str">
        <f>IF(ISERROR(VLOOKUP(E813,Nombres!A:D,3,FALSE)),"PROBLEMAAAAAA",VLOOKUP(E813,Nombres!A:D,3,FALSE))</f>
        <v>Celta</v>
      </c>
      <c r="E813" t="s">
        <v>775</v>
      </c>
      <c r="F813" s="1">
        <v>45942</v>
      </c>
      <c r="G813" t="s">
        <v>9</v>
      </c>
      <c r="H813" t="s">
        <v>31</v>
      </c>
      <c r="I813" s="2">
        <v>406633</v>
      </c>
    </row>
    <row r="814" spans="1:9" x14ac:dyDescent="0.25">
      <c r="A814">
        <v>813</v>
      </c>
      <c r="B814" t="str">
        <f>IF(ISERROR(VLOOKUP(E814,Nombres!A:D,2,FALSE)),"PROBLEMAAAAAA",VLOOKUP(E814,Nombres!A:D,2,FALSE))</f>
        <v>Salvi Esquivel</v>
      </c>
      <c r="C814" t="str">
        <f>IF(ISERROR(VLOOKUP(E814,Nombres!A:D,4,FALSE)),"PROBLEMAAAAAA",VLOOKUP(E814,Nombres!A:D,4,FALSE))</f>
        <v>POR</v>
      </c>
      <c r="D814" t="str">
        <f>IF(ISERROR(VLOOKUP(E814,Nombres!A:D,3,FALSE)),"PROBLEMAAAAAA",VLOOKUP(E814,Nombres!A:D,3,FALSE))</f>
        <v>Atlético</v>
      </c>
      <c r="E814" t="s">
        <v>776</v>
      </c>
      <c r="F814" s="1">
        <v>45942</v>
      </c>
      <c r="G814" t="s">
        <v>10</v>
      </c>
      <c r="H814" t="s">
        <v>31</v>
      </c>
      <c r="I814" s="2">
        <v>410937</v>
      </c>
    </row>
    <row r="815" spans="1:9" x14ac:dyDescent="0.25">
      <c r="A815">
        <v>814</v>
      </c>
      <c r="B815" t="str">
        <f>IF(ISERROR(VLOOKUP(E815,Nombres!A:D,2,FALSE)),"PROBLEMAAAAAA",VLOOKUP(E815,Nombres!A:D,2,FALSE))</f>
        <v>Baena</v>
      </c>
      <c r="C815" t="str">
        <f>IF(ISERROR(VLOOKUP(E815,Nombres!A:D,4,FALSE)),"PROBLEMAAAAAA",VLOOKUP(E815,Nombres!A:D,4,FALSE))</f>
        <v>MED</v>
      </c>
      <c r="D815" t="str">
        <f>IF(ISERROR(VLOOKUP(E815,Nombres!A:D,3,FALSE)),"PROBLEMAAAAAA",VLOOKUP(E815,Nombres!A:D,3,FALSE))</f>
        <v>Atlético</v>
      </c>
      <c r="E815" t="s">
        <v>204</v>
      </c>
      <c r="F815" s="1">
        <v>45942</v>
      </c>
      <c r="G815" t="s">
        <v>12</v>
      </c>
      <c r="H815" t="s">
        <v>31</v>
      </c>
      <c r="I815" s="2">
        <v>57310010</v>
      </c>
    </row>
    <row r="816" spans="1:9" x14ac:dyDescent="0.25">
      <c r="A816">
        <v>815</v>
      </c>
      <c r="B816" t="str">
        <f>IF(ISERROR(VLOOKUP(E816,Nombres!A:D,2,FALSE)),"PROBLEMAAAAAA",VLOOKUP(E816,Nombres!A:D,2,FALSE))</f>
        <v>Mastantuono</v>
      </c>
      <c r="C816" t="str">
        <f>IF(ISERROR(VLOOKUP(E816,Nombres!A:D,4,FALSE)),"PROBLEMAAAAAA",VLOOKUP(E816,Nombres!A:D,4,FALSE))</f>
        <v>DEL</v>
      </c>
      <c r="D816" t="str">
        <f>IF(ISERROR(VLOOKUP(E816,Nombres!A:D,3,FALSE)),"PROBLEMAAAAAA",VLOOKUP(E816,Nombres!A:D,3,FALSE))</f>
        <v>Real Madrid</v>
      </c>
      <c r="E816" t="s">
        <v>278</v>
      </c>
      <c r="F816" s="1">
        <v>45942</v>
      </c>
      <c r="G816" t="s">
        <v>8</v>
      </c>
      <c r="H816" t="s">
        <v>31</v>
      </c>
      <c r="I816" s="2">
        <v>53968850</v>
      </c>
    </row>
    <row r="817" spans="1:9" x14ac:dyDescent="0.25">
      <c r="A817">
        <v>816</v>
      </c>
      <c r="B817" t="str">
        <f>IF(ISERROR(VLOOKUP(E817,Nombres!A:D,2,FALSE)),"PROBLEMAAAAAA",VLOOKUP(E817,Nombres!A:D,2,FALSE))</f>
        <v>Yuri</v>
      </c>
      <c r="C817" t="str">
        <f>IF(ISERROR(VLOOKUP(E817,Nombres!A:D,4,FALSE)),"PROBLEMAAAAAA",VLOOKUP(E817,Nombres!A:D,4,FALSE))</f>
        <v>DEF</v>
      </c>
      <c r="D817" t="str">
        <f>IF(ISERROR(VLOOKUP(E817,Nombres!A:D,3,FALSE)),"PROBLEMAAAAAA",VLOOKUP(E817,Nombres!A:D,3,FALSE))</f>
        <v>Athletic</v>
      </c>
      <c r="E817" t="s">
        <v>126</v>
      </c>
      <c r="F817" s="1">
        <v>45942</v>
      </c>
      <c r="G817" t="s">
        <v>6</v>
      </c>
    </row>
    <row r="818" spans="1:9" x14ac:dyDescent="0.25">
      <c r="A818">
        <v>817</v>
      </c>
      <c r="B818" t="str">
        <f>IF(ISERROR(VLOOKUP(E818,Nombres!A:D,2,FALSE)),"PROBLEMAAAAAA",VLOOKUP(E818,Nombres!A:D,2,FALSE))</f>
        <v>Denis Suárez</v>
      </c>
      <c r="C818" t="str">
        <f>IF(ISERROR(VLOOKUP(E818,Nombres!A:D,4,FALSE)),"PROBLEMAAAAAA",VLOOKUP(E818,Nombres!A:D,4,FALSE))</f>
        <v>MED</v>
      </c>
      <c r="D818" t="str">
        <f>IF(ISERROR(VLOOKUP(E818,Nombres!A:D,3,FALSE)),"PROBLEMAAAAAA",VLOOKUP(E818,Nombres!A:D,3,FALSE))</f>
        <v>Alavés</v>
      </c>
      <c r="E818" t="s">
        <v>358</v>
      </c>
      <c r="F818" s="1">
        <v>45942</v>
      </c>
      <c r="G818" t="s">
        <v>31</v>
      </c>
      <c r="H818" t="s">
        <v>10</v>
      </c>
      <c r="I818" s="2">
        <v>705614</v>
      </c>
    </row>
    <row r="819" spans="1:9" x14ac:dyDescent="0.25">
      <c r="A819">
        <v>818</v>
      </c>
      <c r="B819" t="str">
        <f>IF(ISERROR(VLOOKUP(E819,Nombres!A:D,2,FALSE)),"PROBLEMAAAAAA",VLOOKUP(E819,Nombres!A:D,2,FALSE))</f>
        <v>Danjuma</v>
      </c>
      <c r="C819" t="str">
        <f>IF(ISERROR(VLOOKUP(E819,Nombres!A:D,4,FALSE)),"PROBLEMAAAAAA",VLOOKUP(E819,Nombres!A:D,4,FALSE))</f>
        <v>DEL</v>
      </c>
      <c r="D819" t="str">
        <f>IF(ISERROR(VLOOKUP(E819,Nombres!A:D,3,FALSE)),"PROBLEMAAAAAA",VLOOKUP(E819,Nombres!A:D,3,FALSE))</f>
        <v>Valencia</v>
      </c>
      <c r="E819" t="s">
        <v>275</v>
      </c>
      <c r="F819" s="1">
        <v>45943</v>
      </c>
      <c r="G819" t="s">
        <v>10</v>
      </c>
      <c r="H819" t="s">
        <v>768</v>
      </c>
      <c r="I819" s="2">
        <v>23115355</v>
      </c>
    </row>
    <row r="820" spans="1:9" x14ac:dyDescent="0.25">
      <c r="A820">
        <v>819</v>
      </c>
      <c r="B820" t="str">
        <f>IF(ISERROR(VLOOKUP(E820,Nombres!A:D,2,FALSE)),"PROBLEMAAAAAA",VLOOKUP(E820,Nombres!A:D,2,FALSE))</f>
        <v>André Silva</v>
      </c>
      <c r="C820" t="str">
        <f>IF(ISERROR(VLOOKUP(E820,Nombres!A:D,4,FALSE)),"PROBLEMAAAAAA",VLOOKUP(E820,Nombres!A:D,4,FALSE))</f>
        <v>DEL</v>
      </c>
      <c r="D820" t="str">
        <f>IF(ISERROR(VLOOKUP(E820,Nombres!A:D,3,FALSE)),"PROBLEMAAAAAA",VLOOKUP(E820,Nombres!A:D,3,FALSE))</f>
        <v>Elche</v>
      </c>
      <c r="E820" t="s">
        <v>319</v>
      </c>
      <c r="F820" s="1">
        <v>45943</v>
      </c>
      <c r="G820" t="s">
        <v>10</v>
      </c>
      <c r="H820" t="s">
        <v>13</v>
      </c>
      <c r="I820" s="2">
        <v>10100101</v>
      </c>
    </row>
    <row r="821" spans="1:9" x14ac:dyDescent="0.25">
      <c r="A821">
        <v>820</v>
      </c>
      <c r="B821" t="str">
        <f>IF(ISERROR(VLOOKUP(E821,Nombres!A:D,2,FALSE)),"PROBLEMAAAAAA",VLOOKUP(E821,Nombres!A:D,2,FALSE))</f>
        <v>Rafa Marín</v>
      </c>
      <c r="C821" t="str">
        <f>IF(ISERROR(VLOOKUP(E821,Nombres!A:D,4,FALSE)),"PROBLEMAAAAAA",VLOOKUP(E821,Nombres!A:D,4,FALSE))</f>
        <v>DEF</v>
      </c>
      <c r="D821" t="str">
        <f>IF(ISERROR(VLOOKUP(E821,Nombres!A:D,3,FALSE)),"PROBLEMAAAAAA",VLOOKUP(E821,Nombres!A:D,3,FALSE))</f>
        <v>Villarreal</v>
      </c>
      <c r="E821" t="s">
        <v>234</v>
      </c>
      <c r="F821" s="1">
        <v>45943</v>
      </c>
      <c r="G821" t="s">
        <v>12</v>
      </c>
      <c r="H821" t="s">
        <v>31</v>
      </c>
      <c r="I821" s="2">
        <v>39261200</v>
      </c>
    </row>
    <row r="822" spans="1:9" x14ac:dyDescent="0.25">
      <c r="A822">
        <v>821</v>
      </c>
      <c r="B822" t="str">
        <f>IF(ISERROR(VLOOKUP(E822,Nombres!A:D,2,FALSE)),"PROBLEMAAAAAA",VLOOKUP(E822,Nombres!A:D,2,FALSE))</f>
        <v>Vivian</v>
      </c>
      <c r="C822" t="str">
        <f>IF(ISERROR(VLOOKUP(E822,Nombres!A:D,4,FALSE)),"PROBLEMAAAAAA",VLOOKUP(E822,Nombres!A:D,4,FALSE))</f>
        <v>DEF</v>
      </c>
      <c r="D822" t="str">
        <f>IF(ISERROR(VLOOKUP(E822,Nombres!A:D,3,FALSE)),"PROBLEMAAAAAA",VLOOKUP(E822,Nombres!A:D,3,FALSE))</f>
        <v>Athletic</v>
      </c>
      <c r="E822" t="s">
        <v>213</v>
      </c>
      <c r="F822" s="1">
        <v>45943</v>
      </c>
      <c r="G822" t="s">
        <v>12</v>
      </c>
      <c r="H822" t="s">
        <v>31</v>
      </c>
      <c r="I822" s="2">
        <v>34200833</v>
      </c>
    </row>
    <row r="823" spans="1:9" x14ac:dyDescent="0.25">
      <c r="A823">
        <v>822</v>
      </c>
      <c r="B823" t="str">
        <f>IF(ISERROR(VLOOKUP(E823,Nombres!A:D,2,FALSE)),"PROBLEMAAAAAA",VLOOKUP(E823,Nombres!A:D,2,FALSE))</f>
        <v>Sow</v>
      </c>
      <c r="C823" t="str">
        <f>IF(ISERROR(VLOOKUP(E823,Nombres!A:D,4,FALSE)),"PROBLEMAAAAAA",VLOOKUP(E823,Nombres!A:D,4,FALSE))</f>
        <v>MED</v>
      </c>
      <c r="D823" t="str">
        <f>IF(ISERROR(VLOOKUP(E823,Nombres!A:D,3,FALSE)),"PROBLEMAAAAAA",VLOOKUP(E823,Nombres!A:D,3,FALSE))</f>
        <v>Sevilla</v>
      </c>
      <c r="E823" t="s">
        <v>132</v>
      </c>
      <c r="F823" s="1">
        <v>45944</v>
      </c>
      <c r="G823" t="s">
        <v>8</v>
      </c>
      <c r="H823" t="s">
        <v>768</v>
      </c>
      <c r="I823" s="2">
        <v>2213460</v>
      </c>
    </row>
    <row r="824" spans="1:9" x14ac:dyDescent="0.25">
      <c r="A824">
        <v>823</v>
      </c>
      <c r="B824" t="str">
        <f>IF(ISERROR(VLOOKUP(E824,Nombres!A:D,2,FALSE)),"PROBLEMAAAAAA",VLOOKUP(E824,Nombres!A:D,2,FALSE))</f>
        <v>Hugo Álvarez</v>
      </c>
      <c r="C824" t="str">
        <f>IF(ISERROR(VLOOKUP(E824,Nombres!A:D,4,FALSE)),"PROBLEMAAAAAA",VLOOKUP(E824,Nombres!A:D,4,FALSE))</f>
        <v>MED</v>
      </c>
      <c r="D824" t="str">
        <f>IF(ISERROR(VLOOKUP(E824,Nombres!A:D,3,FALSE)),"PROBLEMAAAAAA",VLOOKUP(E824,Nombres!A:D,3,FALSE))</f>
        <v>Celta</v>
      </c>
      <c r="E824" t="s">
        <v>436</v>
      </c>
      <c r="F824" s="1">
        <v>45944</v>
      </c>
      <c r="G824" t="s">
        <v>8</v>
      </c>
      <c r="H824" t="s">
        <v>768</v>
      </c>
      <c r="I824" s="2">
        <v>6700000</v>
      </c>
    </row>
    <row r="825" spans="1:9" x14ac:dyDescent="0.25">
      <c r="A825">
        <v>824</v>
      </c>
      <c r="B825" t="str">
        <f>IF(ISERROR(VLOOKUP(E825,Nombres!A:D,2,FALSE)),"PROBLEMAAAAAA",VLOOKUP(E825,Nombres!A:D,2,FALSE))</f>
        <v>Edu Expósito</v>
      </c>
      <c r="C825" t="str">
        <f>IF(ISERROR(VLOOKUP(E825,Nombres!A:D,4,FALSE)),"PROBLEMAAAAAA",VLOOKUP(E825,Nombres!A:D,4,FALSE))</f>
        <v>MED</v>
      </c>
      <c r="D825" t="str">
        <f>IF(ISERROR(VLOOKUP(E825,Nombres!A:D,3,FALSE)),"PROBLEMAAAAAA",VLOOKUP(E825,Nombres!A:D,3,FALSE))</f>
        <v>Espanyol</v>
      </c>
      <c r="E825" t="s">
        <v>271</v>
      </c>
      <c r="F825" s="1">
        <v>45944</v>
      </c>
      <c r="G825" t="s">
        <v>8</v>
      </c>
      <c r="H825" t="s">
        <v>11</v>
      </c>
      <c r="I825" s="2">
        <v>22875987</v>
      </c>
    </row>
    <row r="826" spans="1:9" x14ac:dyDescent="0.25">
      <c r="A826">
        <v>825</v>
      </c>
      <c r="B826" t="str">
        <f>IF(ISERROR(VLOOKUP(E826,Nombres!A:D,2,FALSE)),"PROBLEMAAAAAA",VLOOKUP(E826,Nombres!A:D,2,FALSE))</f>
        <v>Román</v>
      </c>
      <c r="C826" t="str">
        <f>IF(ISERROR(VLOOKUP(E826,Nombres!A:D,4,FALSE)),"PROBLEMAAAAAA",VLOOKUP(E826,Nombres!A:D,4,FALSE))</f>
        <v>MED</v>
      </c>
      <c r="D826" t="str">
        <f>IF(ISERROR(VLOOKUP(E826,Nombres!A:D,3,FALSE)),"PROBLEMAAAAAA",VLOOKUP(E826,Nombres!A:D,3,FALSE))</f>
        <v>Celta</v>
      </c>
      <c r="E826" t="s">
        <v>775</v>
      </c>
      <c r="F826" s="1">
        <v>45944</v>
      </c>
      <c r="G826" t="s">
        <v>31</v>
      </c>
      <c r="H826" t="s">
        <v>9</v>
      </c>
      <c r="I826" s="2">
        <v>420382</v>
      </c>
    </row>
    <row r="827" spans="1:9" x14ac:dyDescent="0.25">
      <c r="A827">
        <v>826</v>
      </c>
      <c r="B827" t="str">
        <f>IF(ISERROR(VLOOKUP(E827,Nombres!A:D,2,FALSE)),"PROBLEMAAAAAA",VLOOKUP(E827,Nombres!A:D,2,FALSE))</f>
        <v>Mikautadze</v>
      </c>
      <c r="C827" t="str">
        <f>IF(ISERROR(VLOOKUP(E827,Nombres!A:D,4,FALSE)),"PROBLEMAAAAAA",VLOOKUP(E827,Nombres!A:D,4,FALSE))</f>
        <v>DEL</v>
      </c>
      <c r="D827" t="str">
        <f>IF(ISERROR(VLOOKUP(E827,Nombres!A:D,3,FALSE)),"PROBLEMAAAAAA",VLOOKUP(E827,Nombres!A:D,3,FALSE))</f>
        <v>Villarreal</v>
      </c>
      <c r="E827" t="s">
        <v>308</v>
      </c>
      <c r="F827" s="1">
        <v>45944</v>
      </c>
      <c r="G827" t="s">
        <v>8</v>
      </c>
      <c r="H827" t="s">
        <v>12</v>
      </c>
      <c r="I827" s="2">
        <v>45100000</v>
      </c>
    </row>
    <row r="828" spans="1:9" x14ac:dyDescent="0.25">
      <c r="A828">
        <v>827</v>
      </c>
      <c r="B828" t="str">
        <f>IF(ISERROR(VLOOKUP(E828,Nombres!A:D,2,FALSE)),"PROBLEMAAAAAA",VLOOKUP(E828,Nombres!A:D,2,FALSE))</f>
        <v>Morlanes</v>
      </c>
      <c r="C828" t="str">
        <f>IF(ISERROR(VLOOKUP(E828,Nombres!A:D,4,FALSE)),"PROBLEMAAAAAA",VLOOKUP(E828,Nombres!A:D,4,FALSE))</f>
        <v>MED</v>
      </c>
      <c r="D828" t="str">
        <f>IF(ISERROR(VLOOKUP(E828,Nombres!A:D,3,FALSE)),"PROBLEMAAAAAA",VLOOKUP(E828,Nombres!A:D,3,FALSE))</f>
        <v>Mallorca</v>
      </c>
      <c r="E828" t="s">
        <v>363</v>
      </c>
      <c r="F828" s="1">
        <v>45944</v>
      </c>
      <c r="G828" t="s">
        <v>768</v>
      </c>
      <c r="H828" t="s">
        <v>12</v>
      </c>
      <c r="I828" s="2">
        <v>1610010</v>
      </c>
    </row>
    <row r="829" spans="1:9" x14ac:dyDescent="0.25">
      <c r="A829">
        <v>828</v>
      </c>
      <c r="B829" t="str">
        <f>IF(ISERROR(VLOOKUP(E829,Nombres!A:D,2,FALSE)),"PROBLEMAAAAAA",VLOOKUP(E829,Nombres!A:D,2,FALSE))</f>
        <v>Alexis</v>
      </c>
      <c r="C829" t="str">
        <f>IF(ISERROR(VLOOKUP(E829,Nombres!A:D,4,FALSE)),"PROBLEMAAAAAA",VLOOKUP(E829,Nombres!A:D,4,FALSE))</f>
        <v>DEL</v>
      </c>
      <c r="D829" t="str">
        <f>IF(ISERROR(VLOOKUP(E829,Nombres!A:D,3,FALSE)),"PROBLEMAAAAAA",VLOOKUP(E829,Nombres!A:D,3,FALSE))</f>
        <v>Sevilla</v>
      </c>
      <c r="E829" t="s">
        <v>309</v>
      </c>
      <c r="F829" s="1">
        <v>45944</v>
      </c>
      <c r="G829" t="s">
        <v>768</v>
      </c>
      <c r="H829" t="s">
        <v>6</v>
      </c>
      <c r="I829" s="2">
        <v>20677441</v>
      </c>
    </row>
    <row r="830" spans="1:9" x14ac:dyDescent="0.25">
      <c r="A830">
        <v>829</v>
      </c>
      <c r="B830" t="str">
        <f>IF(ISERROR(VLOOKUP(E830,Nombres!A:D,2,FALSE)),"PROBLEMAAAAAA",VLOOKUP(E830,Nombres!A:D,2,FALSE))</f>
        <v>Urko</v>
      </c>
      <c r="C830" t="str">
        <f>IF(ISERROR(VLOOKUP(E830,Nombres!A:D,4,FALSE)),"PROBLEMAAAAAA",VLOOKUP(E830,Nombres!A:D,4,FALSE))</f>
        <v>MED</v>
      </c>
      <c r="D830" t="str">
        <f>IF(ISERROR(VLOOKUP(E830,Nombres!A:D,3,FALSE)),"PROBLEMAAAAAA",VLOOKUP(E830,Nombres!A:D,3,FALSE))</f>
        <v>Espanyol</v>
      </c>
      <c r="E830" t="s">
        <v>361</v>
      </c>
      <c r="F830" s="1">
        <v>45944</v>
      </c>
      <c r="G830" t="s">
        <v>768</v>
      </c>
      <c r="H830" t="s">
        <v>11</v>
      </c>
      <c r="I830" s="2">
        <v>1427461</v>
      </c>
    </row>
    <row r="831" spans="1:9" x14ac:dyDescent="0.25">
      <c r="A831">
        <v>830</v>
      </c>
      <c r="B831" t="str">
        <f>IF(ISERROR(VLOOKUP(E831,Nombres!A:D,2,FALSE)),"PROBLEMAAAAAA",VLOOKUP(E831,Nombres!A:D,2,FALSE))</f>
        <v>Sergio Gómez</v>
      </c>
      <c r="C831" t="str">
        <f>IF(ISERROR(VLOOKUP(E831,Nombres!A:D,4,FALSE)),"PROBLEMAAAAAA",VLOOKUP(E831,Nombres!A:D,4,FALSE))</f>
        <v>DEF</v>
      </c>
      <c r="D831" t="str">
        <f>IF(ISERROR(VLOOKUP(E831,Nombres!A:D,3,FALSE)),"PROBLEMAAAAAA",VLOOKUP(E831,Nombres!A:D,3,FALSE))</f>
        <v>Real Sociedad</v>
      </c>
      <c r="E831" t="s">
        <v>160</v>
      </c>
      <c r="F831" s="1">
        <v>45944</v>
      </c>
      <c r="G831" t="s">
        <v>7</v>
      </c>
      <c r="H831" t="s">
        <v>768</v>
      </c>
      <c r="I831" s="2">
        <v>6195456</v>
      </c>
    </row>
    <row r="832" spans="1:9" x14ac:dyDescent="0.25">
      <c r="A832">
        <v>831</v>
      </c>
      <c r="B832" t="str">
        <f>IF(ISERROR(VLOOKUP(E832,Nombres!A:D,2,FALSE)),"PROBLEMAAAAAA",VLOOKUP(E832,Nombres!A:D,2,FALSE))</f>
        <v>Laporte</v>
      </c>
      <c r="C832" t="str">
        <f>IF(ISERROR(VLOOKUP(E832,Nombres!A:D,4,FALSE)),"PROBLEMAAAAAA",VLOOKUP(E832,Nombres!A:D,4,FALSE))</f>
        <v>DEF</v>
      </c>
      <c r="D832" t="str">
        <f>IF(ISERROR(VLOOKUP(E832,Nombres!A:D,3,FALSE)),"PROBLEMAAAAAA",VLOOKUP(E832,Nombres!A:D,3,FALSE))</f>
        <v>Athletic</v>
      </c>
      <c r="E832" t="s">
        <v>335</v>
      </c>
      <c r="F832" s="1">
        <v>45944</v>
      </c>
      <c r="G832" t="s">
        <v>8</v>
      </c>
      <c r="H832" t="s">
        <v>12</v>
      </c>
      <c r="I832" s="2">
        <v>35533525</v>
      </c>
    </row>
    <row r="833" spans="1:9" x14ac:dyDescent="0.25">
      <c r="A833">
        <v>832</v>
      </c>
      <c r="B833" t="str">
        <f>IF(ISERROR(VLOOKUP(E833,Nombres!A:D,2,FALSE)),"PROBLEMAAAAAA",VLOOKUP(E833,Nombres!A:D,2,FALSE))</f>
        <v>Odriozola</v>
      </c>
      <c r="C833" t="str">
        <f>IF(ISERROR(VLOOKUP(E833,Nombres!A:D,4,FALSE)),"PROBLEMAAAAAA",VLOOKUP(E833,Nombres!A:D,4,FALSE))</f>
        <v>DEF</v>
      </c>
      <c r="D833" t="str">
        <f>IF(ISERROR(VLOOKUP(E833,Nombres!A:D,3,FALSE)),"PROBLEMAAAAAA",VLOOKUP(E833,Nombres!A:D,3,FALSE))</f>
        <v>Real Sociedad</v>
      </c>
      <c r="E833" t="s">
        <v>665</v>
      </c>
      <c r="F833" s="1">
        <v>45944</v>
      </c>
      <c r="G833" t="s">
        <v>13</v>
      </c>
      <c r="H833" t="s">
        <v>31</v>
      </c>
      <c r="I833" s="2">
        <v>589924</v>
      </c>
    </row>
    <row r="834" spans="1:9" x14ac:dyDescent="0.25">
      <c r="A834">
        <v>833</v>
      </c>
      <c r="B834" t="str">
        <f>IF(ISERROR(VLOOKUP(E834,Nombres!A:D,2,FALSE)),"PROBLEMAAAAAA",VLOOKUP(E834,Nombres!A:D,2,FALSE))</f>
        <v>Herrera</v>
      </c>
      <c r="C834" t="str">
        <f>IF(ISERROR(VLOOKUP(E834,Nombres!A:D,4,FALSE)),"PROBLEMAAAAAA",VLOOKUP(E834,Nombres!A:D,4,FALSE))</f>
        <v>MED</v>
      </c>
      <c r="D834" t="str">
        <f>IF(ISERROR(VLOOKUP(E834,Nombres!A:D,3,FALSE)),"PROBLEMAAAAAA",VLOOKUP(E834,Nombres!A:D,3,FALSE))</f>
        <v>Real Sociedad</v>
      </c>
      <c r="E834" t="s">
        <v>121</v>
      </c>
      <c r="F834" s="1">
        <v>45944</v>
      </c>
      <c r="G834" t="s">
        <v>6</v>
      </c>
      <c r="H834" t="s">
        <v>31</v>
      </c>
      <c r="I834" s="2">
        <v>2651124</v>
      </c>
    </row>
    <row r="835" spans="1:9" x14ac:dyDescent="0.25">
      <c r="A835">
        <v>834</v>
      </c>
      <c r="B835" t="str">
        <f>IF(ISERROR(VLOOKUP(E835,Nombres!A:D,2,FALSE)),"PROBLEMAAAAAA",VLOOKUP(E835,Nombres!A:D,2,FALSE))</f>
        <v>Josan</v>
      </c>
      <c r="C835" t="str">
        <f>IF(ISERROR(VLOOKUP(E835,Nombres!A:D,4,FALSE)),"PROBLEMAAAAAA",VLOOKUP(E835,Nombres!A:D,4,FALSE))</f>
        <v>MED</v>
      </c>
      <c r="D835" t="str">
        <f>IF(ISERROR(VLOOKUP(E835,Nombres!A:D,3,FALSE)),"PROBLEMAAAAAA",VLOOKUP(E835,Nombres!A:D,3,FALSE))</f>
        <v>Elche</v>
      </c>
      <c r="E835" t="s">
        <v>607</v>
      </c>
      <c r="F835" s="1">
        <v>45944</v>
      </c>
      <c r="G835" t="s">
        <v>13</v>
      </c>
      <c r="H835" t="s">
        <v>31</v>
      </c>
      <c r="I835" s="2">
        <v>605044</v>
      </c>
    </row>
    <row r="836" spans="1:9" x14ac:dyDescent="0.25">
      <c r="A836">
        <v>835</v>
      </c>
      <c r="B836" t="str">
        <f>IF(ISERROR(VLOOKUP(E836,Nombres!A:D,2,FALSE)),"PROBLEMAAAAAA",VLOOKUP(E836,Nombres!A:D,2,FALSE))</f>
        <v>Barrios</v>
      </c>
      <c r="C836" t="str">
        <f>IF(ISERROR(VLOOKUP(E836,Nombres!A:D,4,FALSE)),"PROBLEMAAAAAA",VLOOKUP(E836,Nombres!A:D,4,FALSE))</f>
        <v>MED</v>
      </c>
      <c r="D836" t="str">
        <f>IF(ISERROR(VLOOKUP(E836,Nombres!A:D,3,FALSE)),"PROBLEMAAAAAA",VLOOKUP(E836,Nombres!A:D,3,FALSE))</f>
        <v>Atlético</v>
      </c>
      <c r="E836" t="s">
        <v>225</v>
      </c>
      <c r="F836" s="1">
        <v>45944</v>
      </c>
      <c r="G836" t="s">
        <v>31</v>
      </c>
      <c r="H836" t="s">
        <v>13</v>
      </c>
      <c r="I836" s="2">
        <v>54863573</v>
      </c>
    </row>
    <row r="837" spans="1:9" x14ac:dyDescent="0.25">
      <c r="A837">
        <v>836</v>
      </c>
      <c r="B837" t="str">
        <f>IF(ISERROR(VLOOKUP(E837,Nombres!A:D,2,FALSE)),"PROBLEMAAAAAA",VLOOKUP(E837,Nombres!A:D,2,FALSE))</f>
        <v>Vinicius</v>
      </c>
      <c r="C837" t="str">
        <f>IF(ISERROR(VLOOKUP(E837,Nombres!A:D,4,FALSE)),"PROBLEMAAAAAA",VLOOKUP(E837,Nombres!A:D,4,FALSE))</f>
        <v>DEL</v>
      </c>
      <c r="D837" t="str">
        <f>IF(ISERROR(VLOOKUP(E837,Nombres!A:D,3,FALSE)),"PROBLEMAAAAAA",VLOOKUP(E837,Nombres!A:D,3,FALSE))</f>
        <v>Real Madrid</v>
      </c>
      <c r="E837" t="s">
        <v>764</v>
      </c>
      <c r="F837" s="1">
        <v>45945</v>
      </c>
      <c r="G837" t="s">
        <v>31</v>
      </c>
      <c r="H837" t="s">
        <v>7</v>
      </c>
      <c r="I837" s="2">
        <v>152239079</v>
      </c>
    </row>
    <row r="838" spans="1:9" x14ac:dyDescent="0.25">
      <c r="A838">
        <v>837</v>
      </c>
      <c r="B838" t="str">
        <f>IF(ISERROR(VLOOKUP(E838,Nombres!A:D,2,FALSE)),"PROBLEMAAAAAA",VLOOKUP(E838,Nombres!A:D,2,FALSE))</f>
        <v>Güler</v>
      </c>
      <c r="C838" t="str">
        <f>IF(ISERROR(VLOOKUP(E838,Nombres!A:D,4,FALSE)),"PROBLEMAAAAAA",VLOOKUP(E838,Nombres!A:D,4,FALSE))</f>
        <v>MED</v>
      </c>
      <c r="D838" t="str">
        <f>IF(ISERROR(VLOOKUP(E838,Nombres!A:D,3,FALSE)),"PROBLEMAAAAAA",VLOOKUP(E838,Nombres!A:D,3,FALSE))</f>
        <v>Real Madrid</v>
      </c>
      <c r="E838" t="s">
        <v>38</v>
      </c>
      <c r="F838" s="1">
        <v>45945</v>
      </c>
      <c r="G838" t="s">
        <v>7</v>
      </c>
      <c r="H838" t="s">
        <v>768</v>
      </c>
      <c r="I838" s="2">
        <v>122854925</v>
      </c>
    </row>
    <row r="839" spans="1:9" x14ac:dyDescent="0.25">
      <c r="A839">
        <v>838</v>
      </c>
      <c r="B839" t="str">
        <f>IF(ISERROR(VLOOKUP(E839,Nombres!A:D,2,FALSE)),"PROBLEMAAAAAA",VLOOKUP(E839,Nombres!A:D,2,FALSE))</f>
        <v>Abde</v>
      </c>
      <c r="C839" t="str">
        <f>IF(ISERROR(VLOOKUP(E839,Nombres!A:D,4,FALSE)),"PROBLEMAAAAAA",VLOOKUP(E839,Nombres!A:D,4,FALSE))</f>
        <v>DEL</v>
      </c>
      <c r="D839" t="str">
        <f>IF(ISERROR(VLOOKUP(E839,Nombres!A:D,3,FALSE)),"PROBLEMAAAAAA",VLOOKUP(E839,Nombres!A:D,3,FALSE))</f>
        <v>Betis</v>
      </c>
      <c r="E839" t="s">
        <v>147</v>
      </c>
      <c r="F839" s="1">
        <v>45945</v>
      </c>
      <c r="G839" t="s">
        <v>7</v>
      </c>
      <c r="H839" t="s">
        <v>10</v>
      </c>
      <c r="I839" s="2">
        <v>32239613</v>
      </c>
    </row>
    <row r="840" spans="1:9" x14ac:dyDescent="0.25">
      <c r="A840">
        <v>839</v>
      </c>
      <c r="B840" t="str">
        <f>IF(ISERROR(VLOOKUP(E840,Nombres!A:D,2,FALSE)),"PROBLEMAAAAAA",VLOOKUP(E840,Nombres!A:D,2,FALSE))</f>
        <v>Etta Eyong</v>
      </c>
      <c r="C840" t="str">
        <f>IF(ISERROR(VLOOKUP(E840,Nombres!A:D,4,FALSE)),"PROBLEMAAAAAA",VLOOKUP(E840,Nombres!A:D,4,FALSE))</f>
        <v>DEL</v>
      </c>
      <c r="D840" t="str">
        <f>IF(ISERROR(VLOOKUP(E840,Nombres!A:D,3,FALSE)),"PROBLEMAAAAAA",VLOOKUP(E840,Nombres!A:D,3,FALSE))</f>
        <v>Levante</v>
      </c>
      <c r="E840" t="s">
        <v>274</v>
      </c>
      <c r="F840" s="1">
        <v>45945</v>
      </c>
      <c r="G840" t="s">
        <v>768</v>
      </c>
      <c r="H840" t="s">
        <v>6</v>
      </c>
      <c r="I840" s="2">
        <v>110031134</v>
      </c>
    </row>
    <row r="841" spans="1:9" x14ac:dyDescent="0.25">
      <c r="A841">
        <v>840</v>
      </c>
      <c r="B841" t="str">
        <f>IF(ISERROR(VLOOKUP(E841,Nombres!A:D,2,FALSE)),"PROBLEMAAAAAA",VLOOKUP(E841,Nombres!A:D,2,FALSE))</f>
        <v>Boyé</v>
      </c>
      <c r="C841" t="str">
        <f>IF(ISERROR(VLOOKUP(E841,Nombres!A:D,4,FALSE)),"PROBLEMAAAAAA",VLOOKUP(E841,Nombres!A:D,4,FALSE))</f>
        <v>DEL</v>
      </c>
      <c r="D841" t="str">
        <f>IF(ISERROR(VLOOKUP(E841,Nombres!A:D,3,FALSE)),"PROBLEMAAAAAA",VLOOKUP(E841,Nombres!A:D,3,FALSE))</f>
        <v>Alavés</v>
      </c>
      <c r="E841" t="s">
        <v>314</v>
      </c>
      <c r="F841" s="1">
        <v>45945</v>
      </c>
      <c r="G841" t="s">
        <v>6</v>
      </c>
      <c r="H841" t="s">
        <v>9</v>
      </c>
      <c r="I841" s="2">
        <v>2506689</v>
      </c>
    </row>
    <row r="842" spans="1:9" x14ac:dyDescent="0.25">
      <c r="A842">
        <v>841</v>
      </c>
      <c r="B842" t="str">
        <f>IF(ISERROR(VLOOKUP(E842,Nombres!A:D,2,FALSE)),"PROBLEMAAAAAA",VLOOKUP(E842,Nombres!A:D,2,FALSE))</f>
        <v>Iglesias</v>
      </c>
      <c r="C842" t="str">
        <f>IF(ISERROR(VLOOKUP(E842,Nombres!A:D,4,FALSE)),"PROBLEMAAAAAA",VLOOKUP(E842,Nombres!A:D,4,FALSE))</f>
        <v>DEF</v>
      </c>
      <c r="D842" t="str">
        <f>IF(ISERROR(VLOOKUP(E842,Nombres!A:D,3,FALSE)),"PROBLEMAAAAAA",VLOOKUP(E842,Nombres!A:D,3,FALSE))</f>
        <v>Getafe</v>
      </c>
      <c r="E842" t="s">
        <v>215</v>
      </c>
      <c r="F842" s="1">
        <v>45945</v>
      </c>
      <c r="G842" t="s">
        <v>9</v>
      </c>
      <c r="H842" t="s">
        <v>8</v>
      </c>
      <c r="I842" s="2">
        <v>2369904</v>
      </c>
    </row>
    <row r="843" spans="1:9" x14ac:dyDescent="0.25">
      <c r="A843">
        <v>842</v>
      </c>
      <c r="B843" t="str">
        <f>IF(ISERROR(VLOOKUP(E843,Nombres!A:D,2,FALSE)),"PROBLEMAAAAAA",VLOOKUP(E843,Nombres!A:D,2,FALSE))</f>
        <v>Pépé</v>
      </c>
      <c r="C843" t="str">
        <f>IF(ISERROR(VLOOKUP(E843,Nombres!A:D,4,FALSE)),"PROBLEMAAAAAA",VLOOKUP(E843,Nombres!A:D,4,FALSE))</f>
        <v>DEL</v>
      </c>
      <c r="D843" t="str">
        <f>IF(ISERROR(VLOOKUP(E843,Nombres!A:D,3,FALSE)),"PROBLEMAAAAAA",VLOOKUP(E843,Nombres!A:D,3,FALSE))</f>
        <v>Villarreal</v>
      </c>
      <c r="E843" t="s">
        <v>105</v>
      </c>
      <c r="F843" s="1">
        <v>45945</v>
      </c>
      <c r="G843" t="s">
        <v>6</v>
      </c>
      <c r="H843" t="s">
        <v>13</v>
      </c>
      <c r="I843" s="2">
        <v>91296567</v>
      </c>
    </row>
    <row r="844" spans="1:9" x14ac:dyDescent="0.25">
      <c r="A844">
        <v>843</v>
      </c>
      <c r="B844" t="str">
        <f>IF(ISERROR(VLOOKUP(E844,Nombres!A:D,2,FALSE)),"PROBLEMAAAAAA",VLOOKUP(E844,Nombres!A:D,2,FALSE))</f>
        <v>De Frutos</v>
      </c>
      <c r="C844" t="str">
        <f>IF(ISERROR(VLOOKUP(E844,Nombres!A:D,4,FALSE)),"PROBLEMAAAAAA",VLOOKUP(E844,Nombres!A:D,4,FALSE))</f>
        <v>DEL</v>
      </c>
      <c r="D844" t="str">
        <f>IF(ISERROR(VLOOKUP(E844,Nombres!A:D,3,FALSE)),"PROBLEMAAAAAA",VLOOKUP(E844,Nombres!A:D,3,FALSE))</f>
        <v>Rayo</v>
      </c>
      <c r="E844" t="s">
        <v>119</v>
      </c>
      <c r="F844" s="1">
        <v>45945</v>
      </c>
      <c r="G844" t="s">
        <v>13</v>
      </c>
      <c r="H844" t="s">
        <v>12</v>
      </c>
      <c r="I844" s="2">
        <v>42650147</v>
      </c>
    </row>
    <row r="845" spans="1:9" x14ac:dyDescent="0.25">
      <c r="A845">
        <v>844</v>
      </c>
      <c r="B845" t="str">
        <f>IF(ISERROR(VLOOKUP(E845,Nombres!A:D,2,FALSE)),"PROBLEMAAAAAA",VLOOKUP(E845,Nombres!A:D,2,FALSE))</f>
        <v>Areso</v>
      </c>
      <c r="C845" t="str">
        <f>IF(ISERROR(VLOOKUP(E845,Nombres!A:D,4,FALSE)),"PROBLEMAAAAAA",VLOOKUP(E845,Nombres!A:D,4,FALSE))</f>
        <v>DEF</v>
      </c>
      <c r="D845" t="str">
        <f>IF(ISERROR(VLOOKUP(E845,Nombres!A:D,3,FALSE)),"PROBLEMAAAAAA",VLOOKUP(E845,Nombres!A:D,3,FALSE))</f>
        <v>Athletic</v>
      </c>
      <c r="E845" t="s">
        <v>34</v>
      </c>
      <c r="F845" s="1">
        <v>45945</v>
      </c>
      <c r="G845" t="s">
        <v>13</v>
      </c>
      <c r="H845" t="s">
        <v>10</v>
      </c>
      <c r="I845" s="2">
        <v>15500000</v>
      </c>
    </row>
    <row r="846" spans="1:9" x14ac:dyDescent="0.25">
      <c r="A846">
        <v>845</v>
      </c>
      <c r="B846" t="str">
        <f>IF(ISERROR(VLOOKUP(E846,Nombres!A:D,2,FALSE)),"PROBLEMAAAAAA",VLOOKUP(E846,Nombres!A:D,2,FALSE))</f>
        <v>Cucho</v>
      </c>
      <c r="C846" t="str">
        <f>IF(ISERROR(VLOOKUP(E846,Nombres!A:D,4,FALSE)),"PROBLEMAAAAAA",VLOOKUP(E846,Nombres!A:D,4,FALSE))</f>
        <v>DEL</v>
      </c>
      <c r="D846" t="str">
        <f>IF(ISERROR(VLOOKUP(E846,Nombres!A:D,3,FALSE)),"PROBLEMAAAAAA",VLOOKUP(E846,Nombres!A:D,3,FALSE))</f>
        <v>Betis</v>
      </c>
      <c r="E846" t="s">
        <v>323</v>
      </c>
      <c r="F846" s="1">
        <v>45945</v>
      </c>
      <c r="G846" t="s">
        <v>10</v>
      </c>
      <c r="H846" t="s">
        <v>14</v>
      </c>
      <c r="I846" s="2">
        <v>43491641</v>
      </c>
    </row>
    <row r="847" spans="1:9" x14ac:dyDescent="0.25">
      <c r="A847">
        <v>846</v>
      </c>
      <c r="B847" t="str">
        <f>IF(ISERROR(VLOOKUP(E847,Nombres!A:D,2,FALSE)),"PROBLEMAAAAAA",VLOOKUP(E847,Nombres!A:D,2,FALSE))</f>
        <v>Aguado</v>
      </c>
      <c r="C847" t="str">
        <f>IF(ISERROR(VLOOKUP(E847,Nombres!A:D,4,FALSE)),"PROBLEMAAAAAA",VLOOKUP(E847,Nombres!A:D,4,FALSE))</f>
        <v>MED</v>
      </c>
      <c r="D847" t="str">
        <f>IF(ISERROR(VLOOKUP(E847,Nombres!A:D,3,FALSE)),"PROBLEMAAAAAA",VLOOKUP(E847,Nombres!A:D,3,FALSE))</f>
        <v>Elche</v>
      </c>
      <c r="E847" t="s">
        <v>466</v>
      </c>
      <c r="F847" s="1">
        <v>45945</v>
      </c>
      <c r="G847" t="s">
        <v>7</v>
      </c>
      <c r="H847" t="s">
        <v>31</v>
      </c>
      <c r="I847" s="2">
        <v>1151818</v>
      </c>
    </row>
    <row r="848" spans="1:9" x14ac:dyDescent="0.25">
      <c r="A848">
        <v>847</v>
      </c>
      <c r="B848" t="str">
        <f>IF(ISERROR(VLOOKUP(E848,Nombres!A:D,2,FALSE)),"PROBLEMAAAAAA",VLOOKUP(E848,Nombres!A:D,2,FALSE))</f>
        <v>Oyarzabal</v>
      </c>
      <c r="C848" t="str">
        <f>IF(ISERROR(VLOOKUP(E848,Nombres!A:D,4,FALSE)),"PROBLEMAAAAAA",VLOOKUP(E848,Nombres!A:D,4,FALSE))</f>
        <v>DEL</v>
      </c>
      <c r="D848" t="str">
        <f>IF(ISERROR(VLOOKUP(E848,Nombres!A:D,3,FALSE)),"PROBLEMAAAAAA",VLOOKUP(E848,Nombres!A:D,3,FALSE))</f>
        <v>Real Sociedad</v>
      </c>
      <c r="E848" t="s">
        <v>136</v>
      </c>
      <c r="F848" s="1">
        <v>45945</v>
      </c>
      <c r="G848" t="s">
        <v>7</v>
      </c>
      <c r="H848" t="s">
        <v>31</v>
      </c>
      <c r="I848" s="2">
        <v>38294813</v>
      </c>
    </row>
    <row r="849" spans="1:9" x14ac:dyDescent="0.25">
      <c r="A849">
        <v>848</v>
      </c>
      <c r="B849" t="str">
        <f>IF(ISERROR(VLOOKUP(E849,Nombres!A:D,2,FALSE)),"PROBLEMAAAAAA",VLOOKUP(E849,Nombres!A:D,2,FALSE))</f>
        <v>Starfelt</v>
      </c>
      <c r="C849" t="str">
        <f>IF(ISERROR(VLOOKUP(E849,Nombres!A:D,4,FALSE)),"PROBLEMAAAAAA",VLOOKUP(E849,Nombres!A:D,4,FALSE))</f>
        <v>DEF</v>
      </c>
      <c r="D849" t="str">
        <f>IF(ISERROR(VLOOKUP(E849,Nombres!A:D,3,FALSE)),"PROBLEMAAAAAA",VLOOKUP(E849,Nombres!A:D,3,FALSE))</f>
        <v>Celta</v>
      </c>
      <c r="E849" t="s">
        <v>53</v>
      </c>
      <c r="F849" s="1">
        <v>45945</v>
      </c>
      <c r="G849" t="s">
        <v>13</v>
      </c>
      <c r="H849" t="s">
        <v>31</v>
      </c>
      <c r="I849" s="2">
        <v>1090537</v>
      </c>
    </row>
    <row r="850" spans="1:9" x14ac:dyDescent="0.25">
      <c r="A850">
        <v>849</v>
      </c>
      <c r="B850" t="str">
        <f>IF(ISERROR(VLOOKUP(E850,Nombres!A:D,2,FALSE)),"PROBLEMAAAAAA",VLOOKUP(E850,Nombres!A:D,2,FALSE))</f>
        <v>Ratiu</v>
      </c>
      <c r="C850" t="str">
        <f>IF(ISERROR(VLOOKUP(E850,Nombres!A:D,4,FALSE)),"PROBLEMAAAAAA",VLOOKUP(E850,Nombres!A:D,4,FALSE))</f>
        <v>DEF</v>
      </c>
      <c r="D850" t="str">
        <f>IF(ISERROR(VLOOKUP(E850,Nombres!A:D,3,FALSE)),"PROBLEMAAAAAA",VLOOKUP(E850,Nombres!A:D,3,FALSE))</f>
        <v>Rayo</v>
      </c>
      <c r="E850" t="s">
        <v>310</v>
      </c>
      <c r="F850" s="1">
        <v>45946</v>
      </c>
      <c r="G850" t="s">
        <v>12</v>
      </c>
      <c r="H850" t="s">
        <v>10</v>
      </c>
      <c r="I850" s="2">
        <v>21741587</v>
      </c>
    </row>
    <row r="851" spans="1:9" x14ac:dyDescent="0.25">
      <c r="A851">
        <v>850</v>
      </c>
      <c r="B851" t="str">
        <f>IF(ISERROR(VLOOKUP(E851,Nombres!A:D,2,FALSE)),"PROBLEMAAAAAA",VLOOKUP(E851,Nombres!A:D,2,FALSE))</f>
        <v>Olasagasti</v>
      </c>
      <c r="C851" t="str">
        <f>IF(ISERROR(VLOOKUP(E851,Nombres!A:D,4,FALSE)),"PROBLEMAAAAAA",VLOOKUP(E851,Nombres!A:D,4,FALSE))</f>
        <v>MED</v>
      </c>
      <c r="D851" t="str">
        <f>IF(ISERROR(VLOOKUP(E851,Nombres!A:D,3,FALSE)),"PROBLEMAAAAAA",VLOOKUP(E851,Nombres!A:D,3,FALSE))</f>
        <v>Levante</v>
      </c>
      <c r="E851" t="s">
        <v>666</v>
      </c>
      <c r="F851" s="1">
        <v>45946</v>
      </c>
      <c r="G851" t="s">
        <v>31</v>
      </c>
      <c r="H851" t="s">
        <v>13</v>
      </c>
      <c r="I851" s="2">
        <v>537161</v>
      </c>
    </row>
    <row r="852" spans="1:9" x14ac:dyDescent="0.25">
      <c r="A852">
        <v>851</v>
      </c>
      <c r="B852" t="str">
        <f>IF(ISERROR(VLOOKUP(E852,Nombres!A:D,2,FALSE)),"PROBLEMAAAAAA",VLOOKUP(E852,Nombres!A:D,2,FALSE))</f>
        <v>Manu Sánchez</v>
      </c>
      <c r="C852" t="str">
        <f>IF(ISERROR(VLOOKUP(E852,Nombres!A:D,4,FALSE)),"PROBLEMAAAAAA",VLOOKUP(E852,Nombres!A:D,4,FALSE))</f>
        <v>DEF</v>
      </c>
      <c r="D852" t="str">
        <f>IF(ISERROR(VLOOKUP(E852,Nombres!A:D,3,FALSE)),"PROBLEMAAAAAA",VLOOKUP(E852,Nombres!A:D,3,FALSE))</f>
        <v>Levante</v>
      </c>
      <c r="E852" t="s">
        <v>777</v>
      </c>
      <c r="F852" s="1">
        <v>45946</v>
      </c>
      <c r="G852" t="s">
        <v>6</v>
      </c>
      <c r="H852" t="s">
        <v>31</v>
      </c>
      <c r="I852" s="2">
        <v>2160657</v>
      </c>
    </row>
    <row r="853" spans="1:9" x14ac:dyDescent="0.25">
      <c r="A853">
        <v>852</v>
      </c>
      <c r="B853" t="str">
        <f>IF(ISERROR(VLOOKUP(E853,Nombres!A:D,2,FALSE)),"PROBLEMAAAAAA",VLOOKUP(E853,Nombres!A:D,2,FALSE))</f>
        <v>Pacheco</v>
      </c>
      <c r="C853" t="str">
        <f>IF(ISERROR(VLOOKUP(E853,Nombres!A:D,4,FALSE)),"PROBLEMAAAAAA",VLOOKUP(E853,Nombres!A:D,4,FALSE))</f>
        <v>DEF</v>
      </c>
      <c r="D853" t="str">
        <f>IF(ISERROR(VLOOKUP(E853,Nombres!A:D,3,FALSE)),"PROBLEMAAAAAA",VLOOKUP(E853,Nombres!A:D,3,FALSE))</f>
        <v>Alavés</v>
      </c>
      <c r="E853" t="s">
        <v>670</v>
      </c>
      <c r="F853" s="1">
        <v>45946</v>
      </c>
      <c r="G853" t="s">
        <v>10</v>
      </c>
      <c r="H853" t="s">
        <v>31</v>
      </c>
      <c r="I853" s="2">
        <v>4875421</v>
      </c>
    </row>
    <row r="854" spans="1:9" x14ac:dyDescent="0.25">
      <c r="A854">
        <v>853</v>
      </c>
      <c r="B854" t="str">
        <f>IF(ISERROR(VLOOKUP(E854,Nombres!A:D,2,FALSE)),"PROBLEMAAAAAA",VLOOKUP(E854,Nombres!A:D,2,FALSE))</f>
        <v>Rubén G.</v>
      </c>
      <c r="C854" t="str">
        <f>IF(ISERROR(VLOOKUP(E854,Nombres!A:D,4,FALSE)),"PROBLEMAAAAAA",VLOOKUP(E854,Nombres!A:D,4,FALSE))</f>
        <v>MED</v>
      </c>
      <c r="D854" t="str">
        <f>IF(ISERROR(VLOOKUP(E854,Nombres!A:D,3,FALSE)),"PROBLEMAAAAAA",VLOOKUP(E854,Nombres!A:D,3,FALSE))</f>
        <v>Osasuna</v>
      </c>
      <c r="E854" t="s">
        <v>37</v>
      </c>
      <c r="F854" s="1">
        <v>45946</v>
      </c>
      <c r="G854" t="s">
        <v>10</v>
      </c>
      <c r="H854" t="s">
        <v>31</v>
      </c>
      <c r="I854" s="2">
        <v>5875421</v>
      </c>
    </row>
    <row r="855" spans="1:9" x14ac:dyDescent="0.25">
      <c r="A855">
        <v>854</v>
      </c>
      <c r="B855" t="str">
        <f>IF(ISERROR(VLOOKUP(E855,Nombres!A:D,2,FALSE)),"PROBLEMAAAAAA",VLOOKUP(E855,Nombres!A:D,2,FALSE))</f>
        <v>Vencedor</v>
      </c>
      <c r="C855" t="str">
        <f>IF(ISERROR(VLOOKUP(E855,Nombres!A:D,4,FALSE)),"PROBLEMAAAAAA",VLOOKUP(E855,Nombres!A:D,4,FALSE))</f>
        <v>MED</v>
      </c>
      <c r="D855" t="str">
        <f>IF(ISERROR(VLOOKUP(E855,Nombres!A:D,3,FALSE)),"PROBLEMAAAAAA",VLOOKUP(E855,Nombres!A:D,3,FALSE))</f>
        <v>Levante</v>
      </c>
      <c r="E855" t="s">
        <v>744</v>
      </c>
      <c r="F855" s="1">
        <v>45947</v>
      </c>
      <c r="G855" t="s">
        <v>13</v>
      </c>
      <c r="H855" t="s">
        <v>31</v>
      </c>
      <c r="I855" s="2">
        <v>1685667</v>
      </c>
    </row>
    <row r="856" spans="1:9" x14ac:dyDescent="0.25">
      <c r="A856">
        <v>855</v>
      </c>
      <c r="B856" t="str">
        <f>IF(ISERROR(VLOOKUP(E856,Nombres!A:D,2,FALSE)),"PROBLEMAAAAAA",VLOOKUP(E856,Nombres!A:D,2,FALSE))</f>
        <v>Balde</v>
      </c>
      <c r="C856" t="str">
        <f>IF(ISERROR(VLOOKUP(E856,Nombres!A:D,4,FALSE)),"PROBLEMAAAAAA",VLOOKUP(E856,Nombres!A:D,4,FALSE))</f>
        <v>DEF</v>
      </c>
      <c r="D856" t="str">
        <f>IF(ISERROR(VLOOKUP(E856,Nombres!A:D,3,FALSE)),"PROBLEMAAAAAA",VLOOKUP(E856,Nombres!A:D,3,FALSE))</f>
        <v>Barcelona</v>
      </c>
      <c r="E856" t="s">
        <v>224</v>
      </c>
      <c r="F856" s="1">
        <v>45947</v>
      </c>
      <c r="G856" t="s">
        <v>12</v>
      </c>
      <c r="H856" t="s">
        <v>31</v>
      </c>
      <c r="I856" s="2">
        <v>42610010</v>
      </c>
    </row>
    <row r="857" spans="1:9" x14ac:dyDescent="0.25">
      <c r="A857">
        <v>856</v>
      </c>
      <c r="B857" t="str">
        <f>IF(ISERROR(VLOOKUP(E857,Nombres!A:D,2,FALSE)),"PROBLEMAAAAAA",VLOOKUP(E857,Nombres!A:D,2,FALSE))</f>
        <v>Lejeune</v>
      </c>
      <c r="C857" t="str">
        <f>IF(ISERROR(VLOOKUP(E857,Nombres!A:D,4,FALSE)),"PROBLEMAAAAAA",VLOOKUP(E857,Nombres!A:D,4,FALSE))</f>
        <v>DEF</v>
      </c>
      <c r="D857" t="str">
        <f>IF(ISERROR(VLOOKUP(E857,Nombres!A:D,3,FALSE)),"PROBLEMAAAAAA",VLOOKUP(E857,Nombres!A:D,3,FALSE))</f>
        <v>Rayo</v>
      </c>
      <c r="E857" t="s">
        <v>127</v>
      </c>
      <c r="F857" s="1">
        <v>45947</v>
      </c>
      <c r="G857" t="s">
        <v>14</v>
      </c>
      <c r="H857" t="s">
        <v>31</v>
      </c>
      <c r="I857" s="2">
        <v>22222100</v>
      </c>
    </row>
    <row r="858" spans="1:9" x14ac:dyDescent="0.25">
      <c r="A858">
        <v>857</v>
      </c>
      <c r="B858" t="str">
        <f>IF(ISERROR(VLOOKUP(E858,Nombres!A:D,2,FALSE)),"PROBLEMAAAAAA",VLOOKUP(E858,Nombres!A:D,2,FALSE))</f>
        <v>González</v>
      </c>
      <c r="C858" t="str">
        <f>IF(ISERROR(VLOOKUP(E858,Nombres!A:D,4,FALSE)),"PROBLEMAAAAAA",VLOOKUP(E858,Nombres!A:D,4,FALSE))</f>
        <v>MED</v>
      </c>
      <c r="D858" t="str">
        <f>IF(ISERROR(VLOOKUP(E858,Nombres!A:D,3,FALSE)),"PROBLEMAAAAAA",VLOOKUP(E858,Nombres!A:D,3,FALSE))</f>
        <v>Atlético</v>
      </c>
      <c r="E858" t="s">
        <v>778</v>
      </c>
      <c r="F858" s="1">
        <v>45947</v>
      </c>
      <c r="G858" t="s">
        <v>14</v>
      </c>
      <c r="H858" t="s">
        <v>31</v>
      </c>
      <c r="I858" s="2">
        <v>24447215</v>
      </c>
    </row>
    <row r="859" spans="1:9" x14ac:dyDescent="0.25">
      <c r="A859">
        <v>858</v>
      </c>
      <c r="B859" t="str">
        <f>IF(ISERROR(VLOOKUP(E859,Nombres!A:D,2,FALSE)),"PROBLEMAAAAAA",VLOOKUP(E859,Nombres!A:D,2,FALSE))</f>
        <v>Koke</v>
      </c>
      <c r="C859" t="str">
        <f>IF(ISERROR(VLOOKUP(E859,Nombres!A:D,4,FALSE)),"PROBLEMAAAAAA",VLOOKUP(E859,Nombres!A:D,4,FALSE))</f>
        <v>MED</v>
      </c>
      <c r="D859" t="str">
        <f>IF(ISERROR(VLOOKUP(E859,Nombres!A:D,3,FALSE)),"PROBLEMAAAAAA",VLOOKUP(E859,Nombres!A:D,3,FALSE))</f>
        <v>Atlético</v>
      </c>
      <c r="E859" t="s">
        <v>156</v>
      </c>
      <c r="F859" s="1">
        <v>45947</v>
      </c>
      <c r="G859" t="s">
        <v>11</v>
      </c>
      <c r="H859" t="s">
        <v>31</v>
      </c>
      <c r="I859" s="2">
        <v>13000000</v>
      </c>
    </row>
    <row r="860" spans="1:9" x14ac:dyDescent="0.25">
      <c r="A860">
        <v>859</v>
      </c>
      <c r="B860" t="str">
        <f>IF(ISERROR(VLOOKUP(E860,Nombres!A:D,2,FALSE)),"PROBLEMAAAAAA",VLOOKUP(E860,Nombres!A:D,2,FALSE))</f>
        <v>Caleta-Car</v>
      </c>
      <c r="C860" t="str">
        <f>IF(ISERROR(VLOOKUP(E860,Nombres!A:D,4,FALSE)),"PROBLEMAAAAAA",VLOOKUP(E860,Nombres!A:D,4,FALSE))</f>
        <v>DEF</v>
      </c>
      <c r="D860" t="str">
        <f>IF(ISERROR(VLOOKUP(E860,Nombres!A:D,3,FALSE)),"PROBLEMAAAAAA",VLOOKUP(E860,Nombres!A:D,3,FALSE))</f>
        <v>Real Sociedad</v>
      </c>
      <c r="E860" t="s">
        <v>779</v>
      </c>
      <c r="F860" s="1">
        <v>45947</v>
      </c>
      <c r="G860" t="s">
        <v>7</v>
      </c>
      <c r="H860" t="s">
        <v>31</v>
      </c>
      <c r="I860" s="2">
        <v>3596609</v>
      </c>
    </row>
    <row r="861" spans="1:9" x14ac:dyDescent="0.25">
      <c r="A861">
        <v>860</v>
      </c>
      <c r="B861" t="str">
        <f>IF(ISERROR(VLOOKUP(E861,Nombres!A:D,2,FALSE)),"PROBLEMAAAAAA",VLOOKUP(E861,Nombres!A:D,2,FALSE))</f>
        <v>Cabrera</v>
      </c>
      <c r="C861" t="str">
        <f>IF(ISERROR(VLOOKUP(E861,Nombres!A:D,4,FALSE)),"PROBLEMAAAAAA",VLOOKUP(E861,Nombres!A:D,4,FALSE))</f>
        <v>DEF</v>
      </c>
      <c r="D861" t="str">
        <f>IF(ISERROR(VLOOKUP(E861,Nombres!A:D,3,FALSE)),"PROBLEMAAAAAA",VLOOKUP(E861,Nombres!A:D,3,FALSE))</f>
        <v>Espanyol</v>
      </c>
      <c r="E861" t="s">
        <v>200</v>
      </c>
      <c r="F861" s="1">
        <v>45948</v>
      </c>
      <c r="G861" t="s">
        <v>12</v>
      </c>
      <c r="H861" t="s">
        <v>8</v>
      </c>
      <c r="I861" s="2">
        <v>15010001</v>
      </c>
    </row>
    <row r="862" spans="1:9" x14ac:dyDescent="0.25">
      <c r="A862">
        <v>861</v>
      </c>
      <c r="B862" t="str">
        <f>IF(ISERROR(VLOOKUP(E862,Nombres!A:D,2,FALSE)),"PROBLEMAAAAAA",VLOOKUP(E862,Nombres!A:D,2,FALSE))</f>
        <v>Jonny</v>
      </c>
      <c r="C862" t="str">
        <f>IF(ISERROR(VLOOKUP(E862,Nombres!A:D,4,FALSE)),"PROBLEMAAAAAA",VLOOKUP(E862,Nombres!A:D,4,FALSE))</f>
        <v>DEF</v>
      </c>
      <c r="D862" t="str">
        <f>IF(ISERROR(VLOOKUP(E862,Nombres!A:D,3,FALSE)),"PROBLEMAAAAAA",VLOOKUP(E862,Nombres!A:D,3,FALSE))</f>
        <v>Alavés</v>
      </c>
      <c r="E862" t="s">
        <v>780</v>
      </c>
      <c r="F862" s="1">
        <v>45948</v>
      </c>
      <c r="G862" t="s">
        <v>6</v>
      </c>
      <c r="H862" t="s">
        <v>31</v>
      </c>
      <c r="I862" s="2">
        <v>7045151</v>
      </c>
    </row>
    <row r="863" spans="1:9" x14ac:dyDescent="0.25">
      <c r="A863">
        <v>862</v>
      </c>
      <c r="B863" t="str">
        <f>IF(ISERROR(VLOOKUP(E863,Nombres!A:D,2,FALSE)),"PROBLEMAAAAAA",VLOOKUP(E863,Nombres!A:D,2,FALSE))</f>
        <v>Odriozola</v>
      </c>
      <c r="C863" t="str">
        <f>IF(ISERROR(VLOOKUP(E863,Nombres!A:D,4,FALSE)),"PROBLEMAAAAAA",VLOOKUP(E863,Nombres!A:D,4,FALSE))</f>
        <v>DEF</v>
      </c>
      <c r="D863" t="str">
        <f>IF(ISERROR(VLOOKUP(E863,Nombres!A:D,3,FALSE)),"PROBLEMAAAAAA",VLOOKUP(E863,Nombres!A:D,3,FALSE))</f>
        <v>Real Sociedad</v>
      </c>
      <c r="E863" t="s">
        <v>665</v>
      </c>
      <c r="F863" s="1">
        <v>45948</v>
      </c>
      <c r="G863" t="s">
        <v>31</v>
      </c>
      <c r="H863" t="s">
        <v>13</v>
      </c>
      <c r="I863" s="2">
        <v>603024</v>
      </c>
    </row>
    <row r="864" spans="1:9" x14ac:dyDescent="0.25">
      <c r="A864">
        <v>863</v>
      </c>
      <c r="B864" t="str">
        <f>IF(ISERROR(VLOOKUP(E864,Nombres!A:D,2,FALSE)),"PROBLEMAAAAAA",VLOOKUP(E864,Nombres!A:D,2,FALSE))</f>
        <v>Josan</v>
      </c>
      <c r="C864" t="str">
        <f>IF(ISERROR(VLOOKUP(E864,Nombres!A:D,4,FALSE)),"PROBLEMAAAAAA",VLOOKUP(E864,Nombres!A:D,4,FALSE))</f>
        <v>MED</v>
      </c>
      <c r="D864" t="str">
        <f>IF(ISERROR(VLOOKUP(E864,Nombres!A:D,3,FALSE)),"PROBLEMAAAAAA",VLOOKUP(E864,Nombres!A:D,3,FALSE))</f>
        <v>Elche</v>
      </c>
      <c r="E864" t="s">
        <v>607</v>
      </c>
      <c r="F864" s="1">
        <v>45948</v>
      </c>
      <c r="G864" t="s">
        <v>31</v>
      </c>
      <c r="H864" t="s">
        <v>13</v>
      </c>
      <c r="I864" s="2">
        <v>587912</v>
      </c>
    </row>
    <row r="865" spans="1:9" x14ac:dyDescent="0.25">
      <c r="A865">
        <v>864</v>
      </c>
      <c r="B865" t="str">
        <f>IF(ISERROR(VLOOKUP(E865,Nombres!A:D,2,FALSE)),"PROBLEMAAAAAA",VLOOKUP(E865,Nombres!A:D,2,FALSE))</f>
        <v>Azpilicueta</v>
      </c>
      <c r="C865" t="str">
        <f>IF(ISERROR(VLOOKUP(E865,Nombres!A:D,4,FALSE)),"PROBLEMAAAAAA",VLOOKUP(E865,Nombres!A:D,4,FALSE))</f>
        <v>DEF</v>
      </c>
      <c r="D865" t="str">
        <f>IF(ISERROR(VLOOKUP(E865,Nombres!A:D,3,FALSE)),"PROBLEMAAAAAA",VLOOKUP(E865,Nombres!A:D,3,FALSE))</f>
        <v>Sevilla</v>
      </c>
      <c r="E865" t="s">
        <v>337</v>
      </c>
      <c r="F865" s="1">
        <v>45948</v>
      </c>
      <c r="G865" t="s">
        <v>31</v>
      </c>
      <c r="H865" t="s">
        <v>6</v>
      </c>
      <c r="I865" s="2">
        <v>5692561</v>
      </c>
    </row>
    <row r="866" spans="1:9" x14ac:dyDescent="0.25">
      <c r="A866">
        <v>865</v>
      </c>
      <c r="B866" t="str">
        <f>IF(ISERROR(VLOOKUP(E866,Nombres!A:D,2,FALSE)),"PROBLEMAAAAAA",VLOOKUP(E866,Nombres!A:D,2,FALSE))</f>
        <v>Torró</v>
      </c>
      <c r="C866" t="str">
        <f>IF(ISERROR(VLOOKUP(E866,Nombres!A:D,4,FALSE)),"PROBLEMAAAAAA",VLOOKUP(E866,Nombres!A:D,4,FALSE))</f>
        <v>MED</v>
      </c>
      <c r="D866" t="str">
        <f>IF(ISERROR(VLOOKUP(E866,Nombres!A:D,3,FALSE)),"PROBLEMAAAAAA",VLOOKUP(E866,Nombres!A:D,3,FALSE))</f>
        <v>Osasuna</v>
      </c>
      <c r="E866" t="s">
        <v>86</v>
      </c>
      <c r="F866" s="1">
        <v>45948</v>
      </c>
      <c r="G866" t="s">
        <v>31</v>
      </c>
      <c r="H866" t="s">
        <v>6</v>
      </c>
      <c r="I866" s="2">
        <v>2823674</v>
      </c>
    </row>
    <row r="867" spans="1:9" x14ac:dyDescent="0.25">
      <c r="A867">
        <v>866</v>
      </c>
      <c r="B867" t="str">
        <f>IF(ISERROR(VLOOKUP(E867,Nombres!A:D,2,FALSE)),"PROBLEMAAAAAA",VLOOKUP(E867,Nombres!A:D,2,FALSE))</f>
        <v>Jauregizar</v>
      </c>
      <c r="C867" t="str">
        <f>IF(ISERROR(VLOOKUP(E867,Nombres!A:D,4,FALSE)),"PROBLEMAAAAAA",VLOOKUP(E867,Nombres!A:D,4,FALSE))</f>
        <v>MED</v>
      </c>
      <c r="D867" t="str">
        <f>IF(ISERROR(VLOOKUP(E867,Nombres!A:D,3,FALSE)),"PROBLEMAAAAAA",VLOOKUP(E867,Nombres!A:D,3,FALSE))</f>
        <v>Athletic</v>
      </c>
      <c r="E867" t="s">
        <v>176</v>
      </c>
      <c r="F867" s="1">
        <v>45949</v>
      </c>
      <c r="G867" t="s">
        <v>768</v>
      </c>
      <c r="H867" t="s">
        <v>7</v>
      </c>
      <c r="I867" s="2">
        <v>24476604</v>
      </c>
    </row>
    <row r="868" spans="1:9" x14ac:dyDescent="0.25">
      <c r="A868">
        <v>867</v>
      </c>
      <c r="B868" t="str">
        <f>IF(ISERROR(VLOOKUP(E868,Nombres!A:D,2,FALSE)),"PROBLEMAAAAAA",VLOOKUP(E868,Nombres!A:D,2,FALSE))</f>
        <v>Rafa Marín</v>
      </c>
      <c r="C868" t="str">
        <f>IF(ISERROR(VLOOKUP(E868,Nombres!A:D,4,FALSE)),"PROBLEMAAAAAA",VLOOKUP(E868,Nombres!A:D,4,FALSE))</f>
        <v>DEF</v>
      </c>
      <c r="D868" t="str">
        <f>IF(ISERROR(VLOOKUP(E868,Nombres!A:D,3,FALSE)),"PROBLEMAAAAAA",VLOOKUP(E868,Nombres!A:D,3,FALSE))</f>
        <v>Villarreal</v>
      </c>
      <c r="E868" t="s">
        <v>234</v>
      </c>
      <c r="F868" s="1">
        <v>45949</v>
      </c>
      <c r="G868" t="s">
        <v>31</v>
      </c>
      <c r="H868" t="s">
        <v>12</v>
      </c>
      <c r="I868" s="2">
        <v>41359263</v>
      </c>
    </row>
    <row r="869" spans="1:9" x14ac:dyDescent="0.25">
      <c r="A869">
        <v>868</v>
      </c>
      <c r="B869" t="str">
        <f>IF(ISERROR(VLOOKUP(E869,Nombres!A:D,2,FALSE)),"PROBLEMAAAAAA",VLOOKUP(E869,Nombres!A:D,2,FALSE))</f>
        <v>Marc Roca</v>
      </c>
      <c r="C869" t="str">
        <f>IF(ISERROR(VLOOKUP(E869,Nombres!A:D,4,FALSE)),"PROBLEMAAAAAA",VLOOKUP(E869,Nombres!A:D,4,FALSE))</f>
        <v>MED</v>
      </c>
      <c r="D869" t="str">
        <f>IF(ISERROR(VLOOKUP(E869,Nombres!A:D,3,FALSE)),"PROBLEMAAAAAA",VLOOKUP(E869,Nombres!A:D,3,FALSE))</f>
        <v>Betis</v>
      </c>
      <c r="E869" t="s">
        <v>166</v>
      </c>
      <c r="F869" s="1">
        <v>45949</v>
      </c>
      <c r="G869" t="s">
        <v>7</v>
      </c>
      <c r="H869" t="s">
        <v>31</v>
      </c>
      <c r="I869" s="2">
        <v>1409336</v>
      </c>
    </row>
    <row r="870" spans="1:9" x14ac:dyDescent="0.25">
      <c r="A870">
        <v>869</v>
      </c>
      <c r="B870" t="str">
        <f>IF(ISERROR(VLOOKUP(E870,Nombres!A:D,2,FALSE)),"PROBLEMAAAAAA",VLOOKUP(E870,Nombres!A:D,2,FALSE))</f>
        <v>N. Williams</v>
      </c>
      <c r="C870" t="str">
        <f>IF(ISERROR(VLOOKUP(E870,Nombres!A:D,4,FALSE)),"PROBLEMAAAAAA",VLOOKUP(E870,Nombres!A:D,4,FALSE))</f>
        <v>DEL</v>
      </c>
      <c r="D870" t="str">
        <f>IF(ISERROR(VLOOKUP(E870,Nombres!A:D,3,FALSE)),"PROBLEMAAAAAA",VLOOKUP(E870,Nombres!A:D,3,FALSE))</f>
        <v>Athletic</v>
      </c>
      <c r="E870" t="s">
        <v>205</v>
      </c>
      <c r="F870" s="1">
        <v>45949</v>
      </c>
      <c r="G870" t="s">
        <v>6</v>
      </c>
      <c r="H870" t="s">
        <v>31</v>
      </c>
      <c r="I870" s="2">
        <v>98000052</v>
      </c>
    </row>
    <row r="871" spans="1:9" x14ac:dyDescent="0.25">
      <c r="A871">
        <v>870</v>
      </c>
      <c r="B871" t="str">
        <f>IF(ISERROR(VLOOKUP(E871,Nombres!A:D,2,FALSE)),"PROBLEMAAAAAA",VLOOKUP(E871,Nombres!A:D,2,FALSE))</f>
        <v>Brugui</v>
      </c>
      <c r="C871" t="str">
        <f>IF(ISERROR(VLOOKUP(E871,Nombres!A:D,4,FALSE)),"PROBLEMAAAAAA",VLOOKUP(E871,Nombres!A:D,4,FALSE))</f>
        <v>DEL</v>
      </c>
      <c r="D871" t="str">
        <f>IF(ISERROR(VLOOKUP(E871,Nombres!A:D,3,FALSE)),"PROBLEMAAAAAA",VLOOKUP(E871,Nombres!A:D,3,FALSE))</f>
        <v>Levante</v>
      </c>
      <c r="E871" t="s">
        <v>235</v>
      </c>
      <c r="F871" s="1">
        <v>45949</v>
      </c>
      <c r="G871" t="s">
        <v>6</v>
      </c>
      <c r="H871" t="s">
        <v>31</v>
      </c>
      <c r="I871" s="2">
        <v>1500001</v>
      </c>
    </row>
    <row r="872" spans="1:9" x14ac:dyDescent="0.25">
      <c r="A872">
        <v>871</v>
      </c>
      <c r="B872" t="str">
        <f>IF(ISERROR(VLOOKUP(E872,Nombres!A:D,2,FALSE)),"PROBLEMAAAAAA",VLOOKUP(E872,Nombres!A:D,2,FALSE))</f>
        <v>Aramburu</v>
      </c>
      <c r="C872" t="str">
        <f>IF(ISERROR(VLOOKUP(E872,Nombres!A:D,4,FALSE)),"PROBLEMAAAAAA",VLOOKUP(E872,Nombres!A:D,4,FALSE))</f>
        <v>DEF</v>
      </c>
      <c r="D872" t="str">
        <f>IF(ISERROR(VLOOKUP(E872,Nombres!A:D,3,FALSE)),"PROBLEMAAAAAA",VLOOKUP(E872,Nombres!A:D,3,FALSE))</f>
        <v>Real Sociedad</v>
      </c>
      <c r="E872" t="s">
        <v>241</v>
      </c>
      <c r="F872" s="1">
        <v>45949</v>
      </c>
      <c r="G872" t="s">
        <v>14</v>
      </c>
      <c r="H872" t="s">
        <v>31</v>
      </c>
      <c r="I872" s="2">
        <v>2591087</v>
      </c>
    </row>
    <row r="873" spans="1:9" x14ac:dyDescent="0.25">
      <c r="A873">
        <v>872</v>
      </c>
      <c r="B873" t="str">
        <f>IF(ISERROR(VLOOKUP(E873,Nombres!A:D,2,FALSE)),"PROBLEMAAAAAA",VLOOKUP(E873,Nombres!A:D,2,FALSE))</f>
        <v>Diego Rico</v>
      </c>
      <c r="C873" t="str">
        <f>IF(ISERROR(VLOOKUP(E873,Nombres!A:D,4,FALSE)),"PROBLEMAAAAAA",VLOOKUP(E873,Nombres!A:D,4,FALSE))</f>
        <v>DEF</v>
      </c>
      <c r="D873" t="str">
        <f>IF(ISERROR(VLOOKUP(E873,Nombres!A:D,3,FALSE)),"PROBLEMAAAAAA",VLOOKUP(E873,Nombres!A:D,3,FALSE))</f>
        <v>Getafe</v>
      </c>
      <c r="E873" t="s">
        <v>192</v>
      </c>
      <c r="F873" s="1">
        <v>45949</v>
      </c>
      <c r="G873" t="s">
        <v>14</v>
      </c>
      <c r="H873" t="s">
        <v>31</v>
      </c>
      <c r="I873" s="2">
        <v>5837819</v>
      </c>
    </row>
    <row r="874" spans="1:9" x14ac:dyDescent="0.25">
      <c r="A874">
        <v>873</v>
      </c>
      <c r="B874" t="str">
        <f>IF(ISERROR(VLOOKUP(E874,Nombres!A:D,2,FALSE)),"PROBLEMAAAAAA",VLOOKUP(E874,Nombres!A:D,2,FALSE))</f>
        <v>Rodríguez</v>
      </c>
      <c r="C874" t="str">
        <f>IF(ISERROR(VLOOKUP(E874,Nombres!A:D,4,FALSE)),"PROBLEMAAAAAA",VLOOKUP(E874,Nombres!A:D,4,FALSE))</f>
        <v>DEF</v>
      </c>
      <c r="D874" t="str">
        <f>IF(ISERROR(VLOOKUP(E874,Nombres!A:D,3,FALSE)),"PROBLEMAAAAAA",VLOOKUP(E874,Nombres!A:D,3,FALSE))</f>
        <v>Betis</v>
      </c>
      <c r="E874" t="s">
        <v>770</v>
      </c>
      <c r="F874" s="1">
        <v>45949</v>
      </c>
      <c r="G874" t="s">
        <v>31</v>
      </c>
      <c r="H874" t="s">
        <v>14</v>
      </c>
      <c r="I874" s="2">
        <v>7834207</v>
      </c>
    </row>
    <row r="875" spans="1:9" x14ac:dyDescent="0.25">
      <c r="A875">
        <v>874</v>
      </c>
      <c r="B875" t="str">
        <f>IF(ISERROR(VLOOKUP(E875,Nombres!A:D,2,FALSE)),"PROBLEMAAAAAA",VLOOKUP(E875,Nombres!A:D,2,FALSE))</f>
        <v>González</v>
      </c>
      <c r="C875" t="str">
        <f>IF(ISERROR(VLOOKUP(E875,Nombres!A:D,4,FALSE)),"PROBLEMAAAAAA",VLOOKUP(E875,Nombres!A:D,4,FALSE))</f>
        <v>MED</v>
      </c>
      <c r="D875" t="str">
        <f>IF(ISERROR(VLOOKUP(E875,Nombres!A:D,3,FALSE)),"PROBLEMAAAAAA",VLOOKUP(E875,Nombres!A:D,3,FALSE))</f>
        <v>Atlético</v>
      </c>
      <c r="E875" t="s">
        <v>778</v>
      </c>
      <c r="F875" s="1">
        <v>45949</v>
      </c>
      <c r="G875" t="s">
        <v>31</v>
      </c>
      <c r="H875" t="s">
        <v>14</v>
      </c>
      <c r="I875" s="2">
        <v>22184235</v>
      </c>
    </row>
    <row r="876" spans="1:9" x14ac:dyDescent="0.25">
      <c r="A876">
        <v>875</v>
      </c>
      <c r="B876" t="str">
        <f>IF(ISERROR(VLOOKUP(E876,Nombres!A:D,2,FALSE)),"PROBLEMAAAAAA",VLOOKUP(E876,Nombres!A:D,2,FALSE))</f>
        <v>Akhomach</v>
      </c>
      <c r="C876" t="str">
        <f>IF(ISERROR(VLOOKUP(E876,Nombres!A:D,4,FALSE)),"PROBLEMAAAAAA",VLOOKUP(E876,Nombres!A:D,4,FALSE))</f>
        <v>DEL</v>
      </c>
      <c r="D876" t="str">
        <f>IF(ISERROR(VLOOKUP(E876,Nombres!A:D,3,FALSE)),"PROBLEMAAAAAA",VLOOKUP(E876,Nombres!A:D,3,FALSE))</f>
        <v>Villarreal</v>
      </c>
      <c r="E876" t="s">
        <v>433</v>
      </c>
      <c r="F876" s="1">
        <v>45949</v>
      </c>
      <c r="G876" t="s">
        <v>31</v>
      </c>
      <c r="H876" t="s">
        <v>13</v>
      </c>
      <c r="I876" s="2">
        <v>742930</v>
      </c>
    </row>
    <row r="877" spans="1:9" x14ac:dyDescent="0.25">
      <c r="A877">
        <v>876</v>
      </c>
      <c r="B877" t="str">
        <f>IF(ISERROR(VLOOKUP(E877,Nombres!A:D,2,FALSE)),"PROBLEMAAAAAA",VLOOKUP(E877,Nombres!A:D,2,FALSE))</f>
        <v>Pépé</v>
      </c>
      <c r="C877" t="str">
        <f>IF(ISERROR(VLOOKUP(E877,Nombres!A:D,4,FALSE)),"PROBLEMAAAAAA",VLOOKUP(E877,Nombres!A:D,4,FALSE))</f>
        <v>DEL</v>
      </c>
      <c r="D877" t="str">
        <f>IF(ISERROR(VLOOKUP(E877,Nombres!A:D,3,FALSE)),"PROBLEMAAAAAA",VLOOKUP(E877,Nombres!A:D,3,FALSE))</f>
        <v>Villarreal</v>
      </c>
      <c r="E877" t="s">
        <v>105</v>
      </c>
      <c r="F877" s="1">
        <v>45950</v>
      </c>
      <c r="G877" t="s">
        <v>31</v>
      </c>
      <c r="H877" t="s">
        <v>6</v>
      </c>
      <c r="I877" s="2">
        <v>91241452</v>
      </c>
    </row>
    <row r="878" spans="1:9" x14ac:dyDescent="0.25">
      <c r="A878">
        <v>877</v>
      </c>
      <c r="B878" t="str">
        <f>IF(ISERROR(VLOOKUP(E878,Nombres!A:D,2,FALSE)),"PROBLEMAAAAAA",VLOOKUP(E878,Nombres!A:D,2,FALSE))</f>
        <v>Starfelt</v>
      </c>
      <c r="C878" t="str">
        <f>IF(ISERROR(VLOOKUP(E878,Nombres!A:D,4,FALSE)),"PROBLEMAAAAAA",VLOOKUP(E878,Nombres!A:D,4,FALSE))</f>
        <v>DEF</v>
      </c>
      <c r="D878" t="str">
        <f>IF(ISERROR(VLOOKUP(E878,Nombres!A:D,3,FALSE)),"PROBLEMAAAAAA",VLOOKUP(E878,Nombres!A:D,3,FALSE))</f>
        <v>Celta</v>
      </c>
      <c r="E878" t="s">
        <v>53</v>
      </c>
      <c r="F878" s="1">
        <v>45950</v>
      </c>
      <c r="G878" t="s">
        <v>31</v>
      </c>
      <c r="H878" t="s">
        <v>13</v>
      </c>
      <c r="I878" s="2">
        <v>1087433</v>
      </c>
    </row>
    <row r="879" spans="1:9" x14ac:dyDescent="0.25">
      <c r="A879">
        <v>878</v>
      </c>
      <c r="B879" t="str">
        <f>IF(ISERROR(VLOOKUP(E879,Nombres!A:D,2,FALSE)),"PROBLEMAAAAAA",VLOOKUP(E879,Nombres!A:D,2,FALSE))</f>
        <v>Bretones</v>
      </c>
      <c r="C879" t="str">
        <f>IF(ISERROR(VLOOKUP(E879,Nombres!A:D,4,FALSE)),"PROBLEMAAAAAA",VLOOKUP(E879,Nombres!A:D,4,FALSE))</f>
        <v>DEF</v>
      </c>
      <c r="D879" t="str">
        <f>IF(ISERROR(VLOOKUP(E879,Nombres!A:D,3,FALSE)),"PROBLEMAAAAAA",VLOOKUP(E879,Nombres!A:D,3,FALSE))</f>
        <v>Osasuna</v>
      </c>
      <c r="E879" t="s">
        <v>67</v>
      </c>
      <c r="F879" s="1">
        <v>45951</v>
      </c>
      <c r="G879" t="s">
        <v>10</v>
      </c>
      <c r="H879" t="s">
        <v>768</v>
      </c>
      <c r="I879" s="2">
        <v>3373737</v>
      </c>
    </row>
    <row r="880" spans="1:9" x14ac:dyDescent="0.25">
      <c r="A880">
        <v>879</v>
      </c>
      <c r="B880" t="str">
        <f>IF(ISERROR(VLOOKUP(E880,Nombres!A:D,2,FALSE)),"PROBLEMAAAAAA",VLOOKUP(E880,Nombres!A:D,2,FALSE))</f>
        <v>Víctor Muñoz</v>
      </c>
      <c r="C880" t="str">
        <f>IF(ISERROR(VLOOKUP(E880,Nombres!A:D,4,FALSE)),"PROBLEMAAAAAA",VLOOKUP(E880,Nombres!A:D,4,FALSE))</f>
        <v>DEL</v>
      </c>
      <c r="D880" t="str">
        <f>IF(ISERROR(VLOOKUP(E880,Nombres!A:D,3,FALSE)),"PROBLEMAAAAAA",VLOOKUP(E880,Nombres!A:D,3,FALSE))</f>
        <v>Osasuna</v>
      </c>
      <c r="E880" t="s">
        <v>270</v>
      </c>
      <c r="F880" s="1">
        <v>45951</v>
      </c>
      <c r="G880" t="s">
        <v>13</v>
      </c>
      <c r="H880" t="s">
        <v>11</v>
      </c>
      <c r="I880" s="2">
        <v>13159467</v>
      </c>
    </row>
    <row r="881" spans="1:9" x14ac:dyDescent="0.25">
      <c r="A881">
        <v>880</v>
      </c>
      <c r="B881" t="str">
        <f>IF(ISERROR(VLOOKUP(E881,Nombres!A:D,2,FALSE)),"PROBLEMAAAAAA",VLOOKUP(E881,Nombres!A:D,2,FALSE))</f>
        <v>Gudelj</v>
      </c>
      <c r="C881" t="str">
        <f>IF(ISERROR(VLOOKUP(E881,Nombres!A:D,4,FALSE)),"PROBLEMAAAAAA",VLOOKUP(E881,Nombres!A:D,4,FALSE))</f>
        <v>MED</v>
      </c>
      <c r="D881" t="str">
        <f>IF(ISERROR(VLOOKUP(E881,Nombres!A:D,3,FALSE)),"PROBLEMAAAAAA",VLOOKUP(E881,Nombres!A:D,3,FALSE))</f>
        <v>Sevilla</v>
      </c>
      <c r="E881" t="s">
        <v>52</v>
      </c>
      <c r="F881" s="1">
        <v>45951</v>
      </c>
      <c r="G881" t="s">
        <v>10</v>
      </c>
      <c r="H881" t="s">
        <v>31</v>
      </c>
      <c r="I881" s="2">
        <v>1796111</v>
      </c>
    </row>
    <row r="882" spans="1:9" x14ac:dyDescent="0.25">
      <c r="A882">
        <v>881</v>
      </c>
      <c r="B882" t="str">
        <f>IF(ISERROR(VLOOKUP(E882,Nombres!A:D,2,FALSE)),"PROBLEMAAAAAA",VLOOKUP(E882,Nombres!A:D,2,FALSE))</f>
        <v>Almada</v>
      </c>
      <c r="C882" t="str">
        <f>IF(ISERROR(VLOOKUP(E882,Nombres!A:D,4,FALSE)),"PROBLEMAAAAAA",VLOOKUP(E882,Nombres!A:D,4,FALSE))</f>
        <v>MED</v>
      </c>
      <c r="D882" t="str">
        <f>IF(ISERROR(VLOOKUP(E882,Nombres!A:D,3,FALSE)),"PROBLEMAAAAAA",VLOOKUP(E882,Nombres!A:D,3,FALSE))</f>
        <v>Atlético</v>
      </c>
      <c r="E882" t="s">
        <v>110</v>
      </c>
      <c r="F882" s="1">
        <v>45951</v>
      </c>
      <c r="G882" t="s">
        <v>11</v>
      </c>
      <c r="H882" t="s">
        <v>31</v>
      </c>
      <c r="I882" s="2">
        <v>20000000</v>
      </c>
    </row>
    <row r="883" spans="1:9" x14ac:dyDescent="0.25">
      <c r="A883">
        <v>882</v>
      </c>
      <c r="B883" t="str">
        <f>IF(ISERROR(VLOOKUP(E883,Nombres!A:D,2,FALSE)),"PROBLEMAAAAAA",VLOOKUP(E883,Nombres!A:D,2,FALSE))</f>
        <v>Cardoso</v>
      </c>
      <c r="C883" t="str">
        <f>IF(ISERROR(VLOOKUP(E883,Nombres!A:D,4,FALSE)),"PROBLEMAAAAAA",VLOOKUP(E883,Nombres!A:D,4,FALSE))</f>
        <v>DEF</v>
      </c>
      <c r="D883" t="str">
        <f>IF(ISERROR(VLOOKUP(E883,Nombres!A:D,3,FALSE)),"PROBLEMAAAAAA",VLOOKUP(E883,Nombres!A:D,3,FALSE))</f>
        <v>Sevilla</v>
      </c>
      <c r="E883" t="s">
        <v>401</v>
      </c>
      <c r="F883" s="1">
        <v>45951</v>
      </c>
      <c r="G883" t="s">
        <v>31</v>
      </c>
      <c r="H883" t="s">
        <v>13</v>
      </c>
      <c r="I883" s="2">
        <v>1154520</v>
      </c>
    </row>
    <row r="884" spans="1:9" x14ac:dyDescent="0.25">
      <c r="A884">
        <v>883</v>
      </c>
      <c r="B884" t="str">
        <f>IF(ISERROR(VLOOKUP(E884,Nombres!A:D,2,FALSE)),"PROBLEMAAAAAA",VLOOKUP(E884,Nombres!A:D,2,FALSE))</f>
        <v>Javi Guerra</v>
      </c>
      <c r="C884" t="str">
        <f>IF(ISERROR(VLOOKUP(E884,Nombres!A:D,4,FALSE)),"PROBLEMAAAAAA",VLOOKUP(E884,Nombres!A:D,4,FALSE))</f>
        <v>MED</v>
      </c>
      <c r="D884" t="str">
        <f>IF(ISERROR(VLOOKUP(E884,Nombres!A:D,3,FALSE)),"PROBLEMAAAAAA",VLOOKUP(E884,Nombres!A:D,3,FALSE))</f>
        <v>Valencia</v>
      </c>
      <c r="E884" t="s">
        <v>104</v>
      </c>
      <c r="F884" s="1">
        <v>45952</v>
      </c>
      <c r="G884" t="s">
        <v>31</v>
      </c>
      <c r="H884" t="s">
        <v>11</v>
      </c>
      <c r="I884" s="2">
        <v>18037449</v>
      </c>
    </row>
    <row r="885" spans="1:9" x14ac:dyDescent="0.25">
      <c r="A885">
        <v>884</v>
      </c>
      <c r="B885" t="str">
        <f>IF(ISERROR(VLOOKUP(E885,Nombres!A:D,2,FALSE)),"PROBLEMAAAAAA",VLOOKUP(E885,Nombres!A:D,2,FALSE))</f>
        <v>P. Gueye</v>
      </c>
      <c r="C885" t="str">
        <f>IF(ISERROR(VLOOKUP(E885,Nombres!A:D,4,FALSE)),"PROBLEMAAAAAA",VLOOKUP(E885,Nombres!A:D,4,FALSE))</f>
        <v>MED</v>
      </c>
      <c r="D885" t="str">
        <f>IF(ISERROR(VLOOKUP(E885,Nombres!A:D,3,FALSE)),"PROBLEMAAAAAA",VLOOKUP(E885,Nombres!A:D,3,FALSE))</f>
        <v>Villarreal</v>
      </c>
      <c r="E885" t="s">
        <v>45</v>
      </c>
      <c r="F885" s="1">
        <v>45952</v>
      </c>
      <c r="G885" t="s">
        <v>31</v>
      </c>
      <c r="H885" t="s">
        <v>13</v>
      </c>
      <c r="I885" s="2">
        <v>60499808</v>
      </c>
    </row>
    <row r="886" spans="1:9" x14ac:dyDescent="0.25">
      <c r="A886">
        <v>885</v>
      </c>
      <c r="B886" t="str">
        <f>IF(ISERROR(VLOOKUP(E886,Nombres!A:D,2,FALSE)),"PROBLEMAAAAAA",VLOOKUP(E886,Nombres!A:D,2,FALSE))</f>
        <v>Witsel</v>
      </c>
      <c r="C886" t="str">
        <f>IF(ISERROR(VLOOKUP(E886,Nombres!A:D,4,FALSE)),"PROBLEMAAAAAA",VLOOKUP(E886,Nombres!A:D,4,FALSE))</f>
        <v>MED</v>
      </c>
      <c r="D886" t="str">
        <f>IF(ISERROR(VLOOKUP(E886,Nombres!A:D,3,FALSE)),"PROBLEMAAAAAA",VLOOKUP(E886,Nombres!A:D,3,FALSE))</f>
        <v>Girona</v>
      </c>
      <c r="E886" t="s">
        <v>750</v>
      </c>
      <c r="F886" s="1">
        <v>45952</v>
      </c>
      <c r="G886" t="s">
        <v>6</v>
      </c>
      <c r="H886" t="s">
        <v>31</v>
      </c>
      <c r="I886" s="2">
        <v>5217424</v>
      </c>
    </row>
    <row r="887" spans="1:9" x14ac:dyDescent="0.25">
      <c r="A887">
        <v>886</v>
      </c>
      <c r="B887" t="str">
        <f>IF(ISERROR(VLOOKUP(E887,Nombres!A:D,2,FALSE)),"PROBLEMAAAAAA",VLOOKUP(E887,Nombres!A:D,2,FALSE))</f>
        <v>Aarón</v>
      </c>
      <c r="C887" t="str">
        <f>IF(ISERROR(VLOOKUP(E887,Nombres!A:D,4,FALSE)),"PROBLEMAAAAAA",VLOOKUP(E887,Nombres!A:D,4,FALSE))</f>
        <v>POR</v>
      </c>
      <c r="D887" t="str">
        <f>IF(ISERROR(VLOOKUP(E887,Nombres!A:D,3,FALSE)),"PROBLEMAAAAAA",VLOOKUP(E887,Nombres!A:D,3,FALSE))</f>
        <v>Real Oviedo</v>
      </c>
      <c r="E887" t="s">
        <v>429</v>
      </c>
      <c r="F887" s="1">
        <v>45952</v>
      </c>
      <c r="G887" t="s">
        <v>13</v>
      </c>
      <c r="H887" t="s">
        <v>10</v>
      </c>
      <c r="I887" s="2">
        <v>34874548</v>
      </c>
    </row>
    <row r="888" spans="1:9" x14ac:dyDescent="0.25">
      <c r="A888">
        <v>887</v>
      </c>
      <c r="B888" t="str">
        <f>IF(ISERROR(VLOOKUP(E888,Nombres!A:D,2,FALSE)),"PROBLEMAAAAAA",VLOOKUP(E888,Nombres!A:D,2,FALSE))</f>
        <v>Radu</v>
      </c>
      <c r="C888" t="str">
        <f>IF(ISERROR(VLOOKUP(E888,Nombres!A:D,4,FALSE)),"PROBLEMAAAAAA",VLOOKUP(E888,Nombres!A:D,4,FALSE))</f>
        <v>POR</v>
      </c>
      <c r="D888" t="str">
        <f>IF(ISERROR(VLOOKUP(E888,Nombres!A:D,3,FALSE)),"PROBLEMAAAAAA",VLOOKUP(E888,Nombres!A:D,3,FALSE))</f>
        <v>Celta</v>
      </c>
      <c r="E888" t="s">
        <v>438</v>
      </c>
      <c r="F888" s="1">
        <v>45952</v>
      </c>
      <c r="G888" t="s">
        <v>10</v>
      </c>
      <c r="H888" t="s">
        <v>8</v>
      </c>
      <c r="I888" s="2">
        <v>12668085</v>
      </c>
    </row>
    <row r="889" spans="1:9" x14ac:dyDescent="0.25">
      <c r="A889">
        <v>888</v>
      </c>
      <c r="B889" t="str">
        <f>IF(ISERROR(VLOOKUP(E889,Nombres!A:D,2,FALSE)),"PROBLEMAAAAAA",VLOOKUP(E889,Nombres!A:D,2,FALSE))</f>
        <v>Rioja</v>
      </c>
      <c r="C889" t="str">
        <f>IF(ISERROR(VLOOKUP(E889,Nombres!A:D,4,FALSE)),"PROBLEMAAAAAA",VLOOKUP(E889,Nombres!A:D,4,FALSE))</f>
        <v>MED</v>
      </c>
      <c r="D889" t="str">
        <f>IF(ISERROR(VLOOKUP(E889,Nombres!A:D,3,FALSE)),"PROBLEMAAAAAA",VLOOKUP(E889,Nombres!A:D,3,FALSE))</f>
        <v>Valencia</v>
      </c>
      <c r="E889" t="s">
        <v>101</v>
      </c>
      <c r="F889" s="1">
        <v>45952</v>
      </c>
      <c r="G889" t="s">
        <v>31</v>
      </c>
      <c r="H889" t="s">
        <v>12</v>
      </c>
      <c r="I889" s="2">
        <v>27230877</v>
      </c>
    </row>
    <row r="890" spans="1:9" x14ac:dyDescent="0.25">
      <c r="A890">
        <v>889</v>
      </c>
      <c r="B890" t="str">
        <f>IF(ISERROR(VLOOKUP(E890,Nombres!A:D,2,FALSE)),"PROBLEMAAAAAA",VLOOKUP(E890,Nombres!A:D,2,FALSE))</f>
        <v>Gayà</v>
      </c>
      <c r="C890" t="str">
        <f>IF(ISERROR(VLOOKUP(E890,Nombres!A:D,4,FALSE)),"PROBLEMAAAAAA",VLOOKUP(E890,Nombres!A:D,4,FALSE))</f>
        <v>DEF</v>
      </c>
      <c r="D890" t="str">
        <f>IF(ISERROR(VLOOKUP(E890,Nombres!A:D,3,FALSE)),"PROBLEMAAAAAA",VLOOKUP(E890,Nombres!A:D,3,FALSE))</f>
        <v>Valencia</v>
      </c>
      <c r="E890" t="s">
        <v>180</v>
      </c>
      <c r="F890" s="1">
        <v>45952</v>
      </c>
      <c r="G890" t="s">
        <v>31</v>
      </c>
      <c r="H890" t="s">
        <v>12</v>
      </c>
      <c r="I890" s="2">
        <v>3502250</v>
      </c>
    </row>
    <row r="891" spans="1:9" x14ac:dyDescent="0.25">
      <c r="A891">
        <v>890</v>
      </c>
      <c r="B891" t="str">
        <f>IF(ISERROR(VLOOKUP(E891,Nombres!A:D,2,FALSE)),"PROBLEMAAAAAA",VLOOKUP(E891,Nombres!A:D,2,FALSE))</f>
        <v>Gorrotxategi</v>
      </c>
      <c r="C891" t="str">
        <f>IF(ISERROR(VLOOKUP(E891,Nombres!A:D,4,FALSE)),"PROBLEMAAAAAA",VLOOKUP(E891,Nombres!A:D,4,FALSE))</f>
        <v>MED</v>
      </c>
      <c r="D891" t="str">
        <f>IF(ISERROR(VLOOKUP(E891,Nombres!A:D,3,FALSE)),"PROBLEMAAAAAA",VLOOKUP(E891,Nombres!A:D,3,FALSE))</f>
        <v>Real Sociedad</v>
      </c>
      <c r="E891" t="s">
        <v>772</v>
      </c>
      <c r="F891" s="1">
        <v>45952</v>
      </c>
      <c r="G891" t="s">
        <v>13</v>
      </c>
      <c r="H891" t="s">
        <v>12</v>
      </c>
      <c r="I891" s="2">
        <v>6100101</v>
      </c>
    </row>
    <row r="892" spans="1:9" x14ac:dyDescent="0.25">
      <c r="A892">
        <v>891</v>
      </c>
      <c r="B892" t="str">
        <f>IF(ISERROR(VLOOKUP(E892,Nombres!A:D,2,FALSE)),"PROBLEMAAAAAA",VLOOKUP(E892,Nombres!A:D,2,FALSE))</f>
        <v>Mayoral</v>
      </c>
      <c r="C892" t="str">
        <f>IF(ISERROR(VLOOKUP(E892,Nombres!A:D,4,FALSE)),"PROBLEMAAAAAA",VLOOKUP(E892,Nombres!A:D,4,FALSE))</f>
        <v>DEL</v>
      </c>
      <c r="D892" t="str">
        <f>IF(ISERROR(VLOOKUP(E892,Nombres!A:D,3,FALSE)),"PROBLEMAAAAAA",VLOOKUP(E892,Nombres!A:D,3,FALSE))</f>
        <v>Getafe</v>
      </c>
      <c r="E892" t="s">
        <v>178</v>
      </c>
      <c r="F892" s="1">
        <v>45952</v>
      </c>
      <c r="G892" t="s">
        <v>31</v>
      </c>
      <c r="H892" t="s">
        <v>13</v>
      </c>
      <c r="I892" s="2">
        <v>6494883</v>
      </c>
    </row>
    <row r="893" spans="1:9" x14ac:dyDescent="0.25">
      <c r="A893">
        <v>892</v>
      </c>
      <c r="B893" t="str">
        <f>IF(ISERROR(VLOOKUP(E893,Nombres!A:D,2,FALSE)),"PROBLEMAAAAAA",VLOOKUP(E893,Nombres!A:D,2,FALSE))</f>
        <v>Samú</v>
      </c>
      <c r="C893" t="str">
        <f>IF(ISERROR(VLOOKUP(E893,Nombres!A:D,4,FALSE)),"PROBLEMAAAAAA",VLOOKUP(E893,Nombres!A:D,4,FALSE))</f>
        <v>MED</v>
      </c>
      <c r="D893" t="str">
        <f>IF(ISERROR(VLOOKUP(E893,Nombres!A:D,3,FALSE)),"PROBLEMAAAAAA",VLOOKUP(E893,Nombres!A:D,3,FALSE))</f>
        <v>Mallorca</v>
      </c>
      <c r="E893" t="s">
        <v>761</v>
      </c>
      <c r="F893" s="1">
        <v>45952</v>
      </c>
      <c r="G893" t="s">
        <v>12</v>
      </c>
      <c r="H893" t="s">
        <v>10</v>
      </c>
      <c r="I893" s="2">
        <v>7874521</v>
      </c>
    </row>
    <row r="894" spans="1:9" x14ac:dyDescent="0.25">
      <c r="A894">
        <v>893</v>
      </c>
      <c r="B894" t="str">
        <f>IF(ISERROR(VLOOKUP(E894,Nombres!A:D,2,FALSE)),"PROBLEMAAAAAA",VLOOKUP(E894,Nombres!A:D,2,FALSE))</f>
        <v>Pere Milla</v>
      </c>
      <c r="C894" t="str">
        <f>IF(ISERROR(VLOOKUP(E894,Nombres!A:D,4,FALSE)),"PROBLEMAAAAAA",VLOOKUP(E894,Nombres!A:D,4,FALSE))</f>
        <v>DEL</v>
      </c>
      <c r="D894" t="str">
        <f>IF(ISERROR(VLOOKUP(E894,Nombres!A:D,3,FALSE)),"PROBLEMAAAAAA",VLOOKUP(E894,Nombres!A:D,3,FALSE))</f>
        <v>Espanyol</v>
      </c>
      <c r="E894" t="s">
        <v>426</v>
      </c>
      <c r="F894" s="1">
        <v>45952</v>
      </c>
      <c r="G894" t="s">
        <v>12</v>
      </c>
      <c r="H894" t="s">
        <v>13</v>
      </c>
      <c r="I894" s="2">
        <v>18009683</v>
      </c>
    </row>
    <row r="895" spans="1:9" x14ac:dyDescent="0.25">
      <c r="A895">
        <v>894</v>
      </c>
      <c r="B895" t="str">
        <f>IF(ISERROR(VLOOKUP(E895,Nombres!A:D,2,FALSE)),"PROBLEMAAAAAA",VLOOKUP(E895,Nombres!A:D,2,FALSE))</f>
        <v>Moleiro</v>
      </c>
      <c r="C895" t="str">
        <f>IF(ISERROR(VLOOKUP(E895,Nombres!A:D,4,FALSE)),"PROBLEMAAAAAA",VLOOKUP(E895,Nombres!A:D,4,FALSE))</f>
        <v>MED</v>
      </c>
      <c r="D895" t="str">
        <f>IF(ISERROR(VLOOKUP(E895,Nombres!A:D,3,FALSE)),"PROBLEMAAAAAA",VLOOKUP(E895,Nombres!A:D,3,FALSE))</f>
        <v>Villarreal</v>
      </c>
      <c r="E895" t="s">
        <v>111</v>
      </c>
      <c r="F895" s="1">
        <v>45952</v>
      </c>
      <c r="G895" t="s">
        <v>13</v>
      </c>
      <c r="H895" t="s">
        <v>9</v>
      </c>
      <c r="I895" s="2">
        <v>24794268</v>
      </c>
    </row>
    <row r="896" spans="1:9" x14ac:dyDescent="0.25">
      <c r="A896">
        <v>895</v>
      </c>
      <c r="B896" t="str">
        <f>IF(ISERROR(VLOOKUP(E896,Nombres!A:D,2,FALSE)),"PROBLEMAAAAAA",VLOOKUP(E896,Nombres!A:D,2,FALSE))</f>
        <v>Unai López</v>
      </c>
      <c r="C896" t="str">
        <f>IF(ISERROR(VLOOKUP(E896,Nombres!A:D,4,FALSE)),"PROBLEMAAAAAA",VLOOKUP(E896,Nombres!A:D,4,FALSE))</f>
        <v>MED</v>
      </c>
      <c r="D896" t="str">
        <f>IF(ISERROR(VLOOKUP(E896,Nombres!A:D,3,FALSE)),"PROBLEMAAAAAA",VLOOKUP(E896,Nombres!A:D,3,FALSE))</f>
        <v>Rayo</v>
      </c>
      <c r="E896" t="s">
        <v>769</v>
      </c>
      <c r="F896" s="1">
        <v>45952</v>
      </c>
      <c r="G896" t="s">
        <v>9</v>
      </c>
      <c r="H896" t="s">
        <v>10</v>
      </c>
      <c r="I896" s="2">
        <v>8785214</v>
      </c>
    </row>
    <row r="897" spans="1:9" x14ac:dyDescent="0.25">
      <c r="A897">
        <v>896</v>
      </c>
      <c r="B897" t="str">
        <f>IF(ISERROR(VLOOKUP(E897,Nombres!A:D,2,FALSE)),"PROBLEMAAAAAA",VLOOKUP(E897,Nombres!A:D,2,FALSE))</f>
        <v>Pedro Díaz</v>
      </c>
      <c r="C897" t="str">
        <f>IF(ISERROR(VLOOKUP(E897,Nombres!A:D,4,FALSE)),"PROBLEMAAAAAA",VLOOKUP(E897,Nombres!A:D,4,FALSE))</f>
        <v>MED</v>
      </c>
      <c r="D897" t="str">
        <f>IF(ISERROR(VLOOKUP(E897,Nombres!A:D,3,FALSE)),"PROBLEMAAAAAA",VLOOKUP(E897,Nombres!A:D,3,FALSE))</f>
        <v>Rayo</v>
      </c>
      <c r="E897" t="s">
        <v>248</v>
      </c>
      <c r="F897" s="1">
        <v>45952</v>
      </c>
      <c r="G897" t="s">
        <v>9</v>
      </c>
      <c r="H897" t="s">
        <v>11</v>
      </c>
      <c r="I897" s="2">
        <v>3201101</v>
      </c>
    </row>
    <row r="898" spans="1:9" x14ac:dyDescent="0.25">
      <c r="A898">
        <v>897</v>
      </c>
      <c r="B898" t="str">
        <f>IF(ISERROR(VLOOKUP(E898,Nombres!A:D,2,FALSE)),"PROBLEMAAAAAA",VLOOKUP(E898,Nombres!A:D,2,FALSE))</f>
        <v>Durán</v>
      </c>
      <c r="C898" t="str">
        <f>IF(ISERROR(VLOOKUP(E898,Nombres!A:D,4,FALSE)),"PROBLEMAAAAAA",VLOOKUP(E898,Nombres!A:D,4,FALSE))</f>
        <v>DEL</v>
      </c>
      <c r="D898" t="str">
        <f>IF(ISERROR(VLOOKUP(E898,Nombres!A:D,3,FALSE)),"PROBLEMAAAAAA",VLOOKUP(E898,Nombres!A:D,3,FALSE))</f>
        <v>Celta</v>
      </c>
      <c r="E898" t="s">
        <v>51</v>
      </c>
      <c r="F898" s="1">
        <v>45952</v>
      </c>
      <c r="G898" t="s">
        <v>9</v>
      </c>
      <c r="H898" t="s">
        <v>7</v>
      </c>
      <c r="I898" s="2">
        <v>1600000</v>
      </c>
    </row>
    <row r="899" spans="1:9" x14ac:dyDescent="0.25">
      <c r="A899">
        <v>898</v>
      </c>
      <c r="B899" t="str">
        <f>IF(ISERROR(VLOOKUP(E899,Nombres!A:D,2,FALSE)),"PROBLEMAAAAAA",VLOOKUP(E899,Nombres!A:D,2,FALSE))</f>
        <v>Juan Cruz</v>
      </c>
      <c r="C899" t="str">
        <f>IF(ISERROR(VLOOKUP(E899,Nombres!A:D,4,FALSE)),"PROBLEMAAAAAA",VLOOKUP(E899,Nombres!A:D,4,FALSE))</f>
        <v>DEF</v>
      </c>
      <c r="D899" t="str">
        <f>IF(ISERROR(VLOOKUP(E899,Nombres!A:D,3,FALSE)),"PROBLEMAAAAAA",VLOOKUP(E899,Nombres!A:D,3,FALSE))</f>
        <v>Osasuna</v>
      </c>
      <c r="E899" t="s">
        <v>262</v>
      </c>
      <c r="F899" s="1">
        <v>45952</v>
      </c>
      <c r="G899" t="s">
        <v>31</v>
      </c>
      <c r="H899" t="s">
        <v>7</v>
      </c>
      <c r="I899" s="2">
        <v>2243833</v>
      </c>
    </row>
    <row r="900" spans="1:9" x14ac:dyDescent="0.25">
      <c r="A900">
        <v>899</v>
      </c>
      <c r="B900" t="str">
        <f>IF(ISERROR(VLOOKUP(E900,Nombres!A:D,2,FALSE)),"PROBLEMAAAAAA",VLOOKUP(E900,Nombres!A:D,2,FALSE))</f>
        <v>Valjent</v>
      </c>
      <c r="C900" t="str">
        <f>IF(ISERROR(VLOOKUP(E900,Nombres!A:D,4,FALSE)),"PROBLEMAAAAAA",VLOOKUP(E900,Nombres!A:D,4,FALSE))</f>
        <v>DEF</v>
      </c>
      <c r="D900" t="str">
        <f>IF(ISERROR(VLOOKUP(E900,Nombres!A:D,3,FALSE)),"PROBLEMAAAAAA",VLOOKUP(E900,Nombres!A:D,3,FALSE))</f>
        <v>Mallorca</v>
      </c>
      <c r="E900" t="s">
        <v>197</v>
      </c>
      <c r="F900" s="1">
        <v>45952</v>
      </c>
      <c r="G900" t="s">
        <v>7</v>
      </c>
      <c r="H900" t="s">
        <v>11</v>
      </c>
      <c r="I900" s="2">
        <v>7108000</v>
      </c>
    </row>
    <row r="901" spans="1:9" x14ac:dyDescent="0.25">
      <c r="A901">
        <v>900</v>
      </c>
      <c r="B901" t="str">
        <f>IF(ISERROR(VLOOKUP(E901,Nombres!A:D,2,FALSE)),"PROBLEMAAAAAA",VLOOKUP(E901,Nombres!A:D,2,FALSE))</f>
        <v>Hancko</v>
      </c>
      <c r="C901" t="str">
        <f>IF(ISERROR(VLOOKUP(E901,Nombres!A:D,4,FALSE)),"PROBLEMAAAAAA",VLOOKUP(E901,Nombres!A:D,4,FALSE))</f>
        <v>DEF</v>
      </c>
      <c r="D901" t="str">
        <f>IF(ISERROR(VLOOKUP(E901,Nombres!A:D,3,FALSE)),"PROBLEMAAAAAA",VLOOKUP(E901,Nombres!A:D,3,FALSE))</f>
        <v>Atlético</v>
      </c>
      <c r="E901" t="s">
        <v>107</v>
      </c>
      <c r="F901" s="1">
        <v>45952</v>
      </c>
      <c r="G901" t="s">
        <v>7</v>
      </c>
      <c r="H901" t="s">
        <v>11</v>
      </c>
      <c r="I901" s="2">
        <v>20000000</v>
      </c>
    </row>
    <row r="902" spans="1:9" x14ac:dyDescent="0.25">
      <c r="A902">
        <v>901</v>
      </c>
      <c r="B902" t="str">
        <f>IF(ISERROR(VLOOKUP(E902,Nombres!A:D,2,FALSE)),"PROBLEMAAAAAA",VLOOKUP(E902,Nombres!A:D,2,FALSE))</f>
        <v>Riedel</v>
      </c>
      <c r="C902" t="str">
        <f>IF(ISERROR(VLOOKUP(E902,Nombres!A:D,4,FALSE)),"PROBLEMAAAAAA",VLOOKUP(E902,Nombres!A:D,4,FALSE))</f>
        <v>DEF</v>
      </c>
      <c r="D902" t="str">
        <f>IF(ISERROR(VLOOKUP(E902,Nombres!A:D,3,FALSE)),"PROBLEMAAAAAA",VLOOKUP(E902,Nombres!A:D,3,FALSE))</f>
        <v>Espanyol</v>
      </c>
      <c r="E902" t="s">
        <v>698</v>
      </c>
      <c r="F902" s="1">
        <v>45952</v>
      </c>
      <c r="G902" t="s">
        <v>11</v>
      </c>
      <c r="H902" t="s">
        <v>10</v>
      </c>
      <c r="I902" s="2">
        <v>18745874</v>
      </c>
    </row>
    <row r="903" spans="1:9" x14ac:dyDescent="0.25">
      <c r="A903">
        <v>902</v>
      </c>
      <c r="B903" t="str">
        <f>IF(ISERROR(VLOOKUP(E903,Nombres!A:D,2,FALSE)),"PROBLEMAAAAAA",VLOOKUP(E903,Nombres!A:D,2,FALSE))</f>
        <v>Tenaglia</v>
      </c>
      <c r="C903" t="str">
        <f>IF(ISERROR(VLOOKUP(E903,Nombres!A:D,4,FALSE)),"PROBLEMAAAAAA",VLOOKUP(E903,Nombres!A:D,4,FALSE))</f>
        <v>DEF</v>
      </c>
      <c r="D903" t="str">
        <f>IF(ISERROR(VLOOKUP(E903,Nombres!A:D,3,FALSE)),"PROBLEMAAAAAA",VLOOKUP(E903,Nombres!A:D,3,FALSE))</f>
        <v>Alavés</v>
      </c>
      <c r="E903" t="s">
        <v>288</v>
      </c>
      <c r="F903" s="1">
        <v>45952</v>
      </c>
      <c r="G903" t="s">
        <v>10</v>
      </c>
      <c r="H903" t="s">
        <v>13</v>
      </c>
      <c r="I903" s="2">
        <v>30480521</v>
      </c>
    </row>
    <row r="904" spans="1:9" x14ac:dyDescent="0.25">
      <c r="A904">
        <v>903</v>
      </c>
      <c r="B904" t="str">
        <f>IF(ISERROR(VLOOKUP(E904,Nombres!A:D,2,FALSE)),"PROBLEMAAAAAA",VLOOKUP(E904,Nombres!A:D,2,FALSE))</f>
        <v>Maffeo</v>
      </c>
      <c r="C904" t="str">
        <f>IF(ISERROR(VLOOKUP(E904,Nombres!A:D,4,FALSE)),"PROBLEMAAAAAA",VLOOKUP(E904,Nombres!A:D,4,FALSE))</f>
        <v>DEF</v>
      </c>
      <c r="D904" t="str">
        <f>IF(ISERROR(VLOOKUP(E904,Nombres!A:D,3,FALSE)),"PROBLEMAAAAAA",VLOOKUP(E904,Nombres!A:D,3,FALSE))</f>
        <v>Mallorca</v>
      </c>
      <c r="E904" t="s">
        <v>364</v>
      </c>
      <c r="F904" s="1">
        <v>45952</v>
      </c>
      <c r="G904" t="s">
        <v>6</v>
      </c>
      <c r="H904" t="s">
        <v>9</v>
      </c>
      <c r="I904" s="2">
        <v>9932929</v>
      </c>
    </row>
    <row r="905" spans="1:9" x14ac:dyDescent="0.25">
      <c r="A905">
        <v>904</v>
      </c>
      <c r="B905" t="str">
        <f>IF(ISERROR(VLOOKUP(E905,Nombres!A:D,2,FALSE)),"PROBLEMAAAAAA",VLOOKUP(E905,Nombres!A:D,2,FALSE))</f>
        <v>Pep Chavarría</v>
      </c>
      <c r="C905" t="str">
        <f>IF(ISERROR(VLOOKUP(E905,Nombres!A:D,4,FALSE)),"PROBLEMAAAAAA",VLOOKUP(E905,Nombres!A:D,4,FALSE))</f>
        <v>DEF</v>
      </c>
      <c r="D905" t="str">
        <f>IF(ISERROR(VLOOKUP(E905,Nombres!A:D,3,FALSE)),"PROBLEMAAAAAA",VLOOKUP(E905,Nombres!A:D,3,FALSE))</f>
        <v>Rayo</v>
      </c>
      <c r="E905" t="s">
        <v>226</v>
      </c>
      <c r="F905" s="1">
        <v>45952</v>
      </c>
      <c r="G905" t="s">
        <v>9</v>
      </c>
      <c r="H905" t="s">
        <v>768</v>
      </c>
      <c r="I905" s="2">
        <v>14035574</v>
      </c>
    </row>
    <row r="906" spans="1:9" x14ac:dyDescent="0.25">
      <c r="A906">
        <v>905</v>
      </c>
      <c r="B906" t="str">
        <f>IF(ISERROR(VLOOKUP(E906,Nombres!A:D,2,FALSE)),"PROBLEMAAAAAA",VLOOKUP(E906,Nombres!A:D,2,FALSE))</f>
        <v>Romero</v>
      </c>
      <c r="C906" t="str">
        <f>IF(ISERROR(VLOOKUP(E906,Nombres!A:D,4,FALSE)),"PROBLEMAAAAAA",VLOOKUP(E906,Nombres!A:D,4,FALSE))</f>
        <v>DEL</v>
      </c>
      <c r="D906" t="str">
        <f>IF(ISERROR(VLOOKUP(E906,Nombres!A:D,3,FALSE)),"PROBLEMAAAAAA",VLOOKUP(E906,Nombres!A:D,3,FALSE))</f>
        <v>Sevilla</v>
      </c>
      <c r="E906" t="s">
        <v>187</v>
      </c>
      <c r="F906" s="1">
        <v>45952</v>
      </c>
      <c r="G906" t="s">
        <v>7</v>
      </c>
      <c r="H906" t="s">
        <v>12</v>
      </c>
      <c r="I906" s="2">
        <v>13987987</v>
      </c>
    </row>
    <row r="907" spans="1:9" x14ac:dyDescent="0.25">
      <c r="A907">
        <v>906</v>
      </c>
      <c r="B907" t="str">
        <f>IF(ISERROR(VLOOKUP(E907,Nombres!A:D,2,FALSE)),"PROBLEMAAAAAA",VLOOKUP(E907,Nombres!A:D,2,FALSE))</f>
        <v>Navarro</v>
      </c>
      <c r="C907" t="str">
        <f>IF(ISERROR(VLOOKUP(E907,Nombres!A:D,4,FALSE)),"PROBLEMAAAAAA",VLOOKUP(E907,Nombres!A:D,4,FALSE))</f>
        <v>MED</v>
      </c>
      <c r="D907" t="str">
        <f>IF(ISERROR(VLOOKUP(E907,Nombres!A:D,3,FALSE)),"PROBLEMAAAAAA",VLOOKUP(E907,Nombres!A:D,3,FALSE))</f>
        <v>Athletic</v>
      </c>
      <c r="E907" t="s">
        <v>230</v>
      </c>
      <c r="F907" s="1">
        <v>45953</v>
      </c>
      <c r="G907" t="s">
        <v>10</v>
      </c>
      <c r="H907" t="s">
        <v>14</v>
      </c>
      <c r="I907" s="2">
        <v>4800000</v>
      </c>
    </row>
    <row r="908" spans="1:9" x14ac:dyDescent="0.25">
      <c r="A908">
        <v>907</v>
      </c>
      <c r="B908" t="str">
        <f>IF(ISERROR(VLOOKUP(E908,Nombres!A:D,2,FALSE)),"PROBLEMAAAAAA",VLOOKUP(E908,Nombres!A:D,2,FALSE))</f>
        <v>Lozano</v>
      </c>
      <c r="C908" t="str">
        <f>IF(ISERROR(VLOOKUP(E908,Nombres!A:D,4,FALSE)),"PROBLEMAAAAAA",VLOOKUP(E908,Nombres!A:D,4,FALSE))</f>
        <v>MED</v>
      </c>
      <c r="D908" t="str">
        <f>IF(ISERROR(VLOOKUP(E908,Nombres!A:D,3,FALSE)),"PROBLEMAAAAAA",VLOOKUP(E908,Nombres!A:D,3,FALSE))</f>
        <v>Espanyol</v>
      </c>
      <c r="E908" t="s">
        <v>218</v>
      </c>
      <c r="F908" s="1">
        <v>45953</v>
      </c>
      <c r="G908" t="s">
        <v>12</v>
      </c>
      <c r="H908" t="s">
        <v>6</v>
      </c>
      <c r="I908" s="2">
        <v>10014326</v>
      </c>
    </row>
    <row r="909" spans="1:9" x14ac:dyDescent="0.25">
      <c r="A909">
        <v>908</v>
      </c>
      <c r="B909" t="str">
        <f>IF(ISERROR(VLOOKUP(E909,Nombres!A:D,2,FALSE)),"PROBLEMAAAAAA",VLOOKUP(E909,Nombres!A:D,2,FALSE))</f>
        <v>Febas</v>
      </c>
      <c r="C909" t="str">
        <f>IF(ISERROR(VLOOKUP(E909,Nombres!A:D,4,FALSE)),"PROBLEMAAAAAA",VLOOKUP(E909,Nombres!A:D,4,FALSE))</f>
        <v>MED</v>
      </c>
      <c r="D909" t="str">
        <f>IF(ISERROR(VLOOKUP(E909,Nombres!A:D,3,FALSE)),"PROBLEMAAAAAA",VLOOKUP(E909,Nombres!A:D,3,FALSE))</f>
        <v>Elche</v>
      </c>
      <c r="E909" t="s">
        <v>216</v>
      </c>
      <c r="F909" s="1">
        <v>45953</v>
      </c>
      <c r="G909" t="s">
        <v>11</v>
      </c>
      <c r="H909" t="s">
        <v>6</v>
      </c>
      <c r="I909" s="2">
        <v>23210100</v>
      </c>
    </row>
    <row r="910" spans="1:9" x14ac:dyDescent="0.25">
      <c r="A910">
        <v>909</v>
      </c>
      <c r="B910" t="str">
        <f>IF(ISERROR(VLOOKUP(E910,Nombres!A:D,2,FALSE)),"PROBLEMAAAAAA",VLOOKUP(E910,Nombres!A:D,2,FALSE))</f>
        <v>Moreno</v>
      </c>
      <c r="C910" t="str">
        <f>IF(ISERROR(VLOOKUP(E910,Nombres!A:D,4,FALSE)),"PROBLEMAAAAAA",VLOOKUP(E910,Nombres!A:D,4,FALSE))</f>
        <v>DEF</v>
      </c>
      <c r="D910" t="str">
        <f>IF(ISERROR(VLOOKUP(E910,Nombres!A:D,3,FALSE)),"PROBLEMAAAAAA",VLOOKUP(E910,Nombres!A:D,3,FALSE))</f>
        <v>Levante</v>
      </c>
      <c r="E910" t="s">
        <v>781</v>
      </c>
      <c r="F910" s="1">
        <v>45953</v>
      </c>
      <c r="G910" t="s">
        <v>12</v>
      </c>
      <c r="H910" t="s">
        <v>31</v>
      </c>
      <c r="I910" s="2">
        <v>4100010</v>
      </c>
    </row>
    <row r="911" spans="1:9" x14ac:dyDescent="0.25">
      <c r="A911">
        <v>910</v>
      </c>
      <c r="B911" t="str">
        <f>IF(ISERROR(VLOOKUP(E911,Nombres!A:D,2,FALSE)),"PROBLEMAAAAAA",VLOOKUP(E911,Nombres!A:D,2,FALSE))</f>
        <v>Balde</v>
      </c>
      <c r="C911" t="str">
        <f>IF(ISERROR(VLOOKUP(E911,Nombres!A:D,4,FALSE)),"PROBLEMAAAAAA",VLOOKUP(E911,Nombres!A:D,4,FALSE))</f>
        <v>DEF</v>
      </c>
      <c r="D911" t="str">
        <f>IF(ISERROR(VLOOKUP(E911,Nombres!A:D,3,FALSE)),"PROBLEMAAAAAA",VLOOKUP(E911,Nombres!A:D,3,FALSE))</f>
        <v>Barcelona</v>
      </c>
      <c r="E911" t="s">
        <v>224</v>
      </c>
      <c r="F911" s="1">
        <v>45953</v>
      </c>
      <c r="G911" t="s">
        <v>31</v>
      </c>
      <c r="H911" t="s">
        <v>12</v>
      </c>
      <c r="I911" s="2">
        <v>42397538</v>
      </c>
    </row>
    <row r="912" spans="1:9" x14ac:dyDescent="0.25">
      <c r="A912">
        <v>911</v>
      </c>
      <c r="B912" t="str">
        <f>IF(ISERROR(VLOOKUP(E912,Nombres!A:D,2,FALSE)),"PROBLEMAAAAAA",VLOOKUP(E912,Nombres!A:D,2,FALSE))</f>
        <v>Javi Guerra</v>
      </c>
      <c r="C912" t="str">
        <f>IF(ISERROR(VLOOKUP(E912,Nombres!A:D,4,FALSE)),"PROBLEMAAAAAA",VLOOKUP(E912,Nombres!A:D,4,FALSE))</f>
        <v>MED</v>
      </c>
      <c r="D912" t="str">
        <f>IF(ISERROR(VLOOKUP(E912,Nombres!A:D,3,FALSE)),"PROBLEMAAAAAA",VLOOKUP(E912,Nombres!A:D,3,FALSE))</f>
        <v>Valencia</v>
      </c>
      <c r="E912" t="s">
        <v>104</v>
      </c>
      <c r="F912" s="1">
        <v>45954</v>
      </c>
      <c r="G912" t="s">
        <v>12</v>
      </c>
      <c r="H912" t="s">
        <v>31</v>
      </c>
      <c r="I912" s="2">
        <v>16333241</v>
      </c>
    </row>
    <row r="913" spans="1:9" x14ac:dyDescent="0.25">
      <c r="A913">
        <v>912</v>
      </c>
      <c r="B913" t="str">
        <f>IF(ISERROR(VLOOKUP(E913,Nombres!A:D,2,FALSE)),"PROBLEMAAAAAA",VLOOKUP(E913,Nombres!A:D,2,FALSE))</f>
        <v>Ibáñez</v>
      </c>
      <c r="C913" t="str">
        <f>IF(ISERROR(VLOOKUP(E913,Nombres!A:D,4,FALSE)),"PROBLEMAAAAAA",VLOOKUP(E913,Nombres!A:D,4,FALSE))</f>
        <v>MED</v>
      </c>
      <c r="D913" t="str">
        <f>IF(ISERROR(VLOOKUP(E913,Nombres!A:D,3,FALSE)),"PROBLEMAAAAAA",VLOOKUP(E913,Nombres!A:D,3,FALSE))</f>
        <v>Alavés</v>
      </c>
      <c r="E913" t="s">
        <v>782</v>
      </c>
      <c r="F913" s="1">
        <v>45954</v>
      </c>
      <c r="G913" t="s">
        <v>13</v>
      </c>
      <c r="H913" t="s">
        <v>31</v>
      </c>
      <c r="I913" s="2">
        <v>3680000</v>
      </c>
    </row>
    <row r="914" spans="1:9" x14ac:dyDescent="0.25">
      <c r="A914">
        <v>913</v>
      </c>
      <c r="B914" t="str">
        <f>IF(ISERROR(VLOOKUP(E914,Nombres!A:D,2,FALSE)),"PROBLEMAAAAAA",VLOOKUP(E914,Nombres!A:D,2,FALSE))</f>
        <v>Guruzeta</v>
      </c>
      <c r="C914" t="str">
        <f>IF(ISERROR(VLOOKUP(E914,Nombres!A:D,4,FALSE)),"PROBLEMAAAAAA",VLOOKUP(E914,Nombres!A:D,4,FALSE))</f>
        <v>DEL</v>
      </c>
      <c r="D914" t="str">
        <f>IF(ISERROR(VLOOKUP(E914,Nombres!A:D,3,FALSE)),"PROBLEMAAAAAA",VLOOKUP(E914,Nombres!A:D,3,FALSE))</f>
        <v>Athletic</v>
      </c>
      <c r="E914" t="s">
        <v>146</v>
      </c>
      <c r="F914" s="1">
        <v>45954</v>
      </c>
      <c r="G914" t="s">
        <v>13</v>
      </c>
      <c r="H914" t="s">
        <v>31</v>
      </c>
      <c r="I914" s="2">
        <v>2659046</v>
      </c>
    </row>
    <row r="915" spans="1:9" x14ac:dyDescent="0.25">
      <c r="A915">
        <v>914</v>
      </c>
      <c r="B915" t="str">
        <f>IF(ISERROR(VLOOKUP(E915,Nombres!A:D,2,FALSE)),"PROBLEMAAAAAA",VLOOKUP(E915,Nombres!A:D,2,FALSE))</f>
        <v>Mouriño</v>
      </c>
      <c r="C915" t="str">
        <f>IF(ISERROR(VLOOKUP(E915,Nombres!A:D,4,FALSE)),"PROBLEMAAAAAA",VLOOKUP(E915,Nombres!A:D,4,FALSE))</f>
        <v>DEF</v>
      </c>
      <c r="D915" t="str">
        <f>IF(ISERROR(VLOOKUP(E915,Nombres!A:D,3,FALSE)),"PROBLEMAAAAAA",VLOOKUP(E915,Nombres!A:D,3,FALSE))</f>
        <v>Villarreal</v>
      </c>
      <c r="E915" t="s">
        <v>70</v>
      </c>
      <c r="F915" s="1">
        <v>45954</v>
      </c>
      <c r="G915" t="s">
        <v>13</v>
      </c>
      <c r="H915" t="s">
        <v>31</v>
      </c>
      <c r="I915" s="2">
        <v>19487521</v>
      </c>
    </row>
    <row r="916" spans="1:9" x14ac:dyDescent="0.25">
      <c r="A916">
        <v>915</v>
      </c>
      <c r="B916" t="str">
        <f>IF(ISERROR(VLOOKUP(E916,Nombres!A:D,2,FALSE)),"PROBLEMAAAAAA",VLOOKUP(E916,Nombres!A:D,2,FALSE))</f>
        <v>Romero</v>
      </c>
      <c r="C916" t="str">
        <f>IF(ISERROR(VLOOKUP(E916,Nombres!A:D,4,FALSE)),"PROBLEMAAAAAA",VLOOKUP(E916,Nombres!A:D,4,FALSE))</f>
        <v>DEF</v>
      </c>
      <c r="D916" t="str">
        <f>IF(ISERROR(VLOOKUP(E916,Nombres!A:D,3,FALSE)),"PROBLEMAAAAAA",VLOOKUP(E916,Nombres!A:D,3,FALSE))</f>
        <v>Espanyol</v>
      </c>
      <c r="E916" t="s">
        <v>321</v>
      </c>
      <c r="F916" s="1">
        <v>45955</v>
      </c>
      <c r="G916" t="s">
        <v>6</v>
      </c>
      <c r="H916" t="s">
        <v>7</v>
      </c>
      <c r="I916" s="2">
        <v>16000000</v>
      </c>
    </row>
    <row r="917" spans="1:9" x14ac:dyDescent="0.25">
      <c r="A917">
        <v>916</v>
      </c>
      <c r="B917" t="str">
        <f>IF(ISERROR(VLOOKUP(E917,Nombres!A:D,2,FALSE)),"PROBLEMAAAAAA",VLOOKUP(E917,Nombres!A:D,2,FALSE))</f>
        <v>Virgili</v>
      </c>
      <c r="C917" t="str">
        <f>IF(ISERROR(VLOOKUP(E917,Nombres!A:D,4,FALSE)),"PROBLEMAAAAAA",VLOOKUP(E917,Nombres!A:D,4,FALSE))</f>
        <v>DEL</v>
      </c>
      <c r="D917" t="str">
        <f>IF(ISERROR(VLOOKUP(E917,Nombres!A:D,3,FALSE)),"PROBLEMAAAAAA",VLOOKUP(E917,Nombres!A:D,3,FALSE))</f>
        <v>Mallorca</v>
      </c>
      <c r="E917" t="s">
        <v>293</v>
      </c>
      <c r="F917" s="1">
        <v>45955</v>
      </c>
      <c r="G917" t="s">
        <v>13</v>
      </c>
      <c r="H917" t="s">
        <v>31</v>
      </c>
      <c r="I917" s="2">
        <v>5340954</v>
      </c>
    </row>
    <row r="918" spans="1:9" x14ac:dyDescent="0.25">
      <c r="A918">
        <v>917</v>
      </c>
      <c r="B918" t="str">
        <f>IF(ISERROR(VLOOKUP(E918,Nombres!A:D,2,FALSE)),"PROBLEMAAAAAA",VLOOKUP(E918,Nombres!A:D,2,FALSE))</f>
        <v>Barrios</v>
      </c>
      <c r="C918" t="str">
        <f>IF(ISERROR(VLOOKUP(E918,Nombres!A:D,4,FALSE)),"PROBLEMAAAAAA",VLOOKUP(E918,Nombres!A:D,4,FALSE))</f>
        <v>MED</v>
      </c>
      <c r="D918" t="str">
        <f>IF(ISERROR(VLOOKUP(E918,Nombres!A:D,3,FALSE)),"PROBLEMAAAAAA",VLOOKUP(E918,Nombres!A:D,3,FALSE))</f>
        <v>Atlético</v>
      </c>
      <c r="E918" t="s">
        <v>225</v>
      </c>
      <c r="F918" s="1">
        <v>45955</v>
      </c>
      <c r="G918" t="s">
        <v>13</v>
      </c>
      <c r="H918" t="s">
        <v>31</v>
      </c>
      <c r="I918" s="2">
        <v>58240000</v>
      </c>
    </row>
    <row r="919" spans="1:9" x14ac:dyDescent="0.25">
      <c r="A919">
        <v>918</v>
      </c>
      <c r="B919" t="str">
        <f>IF(ISERROR(VLOOKUP(E919,Nombres!A:D,2,FALSE)),"PROBLEMAAAAAA",VLOOKUP(E919,Nombres!A:D,2,FALSE))</f>
        <v>Vitor Reis</v>
      </c>
      <c r="C919" t="str">
        <f>IF(ISERROR(VLOOKUP(E919,Nombres!A:D,4,FALSE)),"PROBLEMAAAAAA",VLOOKUP(E919,Nombres!A:D,4,FALSE))</f>
        <v>DEF</v>
      </c>
      <c r="D919" t="str">
        <f>IF(ISERROR(VLOOKUP(E919,Nombres!A:D,3,FALSE)),"PROBLEMAAAAAA",VLOOKUP(E919,Nombres!A:D,3,FALSE))</f>
        <v>Girona</v>
      </c>
      <c r="E919" t="s">
        <v>317</v>
      </c>
      <c r="F919" s="1">
        <v>45955</v>
      </c>
      <c r="G919" t="s">
        <v>9</v>
      </c>
      <c r="H919" t="s">
        <v>31</v>
      </c>
      <c r="I919" s="2">
        <v>4744716</v>
      </c>
    </row>
    <row r="920" spans="1:9" x14ac:dyDescent="0.25">
      <c r="A920">
        <v>919</v>
      </c>
      <c r="B920" t="str">
        <f>IF(ISERROR(VLOOKUP(E920,Nombres!A:D,2,FALSE)),"PROBLEMAAAAAA",VLOOKUP(E920,Nombres!A:D,2,FALSE))</f>
        <v>Agoume</v>
      </c>
      <c r="C920" t="str">
        <f>IF(ISERROR(VLOOKUP(E920,Nombres!A:D,4,FALSE)),"PROBLEMAAAAAA",VLOOKUP(E920,Nombres!A:D,4,FALSE))</f>
        <v>MED</v>
      </c>
      <c r="D920" t="str">
        <f>IF(ISERROR(VLOOKUP(E920,Nombres!A:D,3,FALSE)),"PROBLEMAAAAAA",VLOOKUP(E920,Nombres!A:D,3,FALSE))</f>
        <v>Sevilla</v>
      </c>
      <c r="E920" t="s">
        <v>68</v>
      </c>
      <c r="F920" s="1">
        <v>45955</v>
      </c>
      <c r="G920" t="s">
        <v>31</v>
      </c>
      <c r="H920" t="s">
        <v>14</v>
      </c>
      <c r="I920" s="2">
        <v>10276217</v>
      </c>
    </row>
    <row r="921" spans="1:9" x14ac:dyDescent="0.25">
      <c r="A921">
        <v>920</v>
      </c>
      <c r="B921" t="str">
        <f>IF(ISERROR(VLOOKUP(E921,Nombres!A:D,2,FALSE)),"PROBLEMAAAAAA",VLOOKUP(E921,Nombres!A:D,2,FALSE))</f>
        <v>Rueda</v>
      </c>
      <c r="C921" t="str">
        <f>IF(ISERROR(VLOOKUP(E921,Nombres!A:D,4,FALSE)),"PROBLEMAAAAAA",VLOOKUP(E921,Nombres!A:D,4,FALSE))</f>
        <v>DEF</v>
      </c>
      <c r="D921" t="str">
        <f>IF(ISERROR(VLOOKUP(E921,Nombres!A:D,3,FALSE)),"PROBLEMAAAAAA",VLOOKUP(E921,Nombres!A:D,3,FALSE))</f>
        <v>Celta</v>
      </c>
      <c r="E921" t="s">
        <v>440</v>
      </c>
      <c r="F921" s="1">
        <v>45955</v>
      </c>
      <c r="G921" t="s">
        <v>31</v>
      </c>
      <c r="H921" t="s">
        <v>14</v>
      </c>
      <c r="I921" s="2">
        <v>6767088</v>
      </c>
    </row>
    <row r="922" spans="1:9" x14ac:dyDescent="0.25">
      <c r="A922">
        <v>921</v>
      </c>
      <c r="B922" t="str">
        <f>IF(ISERROR(VLOOKUP(E922,Nombres!A:D,2,FALSE)),"PROBLEMAAAAAA",VLOOKUP(E922,Nombres!A:D,2,FALSE))</f>
        <v>Castrín</v>
      </c>
      <c r="C922" t="str">
        <f>IF(ISERROR(VLOOKUP(E922,Nombres!A:D,4,FALSE)),"PROBLEMAAAAAA",VLOOKUP(E922,Nombres!A:D,4,FALSE))</f>
        <v>DEF</v>
      </c>
      <c r="D922" t="str">
        <f>IF(ISERROR(VLOOKUP(E922,Nombres!A:D,3,FALSE)),"PROBLEMAAAAAA",VLOOKUP(E922,Nombres!A:D,3,FALSE))</f>
        <v>Sevilla</v>
      </c>
      <c r="E922" t="s">
        <v>292</v>
      </c>
      <c r="F922" s="1">
        <v>45955</v>
      </c>
      <c r="G922" t="s">
        <v>31</v>
      </c>
      <c r="H922" t="s">
        <v>12</v>
      </c>
      <c r="I922" s="2">
        <v>919954</v>
      </c>
    </row>
    <row r="923" spans="1:9" x14ac:dyDescent="0.25">
      <c r="A923">
        <v>922</v>
      </c>
      <c r="B923" t="str">
        <f>IF(ISERROR(VLOOKUP(E923,Nombres!A:D,2,FALSE)),"PROBLEMAAAAAA",VLOOKUP(E923,Nombres!A:D,2,FALSE))</f>
        <v>Javi Guerra</v>
      </c>
      <c r="C923" t="str">
        <f>IF(ISERROR(VLOOKUP(E923,Nombres!A:D,4,FALSE)),"PROBLEMAAAAAA",VLOOKUP(E923,Nombres!A:D,4,FALSE))</f>
        <v>MED</v>
      </c>
      <c r="D923" t="str">
        <f>IF(ISERROR(VLOOKUP(E923,Nombres!A:D,3,FALSE)),"PROBLEMAAAAAA",VLOOKUP(E923,Nombres!A:D,3,FALSE))</f>
        <v>Valencia</v>
      </c>
      <c r="E923" t="s">
        <v>104</v>
      </c>
      <c r="F923" s="1">
        <v>45956</v>
      </c>
      <c r="G923" t="s">
        <v>31</v>
      </c>
      <c r="H923" t="s">
        <v>12</v>
      </c>
      <c r="I923" s="2">
        <v>17562711</v>
      </c>
    </row>
    <row r="924" spans="1:9" x14ac:dyDescent="0.25">
      <c r="A924">
        <v>923</v>
      </c>
      <c r="B924" t="str">
        <f>IF(ISERROR(VLOOKUP(E924,Nombres!A:D,2,FALSE)),"PROBLEMAAAAAA",VLOOKUP(E924,Nombres!A:D,2,FALSE))</f>
        <v>Tárrega</v>
      </c>
      <c r="C924" t="str">
        <f>IF(ISERROR(VLOOKUP(E924,Nombres!A:D,4,FALSE)),"PROBLEMAAAAAA",VLOOKUP(E924,Nombres!A:D,4,FALSE))</f>
        <v>DEF</v>
      </c>
      <c r="D924" t="str">
        <f>IF(ISERROR(VLOOKUP(E924,Nombres!A:D,3,FALSE)),"PROBLEMAAAAAA",VLOOKUP(E924,Nombres!A:D,3,FALSE))</f>
        <v>Valencia</v>
      </c>
      <c r="E924" t="s">
        <v>202</v>
      </c>
      <c r="F924" s="1">
        <v>45956</v>
      </c>
      <c r="G924" t="s">
        <v>31</v>
      </c>
      <c r="H924" t="s">
        <v>13</v>
      </c>
      <c r="I924" s="2">
        <v>14283957</v>
      </c>
    </row>
    <row r="925" spans="1:9" x14ac:dyDescent="0.25">
      <c r="A925">
        <v>924</v>
      </c>
      <c r="B925" t="str">
        <f>IF(ISERROR(VLOOKUP(E925,Nombres!A:D,2,FALSE)),"PROBLEMAAAAAA",VLOOKUP(E925,Nombres!A:D,2,FALSE))</f>
        <v>Rashford</v>
      </c>
      <c r="C925" t="str">
        <f>IF(ISERROR(VLOOKUP(E925,Nombres!A:D,4,FALSE)),"PROBLEMAAAAAA",VLOOKUP(E925,Nombres!A:D,4,FALSE))</f>
        <v>DEL</v>
      </c>
      <c r="D925" t="str">
        <f>IF(ISERROR(VLOOKUP(E925,Nombres!A:D,3,FALSE)),"PROBLEMAAAAAA",VLOOKUP(E925,Nombres!A:D,3,FALSE))</f>
        <v>Barcelona</v>
      </c>
      <c r="E925" t="s">
        <v>689</v>
      </c>
      <c r="F925" s="1">
        <v>45956</v>
      </c>
      <c r="G925" t="s">
        <v>12</v>
      </c>
      <c r="H925" t="s">
        <v>11</v>
      </c>
      <c r="I925" s="2">
        <v>91655316</v>
      </c>
    </row>
    <row r="926" spans="1:9" x14ac:dyDescent="0.25">
      <c r="A926">
        <v>925</v>
      </c>
      <c r="B926" t="str">
        <f>IF(ISERROR(VLOOKUP(E926,Nombres!A:D,2,FALSE)),"PROBLEMAAAAAA",VLOOKUP(E926,Nombres!A:D,2,FALSE))</f>
        <v>Álvaro García</v>
      </c>
      <c r="C926" t="str">
        <f>IF(ISERROR(VLOOKUP(E926,Nombres!A:D,4,FALSE)),"PROBLEMAAAAAA",VLOOKUP(E926,Nombres!A:D,4,FALSE))</f>
        <v>MED</v>
      </c>
      <c r="D926" t="str">
        <f>IF(ISERROR(VLOOKUP(E926,Nombres!A:D,3,FALSE)),"PROBLEMAAAAAA",VLOOKUP(E926,Nombres!A:D,3,FALSE))</f>
        <v>Rayo</v>
      </c>
      <c r="E926" t="s">
        <v>60</v>
      </c>
      <c r="F926" s="1">
        <v>45956</v>
      </c>
      <c r="G926" t="s">
        <v>14</v>
      </c>
      <c r="H926" t="s">
        <v>31</v>
      </c>
      <c r="I926" s="2">
        <v>38055522</v>
      </c>
    </row>
    <row r="927" spans="1:9" x14ac:dyDescent="0.25">
      <c r="A927">
        <v>926</v>
      </c>
      <c r="B927" t="str">
        <f>IF(ISERROR(VLOOKUP(E927,Nombres!A:D,2,FALSE)),"PROBLEMAAAAAA",VLOOKUP(E927,Nombres!A:D,2,FALSE))</f>
        <v>Giménez</v>
      </c>
      <c r="C927" t="str">
        <f>IF(ISERROR(VLOOKUP(E927,Nombres!A:D,4,FALSE)),"PROBLEMAAAAAA",VLOOKUP(E927,Nombres!A:D,4,FALSE))</f>
        <v>DEF</v>
      </c>
      <c r="D927" t="str">
        <f>IF(ISERROR(VLOOKUP(E927,Nombres!A:D,3,FALSE)),"PROBLEMAAAAAA",VLOOKUP(E927,Nombres!A:D,3,FALSE))</f>
        <v>Atlético</v>
      </c>
      <c r="E927" t="s">
        <v>163</v>
      </c>
      <c r="F927" s="1">
        <v>45956</v>
      </c>
      <c r="G927" t="s">
        <v>12</v>
      </c>
      <c r="H927" t="s">
        <v>31</v>
      </c>
      <c r="I927" s="2">
        <v>13110101</v>
      </c>
    </row>
    <row r="928" spans="1:9" x14ac:dyDescent="0.25">
      <c r="A928">
        <v>927</v>
      </c>
      <c r="B928" t="str">
        <f>IF(ISERROR(VLOOKUP(E928,Nombres!A:D,2,FALSE)),"PROBLEMAAAAAA",VLOOKUP(E928,Nombres!A:D,2,FALSE))</f>
        <v>Baena</v>
      </c>
      <c r="C928" t="str">
        <f>IF(ISERROR(VLOOKUP(E928,Nombres!A:D,4,FALSE)),"PROBLEMAAAAAA",VLOOKUP(E928,Nombres!A:D,4,FALSE))</f>
        <v>MED</v>
      </c>
      <c r="D928" t="str">
        <f>IF(ISERROR(VLOOKUP(E928,Nombres!A:D,3,FALSE)),"PROBLEMAAAAAA",VLOOKUP(E928,Nombres!A:D,3,FALSE))</f>
        <v>Atlético</v>
      </c>
      <c r="E928" t="s">
        <v>204</v>
      </c>
      <c r="F928" s="1">
        <v>45956</v>
      </c>
      <c r="G928" t="s">
        <v>11</v>
      </c>
      <c r="H928" t="s">
        <v>12</v>
      </c>
      <c r="I928" s="2">
        <v>77310010</v>
      </c>
    </row>
    <row r="929" spans="1:9" x14ac:dyDescent="0.25">
      <c r="A929">
        <v>928</v>
      </c>
      <c r="B929" t="str">
        <f>IF(ISERROR(VLOOKUP(E929,Nombres!A:D,2,FALSE)),"PROBLEMAAAAAA",VLOOKUP(E929,Nombres!A:D,2,FALSE))</f>
        <v>Danjuma</v>
      </c>
      <c r="C929" t="str">
        <f>IF(ISERROR(VLOOKUP(E929,Nombres!A:D,4,FALSE)),"PROBLEMAAAAAA",VLOOKUP(E929,Nombres!A:D,4,FALSE))</f>
        <v>DEL</v>
      </c>
      <c r="D929" t="str">
        <f>IF(ISERROR(VLOOKUP(E929,Nombres!A:D,3,FALSE)),"PROBLEMAAAAAA",VLOOKUP(E929,Nombres!A:D,3,FALSE))</f>
        <v>Valencia</v>
      </c>
      <c r="E929" t="s">
        <v>275</v>
      </c>
      <c r="F929" s="1">
        <v>45956</v>
      </c>
      <c r="G929" t="s">
        <v>31</v>
      </c>
      <c r="H929" t="s">
        <v>10</v>
      </c>
      <c r="I929" s="2">
        <v>23776645</v>
      </c>
    </row>
    <row r="930" spans="1:9" x14ac:dyDescent="0.25">
      <c r="A930">
        <v>929</v>
      </c>
      <c r="B930" t="str">
        <f>IF(ISERROR(VLOOKUP(E930,Nombres!A:D,2,FALSE)),"PROBLEMAAAAAA",VLOOKUP(E930,Nombres!A:D,2,FALSE))</f>
        <v>Pedri</v>
      </c>
      <c r="C930" t="str">
        <f>IF(ISERROR(VLOOKUP(E930,Nombres!A:D,4,FALSE)),"PROBLEMAAAAAA",VLOOKUP(E930,Nombres!A:D,4,FALSE))</f>
        <v>MED</v>
      </c>
      <c r="D930" t="str">
        <f>IF(ISERROR(VLOOKUP(E930,Nombres!A:D,3,FALSE)),"PROBLEMAAAAAA",VLOOKUP(E930,Nombres!A:D,3,FALSE))</f>
        <v>Barcelona</v>
      </c>
      <c r="E930" t="s">
        <v>677</v>
      </c>
      <c r="F930" s="1">
        <v>45956</v>
      </c>
      <c r="G930" t="s">
        <v>31</v>
      </c>
      <c r="H930" t="s">
        <v>13</v>
      </c>
      <c r="I930" s="2">
        <v>150678037</v>
      </c>
    </row>
    <row r="931" spans="1:9" x14ac:dyDescent="0.25">
      <c r="A931">
        <v>930</v>
      </c>
      <c r="B931" t="str">
        <f>IF(ISERROR(VLOOKUP(E931,Nombres!A:D,2,FALSE)),"PROBLEMAAAAAA",VLOOKUP(E931,Nombres!A:D,2,FALSE))</f>
        <v>Bernal</v>
      </c>
      <c r="C931" t="str">
        <f>IF(ISERROR(VLOOKUP(E931,Nombres!A:D,4,FALSE)),"PROBLEMAAAAAA",VLOOKUP(E931,Nombres!A:D,4,FALSE))</f>
        <v>MED</v>
      </c>
      <c r="D931" t="str">
        <f>IF(ISERROR(VLOOKUP(E931,Nombres!A:D,3,FALSE)),"PROBLEMAAAAAA",VLOOKUP(E931,Nombres!A:D,3,FALSE))</f>
        <v>Barcelona</v>
      </c>
      <c r="E931" t="s">
        <v>302</v>
      </c>
      <c r="F931" s="1">
        <v>45956</v>
      </c>
      <c r="G931" t="s">
        <v>31</v>
      </c>
      <c r="H931" t="s">
        <v>9</v>
      </c>
      <c r="I931" s="2">
        <v>1483300</v>
      </c>
    </row>
    <row r="932" spans="1:9" x14ac:dyDescent="0.25">
      <c r="A932">
        <v>931</v>
      </c>
      <c r="B932" t="str">
        <f>IF(ISERROR(VLOOKUP(E932,Nombres!A:D,2,FALSE)),"PROBLEMAAAAAA",VLOOKUP(E932,Nombres!A:D,2,FALSE))</f>
        <v>Toni Martinez</v>
      </c>
      <c r="C932" t="str">
        <f>IF(ISERROR(VLOOKUP(E932,Nombres!A:D,4,FALSE)),"PROBLEMAAAAAA",VLOOKUP(E932,Nombres!A:D,4,FALSE))</f>
        <v>DEL</v>
      </c>
      <c r="D932" t="str">
        <f>IF(ISERROR(VLOOKUP(E932,Nombres!A:D,3,FALSE)),"PROBLEMAAAAAA",VLOOKUP(E932,Nombres!A:D,3,FALSE))</f>
        <v>Alavés</v>
      </c>
      <c r="E932" t="s">
        <v>264</v>
      </c>
      <c r="F932" s="1">
        <v>45957</v>
      </c>
      <c r="G932" t="s">
        <v>14</v>
      </c>
      <c r="H932" t="s">
        <v>31</v>
      </c>
      <c r="I932" s="2">
        <v>3445353</v>
      </c>
    </row>
    <row r="933" spans="1:9" x14ac:dyDescent="0.25">
      <c r="A933">
        <v>932</v>
      </c>
      <c r="B933" t="str">
        <f>IF(ISERROR(VLOOKUP(E933,Nombres!A:D,2,FALSE)),"PROBLEMAAAAAA",VLOOKUP(E933,Nombres!A:D,2,FALSE))</f>
        <v>Hassan</v>
      </c>
      <c r="C933" t="str">
        <f>IF(ISERROR(VLOOKUP(E933,Nombres!A:D,4,FALSE)),"PROBLEMAAAAAA",VLOOKUP(E933,Nombres!A:D,4,FALSE))</f>
        <v>MED</v>
      </c>
      <c r="D933" t="str">
        <f>IF(ISERROR(VLOOKUP(E933,Nombres!A:D,3,FALSE)),"PROBLEMAAAAAA",VLOOKUP(E933,Nombres!A:D,3,FALSE))</f>
        <v>Real Oviedo</v>
      </c>
      <c r="E933" t="s">
        <v>201</v>
      </c>
      <c r="F933" s="1">
        <v>45957</v>
      </c>
      <c r="G933" t="s">
        <v>14</v>
      </c>
      <c r="H933" t="s">
        <v>31</v>
      </c>
      <c r="I933" s="2">
        <v>5000051</v>
      </c>
    </row>
    <row r="934" spans="1:9" x14ac:dyDescent="0.25">
      <c r="A934">
        <v>933</v>
      </c>
      <c r="B934" t="str">
        <f>IF(ISERROR(VLOOKUP(E934,Nombres!A:D,2,FALSE)),"PROBLEMAAAAAA",VLOOKUP(E934,Nombres!A:D,2,FALSE))</f>
        <v>Leo Román</v>
      </c>
      <c r="C934" t="str">
        <f>IF(ISERROR(VLOOKUP(E934,Nombres!A:D,4,FALSE)),"PROBLEMAAAAAA",VLOOKUP(E934,Nombres!A:D,4,FALSE))</f>
        <v>POR</v>
      </c>
      <c r="D934" t="str">
        <f>IF(ISERROR(VLOOKUP(E934,Nombres!A:D,3,FALSE)),"PROBLEMAAAAAA",VLOOKUP(E934,Nombres!A:D,3,FALSE))</f>
        <v>Mallorca</v>
      </c>
      <c r="E934" t="s">
        <v>78</v>
      </c>
      <c r="F934" s="1">
        <v>45957</v>
      </c>
      <c r="G934" t="s">
        <v>10</v>
      </c>
      <c r="H934" t="s">
        <v>31</v>
      </c>
      <c r="I934" s="2">
        <v>10875852</v>
      </c>
    </row>
    <row r="935" spans="1:9" x14ac:dyDescent="0.25">
      <c r="A935">
        <v>934</v>
      </c>
      <c r="B935" t="str">
        <f>IF(ISERROR(VLOOKUP(E935,Nombres!A:D,2,FALSE)),"PROBLEMAAAAAA",VLOOKUP(E935,Nombres!A:D,2,FALSE))</f>
        <v>N. Williams</v>
      </c>
      <c r="C935" t="str">
        <f>IF(ISERROR(VLOOKUP(E935,Nombres!A:D,4,FALSE)),"PROBLEMAAAAAA",VLOOKUP(E935,Nombres!A:D,4,FALSE))</f>
        <v>DEL</v>
      </c>
      <c r="D935" t="str">
        <f>IF(ISERROR(VLOOKUP(E935,Nombres!A:D,3,FALSE)),"PROBLEMAAAAAA",VLOOKUP(E935,Nombres!A:D,3,FALSE))</f>
        <v>Athletic</v>
      </c>
      <c r="E935" t="s">
        <v>205</v>
      </c>
      <c r="F935" s="1">
        <v>45957</v>
      </c>
      <c r="G935" t="s">
        <v>31</v>
      </c>
      <c r="H935" t="s">
        <v>6</v>
      </c>
      <c r="I935" s="2">
        <v>89423295</v>
      </c>
    </row>
    <row r="936" spans="1:9" x14ac:dyDescent="0.25">
      <c r="A936">
        <v>935</v>
      </c>
      <c r="B936" t="str">
        <f>IF(ISERROR(VLOOKUP(E936,Nombres!A:D,2,FALSE)),"PROBLEMAAAAAA",VLOOKUP(E936,Nombres!A:D,2,FALSE))</f>
        <v>Sotelo</v>
      </c>
      <c r="C936" t="str">
        <f>IF(ISERROR(VLOOKUP(E936,Nombres!A:D,4,FALSE)),"PROBLEMAAAAAA",VLOOKUP(E936,Nombres!A:D,4,FALSE))</f>
        <v>MED</v>
      </c>
      <c r="D936" t="str">
        <f>IF(ISERROR(VLOOKUP(E936,Nombres!A:D,3,FALSE)),"PROBLEMAAAAAA",VLOOKUP(E936,Nombres!A:D,3,FALSE))</f>
        <v>Celta</v>
      </c>
      <c r="E936" t="s">
        <v>771</v>
      </c>
      <c r="F936" s="1">
        <v>45957</v>
      </c>
      <c r="G936" t="s">
        <v>31</v>
      </c>
      <c r="H936" t="s">
        <v>9</v>
      </c>
      <c r="I936" s="2">
        <v>12016075</v>
      </c>
    </row>
    <row r="937" spans="1:9" x14ac:dyDescent="0.25">
      <c r="A937">
        <v>936</v>
      </c>
      <c r="B937" t="str">
        <f>IF(ISERROR(VLOOKUP(E937,Nombres!A:D,2,FALSE)),"PROBLEMAAAAAA",VLOOKUP(E937,Nombres!A:D,2,FALSE))</f>
        <v>Pathé Ciss</v>
      </c>
      <c r="C937" t="str">
        <f>IF(ISERROR(VLOOKUP(E937,Nombres!A:D,4,FALSE)),"PROBLEMAAAAAA",VLOOKUP(E937,Nombres!A:D,4,FALSE))</f>
        <v>MED</v>
      </c>
      <c r="D937" t="str">
        <f>IF(ISERROR(VLOOKUP(E937,Nombres!A:D,3,FALSE)),"PROBLEMAAAAAA",VLOOKUP(E937,Nombres!A:D,3,FALSE))</f>
        <v>Rayo</v>
      </c>
      <c r="E937" t="s">
        <v>231</v>
      </c>
      <c r="F937" s="1">
        <v>45957</v>
      </c>
      <c r="G937" t="s">
        <v>7</v>
      </c>
      <c r="H937" t="s">
        <v>9</v>
      </c>
      <c r="I937" s="2">
        <v>12481047</v>
      </c>
    </row>
    <row r="938" spans="1:9" x14ac:dyDescent="0.25">
      <c r="A938">
        <v>937</v>
      </c>
      <c r="B938" t="str">
        <f>IF(ISERROR(VLOOKUP(E938,Nombres!A:D,2,FALSE)),"PROBLEMAAAAAA",VLOOKUP(E938,Nombres!A:D,2,FALSE))</f>
        <v>Alexis</v>
      </c>
      <c r="C938" t="str">
        <f>IF(ISERROR(VLOOKUP(E938,Nombres!A:D,4,FALSE)),"PROBLEMAAAAAA",VLOOKUP(E938,Nombres!A:D,4,FALSE))</f>
        <v>DEL</v>
      </c>
      <c r="D938" t="str">
        <f>IF(ISERROR(VLOOKUP(E938,Nombres!A:D,3,FALSE)),"PROBLEMAAAAAA",VLOOKUP(E938,Nombres!A:D,3,FALSE))</f>
        <v>Sevilla</v>
      </c>
      <c r="E938" t="s">
        <v>309</v>
      </c>
      <c r="F938" s="1">
        <v>45957</v>
      </c>
      <c r="G938" t="s">
        <v>31</v>
      </c>
      <c r="H938" t="s">
        <v>768</v>
      </c>
      <c r="I938" s="2">
        <v>8373185</v>
      </c>
    </row>
    <row r="939" spans="1:9" x14ac:dyDescent="0.25">
      <c r="A939">
        <v>938</v>
      </c>
      <c r="B939" t="str">
        <f>IF(ISERROR(VLOOKUP(E939,Nombres!A:D,2,FALSE)),"PROBLEMAAAAAA",VLOOKUP(E939,Nombres!A:D,2,FALSE))</f>
        <v>Iván Romero</v>
      </c>
      <c r="C939" t="str">
        <f>IF(ISERROR(VLOOKUP(E939,Nombres!A:D,4,FALSE)),"PROBLEMAAAAAA",VLOOKUP(E939,Nombres!A:D,4,FALSE))</f>
        <v>DEL</v>
      </c>
      <c r="D939" t="str">
        <f>IF(ISERROR(VLOOKUP(E939,Nombres!A:D,3,FALSE)),"PROBLEMAAAAAA",VLOOKUP(E939,Nombres!A:D,3,FALSE))</f>
        <v>Levante</v>
      </c>
      <c r="E939" t="s">
        <v>281</v>
      </c>
      <c r="F939" s="1">
        <v>45958</v>
      </c>
      <c r="G939" t="s">
        <v>31</v>
      </c>
      <c r="H939" t="s">
        <v>12</v>
      </c>
      <c r="I939" s="2">
        <v>13310449</v>
      </c>
    </row>
    <row r="940" spans="1:9" x14ac:dyDescent="0.25">
      <c r="A940">
        <v>939</v>
      </c>
      <c r="B940" t="str">
        <f>IF(ISERROR(VLOOKUP(E940,Nombres!A:D,2,FALSE)),"PROBLEMAAAAAA",VLOOKUP(E940,Nombres!A:D,2,FALSE))</f>
        <v>Edu Expósito</v>
      </c>
      <c r="C940" t="str">
        <f>IF(ISERROR(VLOOKUP(E940,Nombres!A:D,4,FALSE)),"PROBLEMAAAAAA",VLOOKUP(E940,Nombres!A:D,4,FALSE))</f>
        <v>MED</v>
      </c>
      <c r="D940" t="str">
        <f>IF(ISERROR(VLOOKUP(E940,Nombres!A:D,3,FALSE)),"PROBLEMAAAAAA",VLOOKUP(E940,Nombres!A:D,3,FALSE))</f>
        <v>Espanyol</v>
      </c>
      <c r="E940" t="s">
        <v>271</v>
      </c>
      <c r="F940" s="1">
        <v>45958</v>
      </c>
      <c r="G940" t="s">
        <v>12</v>
      </c>
      <c r="H940" t="s">
        <v>8</v>
      </c>
      <c r="I940" s="2">
        <v>26279253</v>
      </c>
    </row>
    <row r="941" spans="1:9" x14ac:dyDescent="0.25">
      <c r="A941">
        <v>940</v>
      </c>
      <c r="B941" t="str">
        <f>IF(ISERROR(VLOOKUP(E941,Nombres!A:D,2,FALSE)),"PROBLEMAAAAAA",VLOOKUP(E941,Nombres!A:D,2,FALSE))</f>
        <v>Femenia</v>
      </c>
      <c r="C941" t="str">
        <f>IF(ISERROR(VLOOKUP(E941,Nombres!A:D,4,FALSE)),"PROBLEMAAAAAA",VLOOKUP(E941,Nombres!A:D,4,FALSE))</f>
        <v>DEF</v>
      </c>
      <c r="D941" t="str">
        <f>IF(ISERROR(VLOOKUP(E941,Nombres!A:D,3,FALSE)),"PROBLEMAAAAAA",VLOOKUP(E941,Nombres!A:D,3,FALSE))</f>
        <v>Getafe</v>
      </c>
      <c r="E941" t="s">
        <v>334</v>
      </c>
      <c r="F941" s="1">
        <v>45958</v>
      </c>
      <c r="G941" t="s">
        <v>12</v>
      </c>
      <c r="H941" t="s">
        <v>11</v>
      </c>
      <c r="I941" s="2">
        <v>6501001</v>
      </c>
    </row>
    <row r="942" spans="1:9" x14ac:dyDescent="0.25">
      <c r="A942">
        <v>941</v>
      </c>
      <c r="B942" t="str">
        <f>IF(ISERROR(VLOOKUP(E942,Nombres!A:D,2,FALSE)),"PROBLEMAAAAAA",VLOOKUP(E942,Nombres!A:D,2,FALSE))</f>
        <v>Danjuma</v>
      </c>
      <c r="C942" t="str">
        <f>IF(ISERROR(VLOOKUP(E942,Nombres!A:D,4,FALSE)),"PROBLEMAAAAAA",VLOOKUP(E942,Nombres!A:D,4,FALSE))</f>
        <v>DEL</v>
      </c>
      <c r="D942" t="str">
        <f>IF(ISERROR(VLOOKUP(E942,Nombres!A:D,3,FALSE)),"PROBLEMAAAAAA",VLOOKUP(E942,Nombres!A:D,3,FALSE))</f>
        <v>Valencia</v>
      </c>
      <c r="E942" t="s">
        <v>275</v>
      </c>
      <c r="F942" s="1">
        <v>45958</v>
      </c>
      <c r="G942" t="s">
        <v>768</v>
      </c>
      <c r="H942" t="s">
        <v>31</v>
      </c>
      <c r="I942" s="2">
        <v>27500000</v>
      </c>
    </row>
    <row r="943" spans="1:9" x14ac:dyDescent="0.25">
      <c r="A943">
        <v>942</v>
      </c>
      <c r="B943" t="str">
        <f>IF(ISERROR(VLOOKUP(E943,Nombres!A:D,2,FALSE)),"PROBLEMAAAAAA",VLOOKUP(E943,Nombres!A:D,2,FALSE))</f>
        <v>Abde</v>
      </c>
      <c r="C943" t="str">
        <f>IF(ISERROR(VLOOKUP(E943,Nombres!A:D,4,FALSE)),"PROBLEMAAAAAA",VLOOKUP(E943,Nombres!A:D,4,FALSE))</f>
        <v>DEL</v>
      </c>
      <c r="D943" t="str">
        <f>IF(ISERROR(VLOOKUP(E943,Nombres!A:D,3,FALSE)),"PROBLEMAAAAAA",VLOOKUP(E943,Nombres!A:D,3,FALSE))</f>
        <v>Betis</v>
      </c>
      <c r="E943" t="s">
        <v>147</v>
      </c>
      <c r="F943" s="1">
        <v>45959</v>
      </c>
      <c r="G943" t="s">
        <v>13</v>
      </c>
      <c r="H943" t="s">
        <v>7</v>
      </c>
      <c r="I943" s="2">
        <v>32239613</v>
      </c>
    </row>
    <row r="944" spans="1:9" x14ac:dyDescent="0.25">
      <c r="A944">
        <v>943</v>
      </c>
      <c r="B944" t="str">
        <f>IF(ISERROR(VLOOKUP(E944,Nombres!A:D,2,FALSE)),"PROBLEMAAAAAA",VLOOKUP(E944,Nombres!A:D,2,FALSE))</f>
        <v>Guruzeta</v>
      </c>
      <c r="C944" t="str">
        <f>IF(ISERROR(VLOOKUP(E944,Nombres!A:D,4,FALSE)),"PROBLEMAAAAAA",VLOOKUP(E944,Nombres!A:D,4,FALSE))</f>
        <v>DEL</v>
      </c>
      <c r="D944" t="str">
        <f>IF(ISERROR(VLOOKUP(E944,Nombres!A:D,3,FALSE)),"PROBLEMAAAAAA",VLOOKUP(E944,Nombres!A:D,3,FALSE))</f>
        <v>Athletic</v>
      </c>
      <c r="E944" t="s">
        <v>146</v>
      </c>
      <c r="F944" s="1">
        <v>45959</v>
      </c>
      <c r="G944" t="s">
        <v>31</v>
      </c>
      <c r="H944" t="s">
        <v>13</v>
      </c>
      <c r="I944" s="2">
        <v>2440803</v>
      </c>
    </row>
    <row r="945" spans="1:9" x14ac:dyDescent="0.25">
      <c r="A945">
        <v>944</v>
      </c>
      <c r="B945" t="str">
        <f>IF(ISERROR(VLOOKUP(E945,Nombres!A:D,2,FALSE)),"PROBLEMAAAAAA",VLOOKUP(E945,Nombres!A:D,2,FALSE))</f>
        <v>Eric García</v>
      </c>
      <c r="C945" t="str">
        <f>IF(ISERROR(VLOOKUP(E945,Nombres!A:D,4,FALSE)),"PROBLEMAAAAAA",VLOOKUP(E945,Nombres!A:D,4,FALSE))</f>
        <v>DEF</v>
      </c>
      <c r="D945" t="str">
        <f>IF(ISERROR(VLOOKUP(E945,Nombres!A:D,3,FALSE)),"PROBLEMAAAAAA",VLOOKUP(E945,Nombres!A:D,3,FALSE))</f>
        <v>Barcelona</v>
      </c>
      <c r="E945" t="s">
        <v>152</v>
      </c>
      <c r="F945" s="1">
        <v>45959</v>
      </c>
      <c r="G945" t="s">
        <v>7</v>
      </c>
      <c r="H945" t="s">
        <v>11</v>
      </c>
      <c r="I945" s="2">
        <v>46957357</v>
      </c>
    </row>
    <row r="946" spans="1:9" x14ac:dyDescent="0.25">
      <c r="A946">
        <v>945</v>
      </c>
      <c r="B946" t="str">
        <f>IF(ISERROR(VLOOKUP(E946,Nombres!A:D,2,FALSE)),"PROBLEMAAAAAA",VLOOKUP(E946,Nombres!A:D,2,FALSE))</f>
        <v>Alejandro Rego</v>
      </c>
      <c r="C946" t="str">
        <f>IF(ISERROR(VLOOKUP(E946,Nombres!A:D,4,FALSE)),"PROBLEMAAAAAA",VLOOKUP(E946,Nombres!A:D,4,FALSE))</f>
        <v>DEF</v>
      </c>
      <c r="D946" t="str">
        <f>IF(ISERROR(VLOOKUP(E946,Nombres!A:D,3,FALSE)),"PROBLEMAAAAAA",VLOOKUP(E946,Nombres!A:D,3,FALSE))</f>
        <v>Athletic</v>
      </c>
      <c r="E946" t="s">
        <v>767</v>
      </c>
      <c r="F946" s="1">
        <v>45959</v>
      </c>
      <c r="G946" t="s">
        <v>31</v>
      </c>
      <c r="H946" t="s">
        <v>7</v>
      </c>
      <c r="I946" s="2">
        <v>526248</v>
      </c>
    </row>
    <row r="947" spans="1:9" x14ac:dyDescent="0.25">
      <c r="A947">
        <v>946</v>
      </c>
      <c r="B947" t="str">
        <f>IF(ISERROR(VLOOKUP(E947,Nombres!A:D,2,FALSE)),"PROBLEMAAAAAA",VLOOKUP(E947,Nombres!A:D,2,FALSE))</f>
        <v>M. Llorente</v>
      </c>
      <c r="C947" t="str">
        <f>IF(ISERROR(VLOOKUP(E947,Nombres!A:D,4,FALSE)),"PROBLEMAAAAAA",VLOOKUP(E947,Nombres!A:D,4,FALSE))</f>
        <v>DEF</v>
      </c>
      <c r="D947" t="str">
        <f>IF(ISERROR(VLOOKUP(E947,Nombres!A:D,3,FALSE)),"PROBLEMAAAAAA",VLOOKUP(E947,Nombres!A:D,3,FALSE))</f>
        <v>Atlético</v>
      </c>
      <c r="E947" t="s">
        <v>765</v>
      </c>
      <c r="F947" s="1">
        <v>45959</v>
      </c>
      <c r="G947" t="s">
        <v>11</v>
      </c>
      <c r="H947" t="s">
        <v>768</v>
      </c>
      <c r="I947" s="2">
        <v>70081501</v>
      </c>
    </row>
    <row r="948" spans="1:9" x14ac:dyDescent="0.25">
      <c r="A948">
        <v>947</v>
      </c>
      <c r="B948" t="str">
        <f>IF(ISERROR(VLOOKUP(E948,Nombres!A:D,2,FALSE)),"PROBLEMAAAAAA",VLOOKUP(E948,Nombres!A:D,2,FALSE))</f>
        <v>Gerard</v>
      </c>
      <c r="C948" t="str">
        <f>IF(ISERROR(VLOOKUP(E948,Nombres!A:D,4,FALSE)),"PROBLEMAAAAAA",VLOOKUP(E948,Nombres!A:D,4,FALSE))</f>
        <v>DEL</v>
      </c>
      <c r="D948" t="str">
        <f>IF(ISERROR(VLOOKUP(E948,Nombres!A:D,3,FALSE)),"PROBLEMAAAAAA",VLOOKUP(E948,Nombres!A:D,3,FALSE))</f>
        <v>Villarreal</v>
      </c>
      <c r="E948" t="s">
        <v>148</v>
      </c>
      <c r="F948" s="1">
        <v>45959</v>
      </c>
      <c r="G948" t="s">
        <v>12</v>
      </c>
      <c r="H948" t="s">
        <v>31</v>
      </c>
      <c r="I948" s="2">
        <v>16610101</v>
      </c>
    </row>
    <row r="949" spans="1:9" x14ac:dyDescent="0.25">
      <c r="A949">
        <v>948</v>
      </c>
      <c r="B949" t="str">
        <f>IF(ISERROR(VLOOKUP(E949,Nombres!A:D,2,FALSE)),"PROBLEMAAAAAA",VLOOKUP(E949,Nombres!A:D,2,FALSE))</f>
        <v>Militão</v>
      </c>
      <c r="C949" t="str">
        <f>IF(ISERROR(VLOOKUP(E949,Nombres!A:D,4,FALSE)),"PROBLEMAAAAAA",VLOOKUP(E949,Nombres!A:D,4,FALSE))</f>
        <v>DEF</v>
      </c>
      <c r="D949" t="str">
        <f>IF(ISERROR(VLOOKUP(E949,Nombres!A:D,3,FALSE)),"PROBLEMAAAAAA",VLOOKUP(E949,Nombres!A:D,3,FALSE))</f>
        <v>Real Madrid</v>
      </c>
      <c r="E949" t="s">
        <v>164</v>
      </c>
      <c r="F949" s="1">
        <v>45959</v>
      </c>
      <c r="G949" t="s">
        <v>13</v>
      </c>
      <c r="H949" t="s">
        <v>31</v>
      </c>
      <c r="I949" s="2">
        <v>68101190</v>
      </c>
    </row>
    <row r="950" spans="1:9" x14ac:dyDescent="0.25">
      <c r="A950">
        <v>949</v>
      </c>
      <c r="B950" t="str">
        <f>IF(ISERROR(VLOOKUP(E950,Nombres!A:D,2,FALSE)),"PROBLEMAAAAAA",VLOOKUP(E950,Nombres!A:D,2,FALSE))</f>
        <v>Liso</v>
      </c>
      <c r="C950" t="str">
        <f>IF(ISERROR(VLOOKUP(E950,Nombres!A:D,4,FALSE)),"PROBLEMAAAAAA",VLOOKUP(E950,Nombres!A:D,4,FALSE))</f>
        <v>DEL</v>
      </c>
      <c r="D950" t="str">
        <f>IF(ISERROR(VLOOKUP(E950,Nombres!A:D,3,FALSE)),"PROBLEMAAAAAA",VLOOKUP(E950,Nombres!A:D,3,FALSE))</f>
        <v>Getafe</v>
      </c>
      <c r="E950" t="s">
        <v>251</v>
      </c>
      <c r="F950" s="1">
        <v>45959</v>
      </c>
      <c r="G950" t="s">
        <v>6</v>
      </c>
      <c r="H950" t="s">
        <v>31</v>
      </c>
      <c r="I950" s="2">
        <v>11129200</v>
      </c>
    </row>
    <row r="951" spans="1:9" x14ac:dyDescent="0.25">
      <c r="A951">
        <v>950</v>
      </c>
      <c r="B951" t="str">
        <f>IF(ISERROR(VLOOKUP(E951,Nombres!A:D,2,FALSE)),"PROBLEMAAAAAA",VLOOKUP(E951,Nombres!A:D,2,FALSE))</f>
        <v>Barrios</v>
      </c>
      <c r="C951" t="str">
        <f>IF(ISERROR(VLOOKUP(E951,Nombres!A:D,4,FALSE)),"PROBLEMAAAAAA",VLOOKUP(E951,Nombres!A:D,4,FALSE))</f>
        <v>MED</v>
      </c>
      <c r="D951" t="str">
        <f>IF(ISERROR(VLOOKUP(E951,Nombres!A:D,3,FALSE)),"PROBLEMAAAAAA",VLOOKUP(E951,Nombres!A:D,3,FALSE))</f>
        <v>Atlético</v>
      </c>
      <c r="E951" t="s">
        <v>225</v>
      </c>
      <c r="F951" s="1">
        <v>45959</v>
      </c>
      <c r="G951" t="s">
        <v>31</v>
      </c>
      <c r="H951" t="s">
        <v>13</v>
      </c>
      <c r="I951" s="2">
        <v>60784765</v>
      </c>
    </row>
    <row r="952" spans="1:9" x14ac:dyDescent="0.25">
      <c r="A952">
        <v>951</v>
      </c>
      <c r="B952" t="str">
        <f>IF(ISERROR(VLOOKUP(E952,Nombres!A:D,2,FALSE)),"PROBLEMAAAAAA",VLOOKUP(E952,Nombres!A:D,2,FALSE))</f>
        <v>Vargas</v>
      </c>
      <c r="C952" t="str">
        <f>IF(ISERROR(VLOOKUP(E952,Nombres!A:D,4,FALSE)),"PROBLEMAAAAAA",VLOOKUP(E952,Nombres!A:D,4,FALSE))</f>
        <v>DEL</v>
      </c>
      <c r="D952" t="str">
        <f>IF(ISERROR(VLOOKUP(E952,Nombres!A:D,3,FALSE)),"PROBLEMAAAAAA",VLOOKUP(E952,Nombres!A:D,3,FALSE))</f>
        <v>Sevilla</v>
      </c>
      <c r="E952" t="s">
        <v>301</v>
      </c>
      <c r="F952" s="1">
        <v>45959</v>
      </c>
      <c r="G952" t="s">
        <v>31</v>
      </c>
      <c r="H952" t="s">
        <v>13</v>
      </c>
      <c r="I952" s="2">
        <v>48822625</v>
      </c>
    </row>
    <row r="953" spans="1:9" x14ac:dyDescent="0.25">
      <c r="A953">
        <v>952</v>
      </c>
      <c r="B953" t="str">
        <f>IF(ISERROR(VLOOKUP(E953,Nombres!A:D,2,FALSE)),"PROBLEMAAAAAA",VLOOKUP(E953,Nombres!A:D,2,FALSE))</f>
        <v>Luis Milla</v>
      </c>
      <c r="C953" t="str">
        <f>IF(ISERROR(VLOOKUP(E953,Nombres!A:D,4,FALSE)),"PROBLEMAAAAAA",VLOOKUP(E953,Nombres!A:D,4,FALSE))</f>
        <v>MED</v>
      </c>
      <c r="D953" t="str">
        <f>IF(ISERROR(VLOOKUP(E953,Nombres!A:D,3,FALSE)),"PROBLEMAAAAAA",VLOOKUP(E953,Nombres!A:D,3,FALSE))</f>
        <v>Getafe</v>
      </c>
      <c r="E953" t="s">
        <v>326</v>
      </c>
      <c r="F953" s="1">
        <v>45959</v>
      </c>
      <c r="G953" t="s">
        <v>13</v>
      </c>
      <c r="H953" t="s">
        <v>6</v>
      </c>
      <c r="I953" s="2">
        <v>90222396</v>
      </c>
    </row>
    <row r="954" spans="1:9" x14ac:dyDescent="0.25">
      <c r="A954">
        <v>953</v>
      </c>
      <c r="B954" t="str">
        <f>IF(ISERROR(VLOOKUP(E954,Nombres!A:D,2,FALSE)),"PROBLEMAAAAAA",VLOOKUP(E954,Nombres!A:D,2,FALSE))</f>
        <v>Bellingham</v>
      </c>
      <c r="C954" t="str">
        <f>IF(ISERROR(VLOOKUP(E954,Nombres!A:D,4,FALSE)),"PROBLEMAAAAAA",VLOOKUP(E954,Nombres!A:D,4,FALSE))</f>
        <v>MED</v>
      </c>
      <c r="D954" t="str">
        <f>IF(ISERROR(VLOOKUP(E954,Nombres!A:D,3,FALSE)),"PROBLEMAAAAAA",VLOOKUP(E954,Nombres!A:D,3,FALSE))</f>
        <v>Real Madrid</v>
      </c>
      <c r="E954" t="s">
        <v>425</v>
      </c>
      <c r="F954" s="1">
        <v>45959</v>
      </c>
      <c r="G954" t="s">
        <v>6</v>
      </c>
      <c r="H954" t="s">
        <v>11</v>
      </c>
      <c r="I954" s="2">
        <v>115026806</v>
      </c>
    </row>
    <row r="955" spans="1:9" x14ac:dyDescent="0.25">
      <c r="A955">
        <v>954</v>
      </c>
      <c r="B955" t="str">
        <f>IF(ISERROR(VLOOKUP(E955,Nombres!A:D,2,FALSE)),"PROBLEMAAAAAA",VLOOKUP(E955,Nombres!A:D,2,FALSE))</f>
        <v>Etta Eyong</v>
      </c>
      <c r="C955" t="str">
        <f>IF(ISERROR(VLOOKUP(E955,Nombres!A:D,4,FALSE)),"PROBLEMAAAAAA",VLOOKUP(E955,Nombres!A:D,4,FALSE))</f>
        <v>DEL</v>
      </c>
      <c r="D955" t="str">
        <f>IF(ISERROR(VLOOKUP(E955,Nombres!A:D,3,FALSE)),"PROBLEMAAAAAA",VLOOKUP(E955,Nombres!A:D,3,FALSE))</f>
        <v>Levante</v>
      </c>
      <c r="E955" t="s">
        <v>274</v>
      </c>
      <c r="F955" s="1">
        <v>45959</v>
      </c>
      <c r="G955" t="s">
        <v>11</v>
      </c>
      <c r="H955" t="s">
        <v>768</v>
      </c>
      <c r="I955" s="2">
        <v>110031134</v>
      </c>
    </row>
    <row r="956" spans="1:9" x14ac:dyDescent="0.25">
      <c r="A956">
        <v>955</v>
      </c>
      <c r="B956" t="str">
        <f>IF(ISERROR(VLOOKUP(E956,Nombres!A:D,2,FALSE)),"PROBLEMAAAAAA",VLOOKUP(E956,Nombres!A:D,2,FALSE))</f>
        <v>Alvarez</v>
      </c>
      <c r="C956" t="str">
        <f>IF(ISERROR(VLOOKUP(E956,Nombres!A:D,4,FALSE)),"PROBLEMAAAAAA",VLOOKUP(E956,Nombres!A:D,4,FALSE))</f>
        <v>DEL</v>
      </c>
      <c r="D956" t="str">
        <f>IF(ISERROR(VLOOKUP(E956,Nombres!A:D,3,FALSE)),"PROBLEMAAAAAA",VLOOKUP(E956,Nombres!A:D,3,FALSE))</f>
        <v>Atlético</v>
      </c>
      <c r="E956" t="s">
        <v>257</v>
      </c>
      <c r="F956" s="1">
        <v>45959</v>
      </c>
      <c r="G956" t="s">
        <v>768</v>
      </c>
      <c r="H956" t="s">
        <v>11</v>
      </c>
      <c r="I956" s="2">
        <v>162334907</v>
      </c>
    </row>
    <row r="957" spans="1:9" x14ac:dyDescent="0.25">
      <c r="A957">
        <v>956</v>
      </c>
      <c r="B957" t="str">
        <f>IF(ISERROR(VLOOKUP(E957,Nombres!A:D,2,FALSE)),"PROBLEMAAAAAA",VLOOKUP(E957,Nombres!A:D,2,FALSE))</f>
        <v>Alemão</v>
      </c>
      <c r="C957" t="str">
        <f>IF(ISERROR(VLOOKUP(E957,Nombres!A:D,4,FALSE)),"PROBLEMAAAAAA",VLOOKUP(E957,Nombres!A:D,4,FALSE))</f>
        <v>DEL</v>
      </c>
      <c r="D957" t="str">
        <f>IF(ISERROR(VLOOKUP(E957,Nombres!A:D,3,FALSE)),"PROBLEMAAAAAA",VLOOKUP(E957,Nombres!A:D,3,FALSE))</f>
        <v>Rayo</v>
      </c>
      <c r="E957" t="s">
        <v>318</v>
      </c>
      <c r="F957" s="1">
        <v>45959</v>
      </c>
      <c r="G957" t="s">
        <v>768</v>
      </c>
      <c r="H957" t="s">
        <v>11</v>
      </c>
      <c r="I957" s="2">
        <v>5000000</v>
      </c>
    </row>
    <row r="958" spans="1:9" x14ac:dyDescent="0.25">
      <c r="A958">
        <v>957</v>
      </c>
      <c r="B958" t="str">
        <f>IF(ISERROR(VLOOKUP(E958,Nombres!A:D,2,FALSE)),"PROBLEMAAAAAA",VLOOKUP(E958,Nombres!A:D,2,FALSE))</f>
        <v>De Frutos</v>
      </c>
      <c r="C958" t="str">
        <f>IF(ISERROR(VLOOKUP(E958,Nombres!A:D,4,FALSE)),"PROBLEMAAAAAA",VLOOKUP(E958,Nombres!A:D,4,FALSE))</f>
        <v>DEL</v>
      </c>
      <c r="D958" t="str">
        <f>IF(ISERROR(VLOOKUP(E958,Nombres!A:D,3,FALSE)),"PROBLEMAAAAAA",VLOOKUP(E958,Nombres!A:D,3,FALSE))</f>
        <v>Rayo</v>
      </c>
      <c r="E958" t="s">
        <v>119</v>
      </c>
      <c r="F958" s="1">
        <v>45959</v>
      </c>
      <c r="G958" t="s">
        <v>11</v>
      </c>
      <c r="H958" t="s">
        <v>13</v>
      </c>
      <c r="I958" s="2">
        <v>55082664</v>
      </c>
    </row>
    <row r="959" spans="1:9" x14ac:dyDescent="0.25">
      <c r="A959">
        <v>958</v>
      </c>
      <c r="B959" t="str">
        <f>IF(ISERROR(VLOOKUP(E959,Nombres!A:D,2,FALSE)),"PROBLEMAAAAAA",VLOOKUP(E959,Nombres!A:D,2,FALSE))</f>
        <v>Moncayola</v>
      </c>
      <c r="C959" t="str">
        <f>IF(ISERROR(VLOOKUP(E959,Nombres!A:D,4,FALSE)),"PROBLEMAAAAAA",VLOOKUP(E959,Nombres!A:D,4,FALSE))</f>
        <v>MED</v>
      </c>
      <c r="D959" t="str">
        <f>IF(ISERROR(VLOOKUP(E959,Nombres!A:D,3,FALSE)),"PROBLEMAAAAAA",VLOOKUP(E959,Nombres!A:D,3,FALSE))</f>
        <v>Osasuna</v>
      </c>
      <c r="E959" t="s">
        <v>88</v>
      </c>
      <c r="F959" s="1">
        <v>45959</v>
      </c>
      <c r="G959" t="s">
        <v>768</v>
      </c>
      <c r="H959" t="s">
        <v>10</v>
      </c>
      <c r="I959" s="2">
        <v>14007810</v>
      </c>
    </row>
    <row r="960" spans="1:9" x14ac:dyDescent="0.25">
      <c r="A960">
        <v>959</v>
      </c>
      <c r="B960" t="str">
        <f>IF(ISERROR(VLOOKUP(E960,Nombres!A:D,2,FALSE)),"PROBLEMAAAAAA",VLOOKUP(E960,Nombres!A:D,2,FALSE))</f>
        <v>Vivian</v>
      </c>
      <c r="C960" t="str">
        <f>IF(ISERROR(VLOOKUP(E960,Nombres!A:D,4,FALSE)),"PROBLEMAAAAAA",VLOOKUP(E960,Nombres!A:D,4,FALSE))</f>
        <v>DEF</v>
      </c>
      <c r="D960" t="str">
        <f>IF(ISERROR(VLOOKUP(E960,Nombres!A:D,3,FALSE)),"PROBLEMAAAAAA",VLOOKUP(E960,Nombres!A:D,3,FALSE))</f>
        <v>Athletic</v>
      </c>
      <c r="E960" t="s">
        <v>213</v>
      </c>
      <c r="F960" s="1">
        <v>45959</v>
      </c>
      <c r="G960" t="s">
        <v>11</v>
      </c>
      <c r="H960" t="s">
        <v>12</v>
      </c>
      <c r="I960" s="2">
        <v>39200833</v>
      </c>
    </row>
    <row r="961" spans="1:9" x14ac:dyDescent="0.25">
      <c r="A961">
        <v>960</v>
      </c>
      <c r="B961" t="str">
        <f>IF(ISERROR(VLOOKUP(E961,Nombres!A:D,2,FALSE)),"PROBLEMAAAAAA",VLOOKUP(E961,Nombres!A:D,2,FALSE))</f>
        <v>Oyarzabal</v>
      </c>
      <c r="C961" t="str">
        <f>IF(ISERROR(VLOOKUP(E961,Nombres!A:D,4,FALSE)),"PROBLEMAAAAAA",VLOOKUP(E961,Nombres!A:D,4,FALSE))</f>
        <v>DEL</v>
      </c>
      <c r="D961" t="str">
        <f>IF(ISERROR(VLOOKUP(E961,Nombres!A:D,3,FALSE)),"PROBLEMAAAAAA",VLOOKUP(E961,Nombres!A:D,3,FALSE))</f>
        <v>Real Sociedad</v>
      </c>
      <c r="E961" t="s">
        <v>136</v>
      </c>
      <c r="F961" s="1">
        <v>45959</v>
      </c>
      <c r="G961" t="s">
        <v>12</v>
      </c>
      <c r="H961" t="s">
        <v>7</v>
      </c>
      <c r="I961" s="2">
        <v>43160079</v>
      </c>
    </row>
    <row r="962" spans="1:9" x14ac:dyDescent="0.25">
      <c r="A962">
        <v>961</v>
      </c>
      <c r="B962" t="str">
        <f>IF(ISERROR(VLOOKUP(E962,Nombres!A:D,2,FALSE)),"PROBLEMAAAAAA",VLOOKUP(E962,Nombres!A:D,2,FALSE))</f>
        <v>Iglesias</v>
      </c>
      <c r="C962" t="str">
        <f>IF(ISERROR(VLOOKUP(E962,Nombres!A:D,4,FALSE)),"PROBLEMAAAAAA",VLOOKUP(E962,Nombres!A:D,4,FALSE))</f>
        <v>DEL</v>
      </c>
      <c r="D962" t="str">
        <f>IF(ISERROR(VLOOKUP(E962,Nombres!A:D,3,FALSE)),"PROBLEMAAAAAA",VLOOKUP(E962,Nombres!A:D,3,FALSE))</f>
        <v>Celta</v>
      </c>
      <c r="E962" t="s">
        <v>766</v>
      </c>
      <c r="F962" s="1">
        <v>45959</v>
      </c>
      <c r="G962" t="s">
        <v>7</v>
      </c>
      <c r="H962" t="s">
        <v>14</v>
      </c>
      <c r="I962" s="2">
        <v>17552500</v>
      </c>
    </row>
    <row r="963" spans="1:9" x14ac:dyDescent="0.25">
      <c r="A963">
        <v>962</v>
      </c>
      <c r="B963" t="str">
        <f>IF(ISERROR(VLOOKUP(E963,Nombres!A:D,2,FALSE)),"PROBLEMAAAAAA",VLOOKUP(E963,Nombres!A:D,2,FALSE))</f>
        <v>Iglesias</v>
      </c>
      <c r="C963" t="str">
        <f>IF(ISERROR(VLOOKUP(E963,Nombres!A:D,4,FALSE)),"PROBLEMAAAAAA",VLOOKUP(E963,Nombres!A:D,4,FALSE))</f>
        <v>DEF</v>
      </c>
      <c r="D963" t="str">
        <f>IF(ISERROR(VLOOKUP(E963,Nombres!A:D,3,FALSE)),"PROBLEMAAAAAA",VLOOKUP(E963,Nombres!A:D,3,FALSE))</f>
        <v>Getafe</v>
      </c>
      <c r="E963" t="s">
        <v>215</v>
      </c>
      <c r="F963" s="1">
        <v>45960</v>
      </c>
      <c r="G963" t="s">
        <v>8</v>
      </c>
      <c r="H963" t="s">
        <v>9</v>
      </c>
      <c r="I963" s="2">
        <v>2369904</v>
      </c>
    </row>
    <row r="964" spans="1:9" x14ac:dyDescent="0.25">
      <c r="A964">
        <v>963</v>
      </c>
      <c r="B964" t="str">
        <f>IF(ISERROR(VLOOKUP(E964,Nombres!A:D,2,FALSE)),"PROBLEMAAAAAA",VLOOKUP(E964,Nombres!A:D,2,FALSE))</f>
        <v>Dolan</v>
      </c>
      <c r="C964" t="str">
        <f>IF(ISERROR(VLOOKUP(E964,Nombres!A:D,4,FALSE)),"PROBLEMAAAAAA",VLOOKUP(E964,Nombres!A:D,4,FALSE))</f>
        <v>DEL</v>
      </c>
      <c r="D964" t="str">
        <f>IF(ISERROR(VLOOKUP(E964,Nombres!A:D,3,FALSE)),"PROBLEMAAAAAA",VLOOKUP(E964,Nombres!A:D,3,FALSE))</f>
        <v>Espanyol</v>
      </c>
      <c r="E964" t="s">
        <v>295</v>
      </c>
      <c r="F964" s="1">
        <v>45960</v>
      </c>
      <c r="G964" t="s">
        <v>8</v>
      </c>
      <c r="H964" t="s">
        <v>9</v>
      </c>
      <c r="I964" s="2">
        <v>8465783</v>
      </c>
    </row>
    <row r="965" spans="1:9" x14ac:dyDescent="0.25">
      <c r="A965">
        <v>964</v>
      </c>
      <c r="B965" t="str">
        <f>IF(ISERROR(VLOOKUP(E965,Nombres!A:D,2,FALSE)),"PROBLEMAAAAAA",VLOOKUP(E965,Nombres!A:D,2,FALSE))</f>
        <v>Pau López</v>
      </c>
      <c r="C965" t="str">
        <f>IF(ISERROR(VLOOKUP(E965,Nombres!A:D,4,FALSE)),"PROBLEMAAAAAA",VLOOKUP(E965,Nombres!A:D,4,FALSE))</f>
        <v>POR</v>
      </c>
      <c r="D965" t="str">
        <f>IF(ISERROR(VLOOKUP(E965,Nombres!A:D,3,FALSE)),"PROBLEMAAAAAA",VLOOKUP(E965,Nombres!A:D,3,FALSE))</f>
        <v>Betis</v>
      </c>
      <c r="E965" t="s">
        <v>266</v>
      </c>
      <c r="F965" s="1">
        <v>45960</v>
      </c>
      <c r="G965" t="s">
        <v>12</v>
      </c>
      <c r="H965" t="s">
        <v>8</v>
      </c>
      <c r="I965" s="2">
        <v>14758698</v>
      </c>
    </row>
    <row r="966" spans="1:9" x14ac:dyDescent="0.25">
      <c r="A966">
        <v>965</v>
      </c>
      <c r="B966" t="str">
        <f>IF(ISERROR(VLOOKUP(E966,Nombres!A:D,2,FALSE)),"PROBLEMAAAAAA",VLOOKUP(E966,Nombres!A:D,2,FALSE))</f>
        <v>Ryan</v>
      </c>
      <c r="C966" t="str">
        <f>IF(ISERROR(VLOOKUP(E966,Nombres!A:D,4,FALSE)),"PROBLEMAAAAAA",VLOOKUP(E966,Nombres!A:D,4,FALSE))</f>
        <v>POR</v>
      </c>
      <c r="D966" t="str">
        <f>IF(ISERROR(VLOOKUP(E966,Nombres!A:D,3,FALSE)),"PROBLEMAAAAAA",VLOOKUP(E966,Nombres!A:D,3,FALSE))</f>
        <v>Levante</v>
      </c>
      <c r="E966" t="s">
        <v>322</v>
      </c>
      <c r="F966" s="1">
        <v>45960</v>
      </c>
      <c r="G966" t="s">
        <v>8</v>
      </c>
      <c r="H966" t="s">
        <v>768</v>
      </c>
      <c r="I966" s="2">
        <v>10000000</v>
      </c>
    </row>
    <row r="967" spans="1:9" x14ac:dyDescent="0.25">
      <c r="A967">
        <v>966</v>
      </c>
      <c r="B967" t="str">
        <f>IF(ISERROR(VLOOKUP(E967,Nombres!A:D,2,FALSE)),"PROBLEMAAAAAA",VLOOKUP(E967,Nombres!A:D,2,FALSE))</f>
        <v>M. Alonso</v>
      </c>
      <c r="C967" t="str">
        <f>IF(ISERROR(VLOOKUP(E967,Nombres!A:D,4,FALSE)),"PROBLEMAAAAAA",VLOOKUP(E967,Nombres!A:D,4,FALSE))</f>
        <v>DEF</v>
      </c>
      <c r="D967" t="str">
        <f>IF(ISERROR(VLOOKUP(E967,Nombres!A:D,3,FALSE)),"PROBLEMAAAAAA",VLOOKUP(E967,Nombres!A:D,3,FALSE))</f>
        <v>Celta</v>
      </c>
      <c r="E967" t="s">
        <v>181</v>
      </c>
      <c r="F967" s="1">
        <v>45960</v>
      </c>
      <c r="G967" t="s">
        <v>8</v>
      </c>
      <c r="H967" t="s">
        <v>7</v>
      </c>
      <c r="I967" s="2">
        <v>18644883</v>
      </c>
    </row>
    <row r="968" spans="1:9" x14ac:dyDescent="0.25">
      <c r="A968">
        <v>967</v>
      </c>
      <c r="B968" t="str">
        <f>IF(ISERROR(VLOOKUP(E968,Nombres!A:D,2,FALSE)),"PROBLEMAAAAAA",VLOOKUP(E968,Nombres!A:D,2,FALSE))</f>
        <v>Ratiu</v>
      </c>
      <c r="C968" t="str">
        <f>IF(ISERROR(VLOOKUP(E968,Nombres!A:D,4,FALSE)),"PROBLEMAAAAAA",VLOOKUP(E968,Nombres!A:D,4,FALSE))</f>
        <v>DEF</v>
      </c>
      <c r="D968" t="str">
        <f>IF(ISERROR(VLOOKUP(E968,Nombres!A:D,3,FALSE)),"PROBLEMAAAAAA",VLOOKUP(E968,Nombres!A:D,3,FALSE))</f>
        <v>Rayo</v>
      </c>
      <c r="E968" t="s">
        <v>310</v>
      </c>
      <c r="F968" s="1">
        <v>45960</v>
      </c>
      <c r="G968" t="s">
        <v>8</v>
      </c>
      <c r="H968" t="s">
        <v>12</v>
      </c>
      <c r="I968" s="2">
        <v>28741587</v>
      </c>
    </row>
    <row r="969" spans="1:9" x14ac:dyDescent="0.25">
      <c r="A969">
        <v>968</v>
      </c>
      <c r="B969" t="str">
        <f>IF(ISERROR(VLOOKUP(E969,Nombres!A:D,2,FALSE)),"PROBLEMAAAAAA",VLOOKUP(E969,Nombres!A:D,2,FALSE))</f>
        <v>Djené</v>
      </c>
      <c r="C969" t="str">
        <f>IF(ISERROR(VLOOKUP(E969,Nombres!A:D,4,FALSE)),"PROBLEMAAAAAA",VLOOKUP(E969,Nombres!A:D,4,FALSE))</f>
        <v>DEF</v>
      </c>
      <c r="D969" t="str">
        <f>IF(ISERROR(VLOOKUP(E969,Nombres!A:D,3,FALSE)),"PROBLEMAAAAAA",VLOOKUP(E969,Nombres!A:D,3,FALSE))</f>
        <v>Getafe</v>
      </c>
      <c r="E969" t="s">
        <v>783</v>
      </c>
      <c r="F969" s="1">
        <v>45960</v>
      </c>
      <c r="G969" t="s">
        <v>10</v>
      </c>
      <c r="H969" t="s">
        <v>31</v>
      </c>
      <c r="I969" s="2">
        <v>13987542</v>
      </c>
    </row>
    <row r="970" spans="1:9" x14ac:dyDescent="0.25">
      <c r="A970">
        <v>969</v>
      </c>
      <c r="B970" t="str">
        <f>IF(ISERROR(VLOOKUP(E970,Nombres!A:D,2,FALSE)),"PROBLEMAAAAAA",VLOOKUP(E970,Nombres!A:D,2,FALSE))</f>
        <v>Martim Neto</v>
      </c>
      <c r="C970" t="str">
        <f>IF(ISERROR(VLOOKUP(E970,Nombres!A:D,4,FALSE)),"PROBLEMAAAAAA",VLOOKUP(E970,Nombres!A:D,4,FALSE))</f>
        <v>MED</v>
      </c>
      <c r="D970" t="str">
        <f>IF(ISERROR(VLOOKUP(E970,Nombres!A:D,3,FALSE)),"PROBLEMAAAAAA",VLOOKUP(E970,Nombres!A:D,3,FALSE))</f>
        <v>Elche</v>
      </c>
      <c r="E970" t="s">
        <v>320</v>
      </c>
      <c r="F970" s="1">
        <v>45960</v>
      </c>
      <c r="G970" t="s">
        <v>7</v>
      </c>
      <c r="H970" t="s">
        <v>13</v>
      </c>
      <c r="I970" s="2">
        <v>6085841</v>
      </c>
    </row>
    <row r="971" spans="1:9" x14ac:dyDescent="0.25">
      <c r="A971">
        <v>970</v>
      </c>
      <c r="B971" t="str">
        <f>IF(ISERROR(VLOOKUP(E971,Nombres!A:D,2,FALSE)),"PROBLEMAAAAAA",VLOOKUP(E971,Nombres!A:D,2,FALSE))</f>
        <v>Manu Sánchez</v>
      </c>
      <c r="C971" t="str">
        <f>IF(ISERROR(VLOOKUP(E971,Nombres!A:D,4,FALSE)),"PROBLEMAAAAAA",VLOOKUP(E971,Nombres!A:D,4,FALSE))</f>
        <v>DEF</v>
      </c>
      <c r="D971" t="str">
        <f>IF(ISERROR(VLOOKUP(E971,Nombres!A:D,3,FALSE)),"PROBLEMAAAAAA",VLOOKUP(E971,Nombres!A:D,3,FALSE))</f>
        <v>Levante</v>
      </c>
      <c r="E971" t="s">
        <v>777</v>
      </c>
      <c r="F971" s="1">
        <v>45960</v>
      </c>
      <c r="G971" t="s">
        <v>768</v>
      </c>
      <c r="H971" t="s">
        <v>6</v>
      </c>
      <c r="I971" s="2">
        <v>2160657</v>
      </c>
    </row>
    <row r="972" spans="1:9" x14ac:dyDescent="0.25">
      <c r="A972">
        <v>971</v>
      </c>
      <c r="B972" t="str">
        <f>IF(ISERROR(VLOOKUP(E972,Nombres!A:D,2,FALSE)),"PROBLEMAAAAAA",VLOOKUP(E972,Nombres!A:D,2,FALSE))</f>
        <v>Mouriño</v>
      </c>
      <c r="C972" t="str">
        <f>IF(ISERROR(VLOOKUP(E972,Nombres!A:D,4,FALSE)),"PROBLEMAAAAAA",VLOOKUP(E972,Nombres!A:D,4,FALSE))</f>
        <v>DEF</v>
      </c>
      <c r="D972" t="str">
        <f>IF(ISERROR(VLOOKUP(E972,Nombres!A:D,3,FALSE)),"PROBLEMAAAAAA",VLOOKUP(E972,Nombres!A:D,3,FALSE))</f>
        <v>Villarreal</v>
      </c>
      <c r="E972" t="s">
        <v>70</v>
      </c>
      <c r="F972" s="1">
        <v>45960</v>
      </c>
      <c r="G972" t="s">
        <v>31</v>
      </c>
      <c r="H972" t="s">
        <v>13</v>
      </c>
      <c r="I972" s="2">
        <v>21315426</v>
      </c>
    </row>
    <row r="973" spans="1:9" x14ac:dyDescent="0.25">
      <c r="A973">
        <v>972</v>
      </c>
      <c r="B973" t="str">
        <f>IF(ISERROR(VLOOKUP(E973,Nombres!A:D,2,FALSE)),"PROBLEMAAAAAA",VLOOKUP(E973,Nombres!A:D,2,FALSE))</f>
        <v>Areso</v>
      </c>
      <c r="C973" t="str">
        <f>IF(ISERROR(VLOOKUP(E973,Nombres!A:D,4,FALSE)),"PROBLEMAAAAAA",VLOOKUP(E973,Nombres!A:D,4,FALSE))</f>
        <v>DEF</v>
      </c>
      <c r="D973" t="str">
        <f>IF(ISERROR(VLOOKUP(E973,Nombres!A:D,3,FALSE)),"PROBLEMAAAAAA",VLOOKUP(E973,Nombres!A:D,3,FALSE))</f>
        <v>Athletic</v>
      </c>
      <c r="E973" t="s">
        <v>34</v>
      </c>
      <c r="F973" s="1">
        <v>45960</v>
      </c>
      <c r="G973" t="s">
        <v>31</v>
      </c>
      <c r="H973" t="s">
        <v>13</v>
      </c>
      <c r="I973" s="2">
        <v>15881043</v>
      </c>
    </row>
    <row r="974" spans="1:9" x14ac:dyDescent="0.25">
      <c r="A974">
        <v>973</v>
      </c>
      <c r="B974" t="str">
        <f>IF(ISERROR(VLOOKUP(E974,Nombres!A:D,2,FALSE)),"PROBLEMAAAAAA",VLOOKUP(E974,Nombres!A:D,2,FALSE))</f>
        <v>Güler</v>
      </c>
      <c r="C974" t="str">
        <f>IF(ISERROR(VLOOKUP(E974,Nombres!A:D,4,FALSE)),"PROBLEMAAAAAA",VLOOKUP(E974,Nombres!A:D,4,FALSE))</f>
        <v>MED</v>
      </c>
      <c r="D974" t="str">
        <f>IF(ISERROR(VLOOKUP(E974,Nombres!A:D,3,FALSE)),"PROBLEMAAAAAA",VLOOKUP(E974,Nombres!A:D,3,FALSE))</f>
        <v>Real Madrid</v>
      </c>
      <c r="E974" t="s">
        <v>38</v>
      </c>
      <c r="F974" s="1">
        <v>45960</v>
      </c>
      <c r="G974" t="s">
        <v>13</v>
      </c>
      <c r="H974" t="s">
        <v>7</v>
      </c>
      <c r="I974" s="2">
        <v>122854925</v>
      </c>
    </row>
    <row r="975" spans="1:9" x14ac:dyDescent="0.25">
      <c r="A975">
        <v>974</v>
      </c>
      <c r="B975" t="str">
        <f>IF(ISERROR(VLOOKUP(E975,Nombres!A:D,2,FALSE)),"PROBLEMAAAAAA",VLOOKUP(E975,Nombres!A:D,2,FALSE))</f>
        <v>Rubén G.</v>
      </c>
      <c r="C975" t="str">
        <f>IF(ISERROR(VLOOKUP(E975,Nombres!A:D,4,FALSE)),"PROBLEMAAAAAA",VLOOKUP(E975,Nombres!A:D,4,FALSE))</f>
        <v>MED</v>
      </c>
      <c r="D975" t="str">
        <f>IF(ISERROR(VLOOKUP(E975,Nombres!A:D,3,FALSE)),"PROBLEMAAAAAA",VLOOKUP(E975,Nombres!A:D,3,FALSE))</f>
        <v>Osasuna</v>
      </c>
      <c r="E975" t="s">
        <v>37</v>
      </c>
      <c r="F975" s="1">
        <v>45960</v>
      </c>
      <c r="G975" t="s">
        <v>768</v>
      </c>
      <c r="H975" t="s">
        <v>10</v>
      </c>
      <c r="I975" s="2">
        <v>5875421</v>
      </c>
    </row>
    <row r="976" spans="1:9" x14ac:dyDescent="0.25">
      <c r="A976">
        <v>975</v>
      </c>
      <c r="B976" t="str">
        <f>IF(ISERROR(VLOOKUP(E976,Nombres!A:D,2,FALSE)),"PROBLEMAAAAAA",VLOOKUP(E976,Nombres!A:D,2,FALSE))</f>
        <v>C. Álvarez</v>
      </c>
      <c r="C976" t="str">
        <f>IF(ISERROR(VLOOKUP(E976,Nombres!A:D,4,FALSE)),"PROBLEMAAAAAA",VLOOKUP(E976,Nombres!A:D,4,FALSE))</f>
        <v>MED</v>
      </c>
      <c r="D976" t="str">
        <f>IF(ISERROR(VLOOKUP(E976,Nombres!A:D,3,FALSE)),"PROBLEMAAAAAA",VLOOKUP(E976,Nombres!A:D,3,FALSE))</f>
        <v>Levante</v>
      </c>
      <c r="E976" t="s">
        <v>331</v>
      </c>
      <c r="F976" s="1">
        <v>45960</v>
      </c>
      <c r="G976" t="s">
        <v>10</v>
      </c>
      <c r="H976" t="s">
        <v>6</v>
      </c>
      <c r="I976" s="2">
        <v>26980873</v>
      </c>
    </row>
    <row r="977" spans="1:9" x14ac:dyDescent="0.25">
      <c r="A977">
        <v>976</v>
      </c>
      <c r="B977" t="str">
        <f>IF(ISERROR(VLOOKUP(E977,Nombres!A:D,2,FALSE)),"PROBLEMAAAAAA",VLOOKUP(E977,Nombres!A:D,2,FALSE))</f>
        <v>Sow</v>
      </c>
      <c r="C977" t="str">
        <f>IF(ISERROR(VLOOKUP(E977,Nombres!A:D,4,FALSE)),"PROBLEMAAAAAA",VLOOKUP(E977,Nombres!A:D,4,FALSE))</f>
        <v>MED</v>
      </c>
      <c r="D977" t="str">
        <f>IF(ISERROR(VLOOKUP(E977,Nombres!A:D,3,FALSE)),"PROBLEMAAAAAA",VLOOKUP(E977,Nombres!A:D,3,FALSE))</f>
        <v>Sevilla</v>
      </c>
      <c r="E977" t="s">
        <v>132</v>
      </c>
      <c r="F977" s="1">
        <v>45960</v>
      </c>
      <c r="G977" t="s">
        <v>768</v>
      </c>
      <c r="H977" t="s">
        <v>8</v>
      </c>
      <c r="I977" s="2">
        <v>2213460</v>
      </c>
    </row>
    <row r="978" spans="1:9" x14ac:dyDescent="0.25">
      <c r="A978">
        <v>977</v>
      </c>
      <c r="B978" t="str">
        <f>IF(ISERROR(VLOOKUP(E978,Nombres!A:D,2,FALSE)),"PROBLEMAAAAAA",VLOOKUP(E978,Nombres!A:D,2,FALSE))</f>
        <v>Ibáñez</v>
      </c>
      <c r="C978" t="str">
        <f>IF(ISERROR(VLOOKUP(E978,Nombres!A:D,4,FALSE)),"PROBLEMAAAAAA",VLOOKUP(E978,Nombres!A:D,4,FALSE))</f>
        <v>MED</v>
      </c>
      <c r="D978" t="str">
        <f>IF(ISERROR(VLOOKUP(E978,Nombres!A:D,3,FALSE)),"PROBLEMAAAAAA",VLOOKUP(E978,Nombres!A:D,3,FALSE))</f>
        <v>Alavés</v>
      </c>
      <c r="E978" t="s">
        <v>782</v>
      </c>
      <c r="F978" s="1">
        <v>45961</v>
      </c>
      <c r="G978" t="s">
        <v>31</v>
      </c>
      <c r="H978" t="s">
        <v>13</v>
      </c>
      <c r="I978" s="2">
        <v>2601491</v>
      </c>
    </row>
    <row r="979" spans="1:9" x14ac:dyDescent="0.25">
      <c r="A979">
        <v>978</v>
      </c>
      <c r="B979" t="str">
        <f>IF(ISERROR(VLOOKUP(E979,Nombres!A:D,2,FALSE)),"PROBLEMAAAAAA",VLOOKUP(E979,Nombres!A:D,2,FALSE))</f>
        <v>Aspas</v>
      </c>
      <c r="C979" t="str">
        <f>IF(ISERROR(VLOOKUP(E979,Nombres!A:D,4,FALSE)),"PROBLEMAAAAAA",VLOOKUP(E979,Nombres!A:D,4,FALSE))</f>
        <v>DEL</v>
      </c>
      <c r="D979" t="str">
        <f>IF(ISERROR(VLOOKUP(E979,Nombres!A:D,3,FALSE)),"PROBLEMAAAAAA",VLOOKUP(E979,Nombres!A:D,3,FALSE))</f>
        <v>Celta</v>
      </c>
      <c r="E979" t="s">
        <v>497</v>
      </c>
      <c r="F979" s="1">
        <v>45961</v>
      </c>
      <c r="G979" t="s">
        <v>13</v>
      </c>
      <c r="H979" t="s">
        <v>31</v>
      </c>
      <c r="I979" s="2">
        <v>12161036</v>
      </c>
    </row>
    <row r="980" spans="1:9" x14ac:dyDescent="0.25">
      <c r="A980">
        <v>979</v>
      </c>
      <c r="B980" t="str">
        <f>IF(ISERROR(VLOOKUP(E980,Nombres!A:D,2,FALSE)),"PROBLEMAAAAAA",VLOOKUP(E980,Nombres!A:D,2,FALSE))</f>
        <v>Mojica</v>
      </c>
      <c r="C980" t="str">
        <f>IF(ISERROR(VLOOKUP(E980,Nombres!A:D,4,FALSE)),"PROBLEMAAAAAA",VLOOKUP(E980,Nombres!A:D,4,FALSE))</f>
        <v>DEF</v>
      </c>
      <c r="D980" t="str">
        <f>IF(ISERROR(VLOOKUP(E980,Nombres!A:D,3,FALSE)),"PROBLEMAAAAAA",VLOOKUP(E980,Nombres!A:D,3,FALSE))</f>
        <v>Mallorca</v>
      </c>
      <c r="E980" t="s">
        <v>173</v>
      </c>
      <c r="F980" s="1">
        <v>45961</v>
      </c>
      <c r="G980" t="s">
        <v>14</v>
      </c>
      <c r="H980" t="s">
        <v>31</v>
      </c>
      <c r="I980" s="2">
        <v>8800005</v>
      </c>
    </row>
    <row r="981" spans="1:9" x14ac:dyDescent="0.25">
      <c r="A981">
        <v>980</v>
      </c>
      <c r="B981" t="str">
        <f>IF(ISERROR(VLOOKUP(E981,Nombres!A:D,2,FALSE)),"PROBLEMAAAAAA",VLOOKUP(E981,Nombres!A:D,2,FALSE))</f>
        <v>Víctor Muñoz</v>
      </c>
      <c r="C981" t="str">
        <f>IF(ISERROR(VLOOKUP(E981,Nombres!A:D,4,FALSE)),"PROBLEMAAAAAA",VLOOKUP(E981,Nombres!A:D,4,FALSE))</f>
        <v>DEL</v>
      </c>
      <c r="D981" t="str">
        <f>IF(ISERROR(VLOOKUP(E981,Nombres!A:D,3,FALSE)),"PROBLEMAAAAAA",VLOOKUP(E981,Nombres!A:D,3,FALSE))</f>
        <v>Osasuna</v>
      </c>
      <c r="E981" t="s">
        <v>270</v>
      </c>
      <c r="F981" s="1">
        <v>45962</v>
      </c>
      <c r="G981" t="s">
        <v>31</v>
      </c>
      <c r="H981" t="s">
        <v>13</v>
      </c>
      <c r="I981" s="2">
        <v>11669144</v>
      </c>
    </row>
    <row r="982" spans="1:9" x14ac:dyDescent="0.25">
      <c r="A982">
        <v>981</v>
      </c>
      <c r="B982" t="str">
        <f>IF(ISERROR(VLOOKUP(E982,Nombres!A:D,2,FALSE)),"PROBLEMAAAAAA",VLOOKUP(E982,Nombres!A:D,2,FALSE))</f>
        <v>A. F. Carreras</v>
      </c>
      <c r="C982" t="str">
        <f>IF(ISERROR(VLOOKUP(E982,Nombres!A:D,4,FALSE)),"PROBLEMAAAAAA",VLOOKUP(E982,Nombres!A:D,4,FALSE))</f>
        <v>DEF</v>
      </c>
      <c r="D982" t="str">
        <f>IF(ISERROR(VLOOKUP(E982,Nombres!A:D,3,FALSE)),"PROBLEMAAAAAA",VLOOKUP(E982,Nombres!A:D,3,FALSE))</f>
        <v>Real Madrid</v>
      </c>
      <c r="E982" t="s">
        <v>36</v>
      </c>
      <c r="F982" s="1">
        <v>45962</v>
      </c>
      <c r="G982" t="s">
        <v>6</v>
      </c>
      <c r="H982" t="s">
        <v>31</v>
      </c>
      <c r="I982" s="2">
        <v>61250000</v>
      </c>
    </row>
    <row r="983" spans="1:9" x14ac:dyDescent="0.25">
      <c r="A983">
        <v>982</v>
      </c>
      <c r="B983" t="str">
        <f>IF(ISERROR(VLOOKUP(E983,Nombres!A:D,2,FALSE)),"PROBLEMAAAAAA",VLOOKUP(E983,Nombres!A:D,2,FALSE))</f>
        <v>Comesaña</v>
      </c>
      <c r="C983" t="str">
        <f>IF(ISERROR(VLOOKUP(E983,Nombres!A:D,4,FALSE)),"PROBLEMAAAAAA",VLOOKUP(E983,Nombres!A:D,4,FALSE))</f>
        <v>MED</v>
      </c>
      <c r="D983" t="str">
        <f>IF(ISERROR(VLOOKUP(E983,Nombres!A:D,3,FALSE)),"PROBLEMAAAAAA",VLOOKUP(E983,Nombres!A:D,3,FALSE))</f>
        <v>Villarreal</v>
      </c>
      <c r="E983" t="s">
        <v>145</v>
      </c>
      <c r="F983" s="1">
        <v>45962</v>
      </c>
      <c r="G983" t="s">
        <v>6</v>
      </c>
      <c r="H983" t="s">
        <v>31</v>
      </c>
      <c r="I983" s="2">
        <v>13124118</v>
      </c>
    </row>
    <row r="984" spans="1:9" x14ac:dyDescent="0.25">
      <c r="A984">
        <v>983</v>
      </c>
      <c r="B984" t="str">
        <f>IF(ISERROR(VLOOKUP(E984,Nombres!A:D,2,FALSE)),"PROBLEMAAAAAA",VLOOKUP(E984,Nombres!A:D,2,FALSE))</f>
        <v>Barrenetxea</v>
      </c>
      <c r="C984" t="str">
        <f>IF(ISERROR(VLOOKUP(E984,Nombres!A:D,4,FALSE)),"PROBLEMAAAAAA",VLOOKUP(E984,Nombres!A:D,4,FALSE))</f>
        <v>MED</v>
      </c>
      <c r="D984" t="str">
        <f>IF(ISERROR(VLOOKUP(E984,Nombres!A:D,3,FALSE)),"PROBLEMAAAAAA",VLOOKUP(E984,Nombres!A:D,3,FALSE))</f>
        <v>Real Sociedad</v>
      </c>
      <c r="E984" t="s">
        <v>47</v>
      </c>
      <c r="F984" s="1">
        <v>45962</v>
      </c>
      <c r="G984" t="s">
        <v>31</v>
      </c>
      <c r="H984" t="s">
        <v>13</v>
      </c>
      <c r="I984" s="2">
        <v>58141897</v>
      </c>
    </row>
    <row r="985" spans="1:9" x14ac:dyDescent="0.25">
      <c r="A985">
        <v>984</v>
      </c>
      <c r="B985" t="str">
        <f>IF(ISERROR(VLOOKUP(E985,Nombres!A:D,2,FALSE)),"PROBLEMAAAAAA",VLOOKUP(E985,Nombres!A:D,2,FALSE))</f>
        <v>Cabrera</v>
      </c>
      <c r="C985" t="str">
        <f>IF(ISERROR(VLOOKUP(E985,Nombres!A:D,4,FALSE)),"PROBLEMAAAAAA",VLOOKUP(E985,Nombres!A:D,4,FALSE))</f>
        <v>DEF</v>
      </c>
      <c r="D985" t="str">
        <f>IF(ISERROR(VLOOKUP(E985,Nombres!A:D,3,FALSE)),"PROBLEMAAAAAA",VLOOKUP(E985,Nombres!A:D,3,FALSE))</f>
        <v>Espanyol</v>
      </c>
      <c r="E985" t="s">
        <v>200</v>
      </c>
      <c r="F985" s="1">
        <v>45962</v>
      </c>
      <c r="G985" t="s">
        <v>13</v>
      </c>
      <c r="H985" t="s">
        <v>12</v>
      </c>
      <c r="I985" s="2">
        <v>15010001</v>
      </c>
    </row>
    <row r="986" spans="1:9" x14ac:dyDescent="0.25">
      <c r="A986">
        <v>985</v>
      </c>
      <c r="B986" t="str">
        <f>IF(ISERROR(VLOOKUP(E986,Nombres!A:D,2,FALSE)),"PROBLEMAAAAAA",VLOOKUP(E986,Nombres!A:D,2,FALSE))</f>
        <v>Herrera</v>
      </c>
      <c r="C986" t="str">
        <f>IF(ISERROR(VLOOKUP(E986,Nombres!A:D,4,FALSE)),"PROBLEMAAAAAA",VLOOKUP(E986,Nombres!A:D,4,FALSE))</f>
        <v>MED</v>
      </c>
      <c r="D986" t="str">
        <f>IF(ISERROR(VLOOKUP(E986,Nombres!A:D,3,FALSE)),"PROBLEMAAAAAA",VLOOKUP(E986,Nombres!A:D,3,FALSE))</f>
        <v>Real Sociedad</v>
      </c>
      <c r="E986" t="s">
        <v>121</v>
      </c>
      <c r="F986" s="1">
        <v>45963</v>
      </c>
      <c r="G986" t="s">
        <v>31</v>
      </c>
      <c r="H986" t="s">
        <v>6</v>
      </c>
      <c r="I986" s="2">
        <v>1784645</v>
      </c>
    </row>
    <row r="987" spans="1:9" x14ac:dyDescent="0.25">
      <c r="A987">
        <v>986</v>
      </c>
      <c r="B987" t="str">
        <f>IF(ISERROR(VLOOKUP(E987,Nombres!A:D,2,FALSE)),"PROBLEMAAAAAA",VLOOKUP(E987,Nombres!A:D,2,FALSE))</f>
        <v>Kubo</v>
      </c>
      <c r="C987" t="str">
        <f>IF(ISERROR(VLOOKUP(E987,Nombres!A:D,4,FALSE)),"PROBLEMAAAAAA",VLOOKUP(E987,Nombres!A:D,4,FALSE))</f>
        <v>MED</v>
      </c>
      <c r="D987" t="str">
        <f>IF(ISERROR(VLOOKUP(E987,Nombres!A:D,3,FALSE)),"PROBLEMAAAAAA",VLOOKUP(E987,Nombres!A:D,3,FALSE))</f>
        <v>Real Sociedad</v>
      </c>
      <c r="E987" t="s">
        <v>232</v>
      </c>
      <c r="F987" s="1">
        <v>45963</v>
      </c>
      <c r="G987" t="s">
        <v>7</v>
      </c>
      <c r="H987" t="s">
        <v>31</v>
      </c>
      <c r="I987" s="2">
        <v>20324686</v>
      </c>
    </row>
    <row r="988" spans="1:9" x14ac:dyDescent="0.25">
      <c r="A988">
        <v>987</v>
      </c>
      <c r="B988" t="str">
        <f>IF(ISERROR(VLOOKUP(E988,Nombres!A:D,2,FALSE)),"PROBLEMAAAAAA",VLOOKUP(E988,Nombres!A:D,2,FALSE))</f>
        <v>Roca</v>
      </c>
      <c r="C988" t="str">
        <f>IF(ISERROR(VLOOKUP(E988,Nombres!A:D,4,FALSE)),"PROBLEMAAAAAA",VLOOKUP(E988,Nombres!A:D,4,FALSE))</f>
        <v>DEL</v>
      </c>
      <c r="D988" t="str">
        <f>IF(ISERROR(VLOOKUP(E988,Nombres!A:D,3,FALSE)),"PROBLEMAAAAAA",VLOOKUP(E988,Nombres!A:D,3,FALSE))</f>
        <v>Girona</v>
      </c>
      <c r="E988" t="s">
        <v>784</v>
      </c>
      <c r="F988" s="1">
        <v>45963</v>
      </c>
      <c r="G988" t="s">
        <v>7</v>
      </c>
      <c r="H988" t="s">
        <v>31</v>
      </c>
      <c r="I988" s="2">
        <v>2946948</v>
      </c>
    </row>
    <row r="989" spans="1:9" x14ac:dyDescent="0.25">
      <c r="A989">
        <v>988</v>
      </c>
      <c r="B989" t="str">
        <f>IF(ISERROR(VLOOKUP(E989,Nombres!A:D,2,FALSE)),"PROBLEMAAAAAA",VLOOKUP(E989,Nombres!A:D,2,FALSE))</f>
        <v>Fermín</v>
      </c>
      <c r="C989" t="str">
        <f>IF(ISERROR(VLOOKUP(E989,Nombres!A:D,4,FALSE)),"PROBLEMAAAAAA",VLOOKUP(E989,Nombres!A:D,4,FALSE))</f>
        <v>MED</v>
      </c>
      <c r="D989" t="str">
        <f>IF(ISERROR(VLOOKUP(E989,Nombres!A:D,3,FALSE)),"PROBLEMAAAAAA",VLOOKUP(E989,Nombres!A:D,3,FALSE))</f>
        <v>Barcelona</v>
      </c>
      <c r="E989" t="s">
        <v>184</v>
      </c>
      <c r="F989" s="1">
        <v>45964</v>
      </c>
      <c r="G989" t="s">
        <v>11</v>
      </c>
      <c r="H989" t="s">
        <v>14</v>
      </c>
      <c r="I989" s="2">
        <v>55222222</v>
      </c>
    </row>
    <row r="990" spans="1:9" x14ac:dyDescent="0.25">
      <c r="A990">
        <v>989</v>
      </c>
      <c r="B990" t="str">
        <f>IF(ISERROR(VLOOKUP(E990,Nombres!A:D,2,FALSE)),"PROBLEMAAAAAA",VLOOKUP(E990,Nombres!A:D,2,FALSE))</f>
        <v>Koke</v>
      </c>
      <c r="C990" t="str">
        <f>IF(ISERROR(VLOOKUP(E990,Nombres!A:D,4,FALSE)),"PROBLEMAAAAAA",VLOOKUP(E990,Nombres!A:D,4,FALSE))</f>
        <v>MED</v>
      </c>
      <c r="D990" t="str">
        <f>IF(ISERROR(VLOOKUP(E990,Nombres!A:D,3,FALSE)),"PROBLEMAAAAAA",VLOOKUP(E990,Nombres!A:D,3,FALSE))</f>
        <v>Atlético</v>
      </c>
      <c r="E990" t="s">
        <v>156</v>
      </c>
      <c r="F990" s="1">
        <v>45964</v>
      </c>
      <c r="G990" t="s">
        <v>14</v>
      </c>
      <c r="H990" t="s">
        <v>11</v>
      </c>
      <c r="I990" s="2">
        <v>13000000</v>
      </c>
    </row>
    <row r="991" spans="1:9" x14ac:dyDescent="0.25">
      <c r="A991">
        <v>990</v>
      </c>
      <c r="B991" t="str">
        <f>IF(ISERROR(VLOOKUP(E991,Nombres!A:D,2,FALSE)),"PROBLEMAAAAAA",VLOOKUP(E991,Nombres!A:D,2,FALSE))</f>
        <v>Diego López</v>
      </c>
      <c r="C991" t="str">
        <f>IF(ISERROR(VLOOKUP(E991,Nombres!A:D,4,FALSE)),"PROBLEMAAAAAA",VLOOKUP(E991,Nombres!A:D,4,FALSE))</f>
        <v>DEL</v>
      </c>
      <c r="D991" t="str">
        <f>IF(ISERROR(VLOOKUP(E991,Nombres!A:D,3,FALSE)),"PROBLEMAAAAAA",VLOOKUP(E991,Nombres!A:D,3,FALSE))</f>
        <v>Valencia</v>
      </c>
      <c r="E991" t="s">
        <v>159</v>
      </c>
      <c r="F991" s="1">
        <v>45964</v>
      </c>
      <c r="G991" t="s">
        <v>31</v>
      </c>
      <c r="H991" t="s">
        <v>14</v>
      </c>
      <c r="I991" s="2">
        <v>10328338</v>
      </c>
    </row>
    <row r="992" spans="1:9" x14ac:dyDescent="0.25">
      <c r="A992">
        <v>991</v>
      </c>
      <c r="B992" t="str">
        <f>IF(ISERROR(VLOOKUP(E992,Nombres!A:D,2,FALSE)),"PROBLEMAAAAAA",VLOOKUP(E992,Nombres!A:D,2,FALSE))</f>
        <v>Cucho</v>
      </c>
      <c r="C992" t="str">
        <f>IF(ISERROR(VLOOKUP(E992,Nombres!A:D,4,FALSE)),"PROBLEMAAAAAA",VLOOKUP(E992,Nombres!A:D,4,FALSE))</f>
        <v>DEL</v>
      </c>
      <c r="D992" t="str">
        <f>IF(ISERROR(VLOOKUP(E992,Nombres!A:D,3,FALSE)),"PROBLEMAAAAAA",VLOOKUP(E992,Nombres!A:D,3,FALSE))</f>
        <v>Betis</v>
      </c>
      <c r="E992" t="s">
        <v>323</v>
      </c>
      <c r="F992" s="1">
        <v>45964</v>
      </c>
      <c r="G992" t="s">
        <v>14</v>
      </c>
      <c r="H992" t="s">
        <v>10</v>
      </c>
      <c r="I992" s="2">
        <v>49503076</v>
      </c>
    </row>
    <row r="993" spans="1:9" x14ac:dyDescent="0.25">
      <c r="A993">
        <v>992</v>
      </c>
      <c r="B993" t="str">
        <f>IF(ISERROR(VLOOKUP(E993,Nombres!A:D,2,FALSE)),"PROBLEMAAAAAA",VLOOKUP(E993,Nombres!A:D,2,FALSE))</f>
        <v>Aguado</v>
      </c>
      <c r="C993" t="str">
        <f>IF(ISERROR(VLOOKUP(E993,Nombres!A:D,4,FALSE)),"PROBLEMAAAAAA",VLOOKUP(E993,Nombres!A:D,4,FALSE))</f>
        <v>MED</v>
      </c>
      <c r="D993" t="str">
        <f>IF(ISERROR(VLOOKUP(E993,Nombres!A:D,3,FALSE)),"PROBLEMAAAAAA",VLOOKUP(E993,Nombres!A:D,3,FALSE))</f>
        <v>Elche</v>
      </c>
      <c r="E993" t="s">
        <v>466</v>
      </c>
      <c r="F993" s="1">
        <v>45964</v>
      </c>
      <c r="G993" t="s">
        <v>12</v>
      </c>
      <c r="H993" t="s">
        <v>7</v>
      </c>
      <c r="I993" s="2">
        <v>1286806</v>
      </c>
    </row>
    <row r="994" spans="1:9" x14ac:dyDescent="0.25">
      <c r="A994">
        <v>993</v>
      </c>
      <c r="B994" t="str">
        <f>IF(ISERROR(VLOOKUP(E994,Nombres!A:D,2,FALSE)),"PROBLEMAAAAAA",VLOOKUP(E994,Nombres!A:D,2,FALSE))</f>
        <v>Oroz</v>
      </c>
      <c r="C994" t="str">
        <f>IF(ISERROR(VLOOKUP(E994,Nombres!A:D,4,FALSE)),"PROBLEMAAAAAA",VLOOKUP(E994,Nombres!A:D,4,FALSE))</f>
        <v>MED</v>
      </c>
      <c r="D994" t="str">
        <f>IF(ISERROR(VLOOKUP(E994,Nombres!A:D,3,FALSE)),"PROBLEMAAAAAA",VLOOKUP(E994,Nombres!A:D,3,FALSE))</f>
        <v>Osasuna</v>
      </c>
      <c r="E994" t="s">
        <v>286</v>
      </c>
      <c r="F994" s="1">
        <v>45964</v>
      </c>
      <c r="G994" t="s">
        <v>10</v>
      </c>
      <c r="H994" t="s">
        <v>31</v>
      </c>
      <c r="I994" s="2">
        <v>3797764</v>
      </c>
    </row>
    <row r="995" spans="1:9" x14ac:dyDescent="0.25">
      <c r="A995">
        <v>994</v>
      </c>
      <c r="B995" t="str">
        <f>IF(ISERROR(VLOOKUP(E995,Nombres!A:D,2,FALSE)),"PROBLEMAAAAAA",VLOOKUP(E995,Nombres!A:D,2,FALSE))</f>
        <v>Catena</v>
      </c>
      <c r="C995" t="str">
        <f>IF(ISERROR(VLOOKUP(E995,Nombres!A:D,4,FALSE)),"PROBLEMAAAAAA",VLOOKUP(E995,Nombres!A:D,4,FALSE))</f>
        <v>DEF</v>
      </c>
      <c r="D995" t="str">
        <f>IF(ISERROR(VLOOKUP(E995,Nombres!A:D,3,FALSE)),"PROBLEMAAAAAA",VLOOKUP(E995,Nombres!A:D,3,FALSE))</f>
        <v>Osasuna</v>
      </c>
      <c r="E995" t="s">
        <v>175</v>
      </c>
      <c r="F995" s="1">
        <v>45964</v>
      </c>
      <c r="G995" t="s">
        <v>31</v>
      </c>
      <c r="H995" t="s">
        <v>13</v>
      </c>
      <c r="I995" s="2">
        <v>48538794</v>
      </c>
    </row>
    <row r="996" spans="1:9" x14ac:dyDescent="0.25">
      <c r="A996">
        <v>995</v>
      </c>
      <c r="B996" t="str">
        <f>IF(ISERROR(VLOOKUP(E996,Nombres!A:D,2,FALSE)),"PROBLEMAAAAAA",VLOOKUP(E996,Nombres!A:D,2,FALSE))</f>
        <v>De Frutos</v>
      </c>
      <c r="C996" t="str">
        <f>IF(ISERROR(VLOOKUP(E996,Nombres!A:D,4,FALSE)),"PROBLEMAAAAAA",VLOOKUP(E996,Nombres!A:D,4,FALSE))</f>
        <v>DEL</v>
      </c>
      <c r="D996" t="str">
        <f>IF(ISERROR(VLOOKUP(E996,Nombres!A:D,3,FALSE)),"PROBLEMAAAAAA",VLOOKUP(E996,Nombres!A:D,3,FALSE))</f>
        <v>Rayo</v>
      </c>
      <c r="E996" t="s">
        <v>119</v>
      </c>
      <c r="F996" s="1">
        <v>45964</v>
      </c>
      <c r="G996" t="s">
        <v>31</v>
      </c>
      <c r="H996" t="s">
        <v>11</v>
      </c>
      <c r="I996" s="2">
        <v>57809088</v>
      </c>
    </row>
    <row r="997" spans="1:9" x14ac:dyDescent="0.25">
      <c r="A997">
        <v>996</v>
      </c>
      <c r="B997" t="str">
        <f>IF(ISERROR(VLOOKUP(E997,Nombres!A:D,2,FALSE)),"PROBLEMAAAAAA",VLOOKUP(E997,Nombres!A:D,2,FALSE))</f>
        <v>Antony</v>
      </c>
      <c r="C997" t="str">
        <f>IF(ISERROR(VLOOKUP(E997,Nombres!A:D,4,FALSE)),"PROBLEMAAAAAA",VLOOKUP(E997,Nombres!A:D,4,FALSE))</f>
        <v>DEL</v>
      </c>
      <c r="D997" t="str">
        <f>IF(ISERROR(VLOOKUP(E997,Nombres!A:D,3,FALSE)),"PROBLEMAAAAAA",VLOOKUP(E997,Nombres!A:D,3,FALSE))</f>
        <v>Betis</v>
      </c>
      <c r="E997" t="s">
        <v>324</v>
      </c>
      <c r="F997" s="1">
        <v>45965</v>
      </c>
      <c r="G997" t="s">
        <v>13</v>
      </c>
      <c r="H997" t="s">
        <v>31</v>
      </c>
      <c r="I997" s="2">
        <v>105297326</v>
      </c>
    </row>
    <row r="998" spans="1:9" x14ac:dyDescent="0.25">
      <c r="A998">
        <v>997</v>
      </c>
      <c r="B998" t="str">
        <f>IF(ISERROR(VLOOKUP(E998,Nombres!A:D,2,FALSE)),"PROBLEMAAAAAA",VLOOKUP(E998,Nombres!A:D,2,FALSE))</f>
        <v>S. Cardona</v>
      </c>
      <c r="C998" t="str">
        <f>IF(ISERROR(VLOOKUP(E998,Nombres!A:D,4,FALSE)),"PROBLEMAAAAAA",VLOOKUP(E998,Nombres!A:D,4,FALSE))</f>
        <v>DEF</v>
      </c>
      <c r="D998" t="str">
        <f>IF(ISERROR(VLOOKUP(E998,Nombres!A:D,3,FALSE)),"PROBLEMAAAAAA",VLOOKUP(E998,Nombres!A:D,3,FALSE))</f>
        <v>Villarreal</v>
      </c>
      <c r="E998" t="s">
        <v>182</v>
      </c>
      <c r="F998" s="1">
        <v>45965</v>
      </c>
      <c r="G998" t="s">
        <v>31</v>
      </c>
      <c r="H998" t="s">
        <v>14</v>
      </c>
      <c r="I998" s="2">
        <v>26208176</v>
      </c>
    </row>
    <row r="999" spans="1:9" x14ac:dyDescent="0.25">
      <c r="A999">
        <v>998</v>
      </c>
      <c r="B999" t="str">
        <f>IF(ISERROR(VLOOKUP(E999,Nombres!A:D,2,FALSE)),"PROBLEMAAAAAA",VLOOKUP(E999,Nombres!A:D,2,FALSE))</f>
        <v>Hassan</v>
      </c>
      <c r="C999" t="str">
        <f>IF(ISERROR(VLOOKUP(E999,Nombres!A:D,4,FALSE)),"PROBLEMAAAAAA",VLOOKUP(E999,Nombres!A:D,4,FALSE))</f>
        <v>MED</v>
      </c>
      <c r="D999" t="str">
        <f>IF(ISERROR(VLOOKUP(E999,Nombres!A:D,3,FALSE)),"PROBLEMAAAAAA",VLOOKUP(E999,Nombres!A:D,3,FALSE))</f>
        <v>Real Oviedo</v>
      </c>
      <c r="E999" t="s">
        <v>201</v>
      </c>
      <c r="F999" s="1">
        <v>45965</v>
      </c>
      <c r="G999" t="s">
        <v>31</v>
      </c>
      <c r="H999" t="s">
        <v>14</v>
      </c>
      <c r="I999" s="2">
        <v>3596768</v>
      </c>
    </row>
    <row r="1000" spans="1:9" x14ac:dyDescent="0.25">
      <c r="A1000">
        <v>999</v>
      </c>
      <c r="B1000" t="str">
        <f>IF(ISERROR(VLOOKUP(E1000,Nombres!A:D,2,FALSE)),"PROBLEMAAAAAA",VLOOKUP(E1000,Nombres!A:D,2,FALSE))</f>
        <v>Almada</v>
      </c>
      <c r="C1000" t="str">
        <f>IF(ISERROR(VLOOKUP(E1000,Nombres!A:D,4,FALSE)),"PROBLEMAAAAAA",VLOOKUP(E1000,Nombres!A:D,4,FALSE))</f>
        <v>MED</v>
      </c>
      <c r="D1000" t="str">
        <f>IF(ISERROR(VLOOKUP(E1000,Nombres!A:D,3,FALSE)),"PROBLEMAAAAAA",VLOOKUP(E1000,Nombres!A:D,3,FALSE))</f>
        <v>Atlético</v>
      </c>
      <c r="E1000" t="s">
        <v>110</v>
      </c>
      <c r="F1000" s="1">
        <v>45965</v>
      </c>
      <c r="G1000" t="s">
        <v>10</v>
      </c>
      <c r="H1000" t="s">
        <v>11</v>
      </c>
      <c r="I1000" s="2">
        <v>20000000</v>
      </c>
    </row>
    <row r="1001" spans="1:9" x14ac:dyDescent="0.25">
      <c r="A1001">
        <v>1000</v>
      </c>
      <c r="B1001" t="str">
        <f>IF(ISERROR(VLOOKUP(E1001,Nombres!A:D,2,FALSE)),"PROBLEMAAAAAA",VLOOKUP(E1001,Nombres!A:D,2,FALSE))</f>
        <v>Pau López</v>
      </c>
      <c r="C1001" t="str">
        <f>IF(ISERROR(VLOOKUP(E1001,Nombres!A:D,4,FALSE)),"PROBLEMAAAAAA",VLOOKUP(E1001,Nombres!A:D,4,FALSE))</f>
        <v>POR</v>
      </c>
      <c r="D1001" t="str">
        <f>IF(ISERROR(VLOOKUP(E1001,Nombres!A:D,3,FALSE)),"PROBLEMAAAAAA",VLOOKUP(E1001,Nombres!A:D,3,FALSE))</f>
        <v>Betis</v>
      </c>
      <c r="E1001" t="s">
        <v>266</v>
      </c>
      <c r="F1001" s="1">
        <v>45966</v>
      </c>
      <c r="G1001" t="s">
        <v>31</v>
      </c>
      <c r="H1001" t="s">
        <v>12</v>
      </c>
      <c r="I1001" s="2">
        <v>7445006</v>
      </c>
    </row>
    <row r="1002" spans="1:9" x14ac:dyDescent="0.25">
      <c r="A1002">
        <v>1001</v>
      </c>
      <c r="B1002" t="str">
        <f>IF(ISERROR(VLOOKUP(E1002,Nombres!A:D,2,FALSE)),"PROBLEMAAAAAA",VLOOKUP(E1002,Nombres!A:D,2,FALSE))</f>
        <v>Jutglà</v>
      </c>
      <c r="C1002" t="str">
        <f>IF(ISERROR(VLOOKUP(E1002,Nombres!A:D,4,FALSE)),"PROBLEMAAAAAA",VLOOKUP(E1002,Nombres!A:D,4,FALSE))</f>
        <v>DEL</v>
      </c>
      <c r="D1002" t="str">
        <f>IF(ISERROR(VLOOKUP(E1002,Nombres!A:D,3,FALSE)),"PROBLEMAAAAAA",VLOOKUP(E1002,Nombres!A:D,3,FALSE))</f>
        <v>Celta</v>
      </c>
      <c r="E1002" t="s">
        <v>785</v>
      </c>
      <c r="F1002" s="1">
        <v>45966</v>
      </c>
      <c r="G1002" t="s">
        <v>11</v>
      </c>
      <c r="H1002" t="s">
        <v>31</v>
      </c>
      <c r="I1002" s="2">
        <v>4100000</v>
      </c>
    </row>
    <row r="1003" spans="1:9" x14ac:dyDescent="0.25">
      <c r="A1003">
        <v>1002</v>
      </c>
      <c r="B1003" t="str">
        <f>IF(ISERROR(VLOOKUP(E1003,Nombres!A:D,2,FALSE)),"PROBLEMAAAAAA",VLOOKUP(E1003,Nombres!A:D,2,FALSE))</f>
        <v>Hancko</v>
      </c>
      <c r="C1003" t="str">
        <f>IF(ISERROR(VLOOKUP(E1003,Nombres!A:D,4,FALSE)),"PROBLEMAAAAAA",VLOOKUP(E1003,Nombres!A:D,4,FALSE))</f>
        <v>DEF</v>
      </c>
      <c r="D1003" t="str">
        <f>IF(ISERROR(VLOOKUP(E1003,Nombres!A:D,3,FALSE)),"PROBLEMAAAAAA",VLOOKUP(E1003,Nombres!A:D,3,FALSE))</f>
        <v>Atlético</v>
      </c>
      <c r="E1003" t="s">
        <v>107</v>
      </c>
      <c r="F1003" s="1">
        <v>45966</v>
      </c>
      <c r="G1003" t="s">
        <v>11</v>
      </c>
      <c r="H1003" t="s">
        <v>7</v>
      </c>
      <c r="I1003" s="2">
        <v>20000000</v>
      </c>
    </row>
    <row r="1004" spans="1:9" x14ac:dyDescent="0.25">
      <c r="A1004">
        <v>1003</v>
      </c>
      <c r="B1004" t="str">
        <f>IF(ISERROR(VLOOKUP(E1004,Nombres!A:D,2,FALSE)),"PROBLEMAAAAAA",VLOOKUP(E1004,Nombres!A:D,2,FALSE))</f>
        <v>Jauregizar</v>
      </c>
      <c r="C1004" t="str">
        <f>IF(ISERROR(VLOOKUP(E1004,Nombres!A:D,4,FALSE)),"PROBLEMAAAAAA",VLOOKUP(E1004,Nombres!A:D,4,FALSE))</f>
        <v>MED</v>
      </c>
      <c r="D1004" t="str">
        <f>IF(ISERROR(VLOOKUP(E1004,Nombres!A:D,3,FALSE)),"PROBLEMAAAAAA",VLOOKUP(E1004,Nombres!A:D,3,FALSE))</f>
        <v>Athletic</v>
      </c>
      <c r="E1004" t="s">
        <v>176</v>
      </c>
      <c r="F1004" s="1">
        <v>45966</v>
      </c>
      <c r="G1004" t="s">
        <v>7</v>
      </c>
      <c r="H1004" t="s">
        <v>768</v>
      </c>
      <c r="I1004" s="2">
        <v>29725093</v>
      </c>
    </row>
    <row r="1005" spans="1:9" x14ac:dyDescent="0.25">
      <c r="A1005">
        <v>1004</v>
      </c>
      <c r="B1005" t="str">
        <f>IF(ISERROR(VLOOKUP(E1005,Nombres!A:D,2,FALSE)),"PROBLEMAAAAAA",VLOOKUP(E1005,Nombres!A:D,2,FALSE))</f>
        <v>Valjent</v>
      </c>
      <c r="C1005" t="str">
        <f>IF(ISERROR(VLOOKUP(E1005,Nombres!A:D,4,FALSE)),"PROBLEMAAAAAA",VLOOKUP(E1005,Nombres!A:D,4,FALSE))</f>
        <v>DEF</v>
      </c>
      <c r="D1005" t="str">
        <f>IF(ISERROR(VLOOKUP(E1005,Nombres!A:D,3,FALSE)),"PROBLEMAAAAAA",VLOOKUP(E1005,Nombres!A:D,3,FALSE))</f>
        <v>Mallorca</v>
      </c>
      <c r="E1005" t="s">
        <v>197</v>
      </c>
      <c r="F1005" s="1">
        <v>45966</v>
      </c>
      <c r="G1005" t="s">
        <v>12</v>
      </c>
      <c r="H1005" t="s">
        <v>7</v>
      </c>
      <c r="I1005" s="2">
        <v>7108000</v>
      </c>
    </row>
    <row r="1006" spans="1:9" x14ac:dyDescent="0.25">
      <c r="A1006">
        <v>1005</v>
      </c>
      <c r="B1006" t="str">
        <f>IF(ISERROR(VLOOKUP(E1006,Nombres!A:D,2,FALSE)),"PROBLEMAAAAAA",VLOOKUP(E1006,Nombres!A:D,2,FALSE))</f>
        <v>Leo Román</v>
      </c>
      <c r="C1006" t="str">
        <f>IF(ISERROR(VLOOKUP(E1006,Nombres!A:D,4,FALSE)),"PROBLEMAAAAAA",VLOOKUP(E1006,Nombres!A:D,4,FALSE))</f>
        <v>POR</v>
      </c>
      <c r="D1006" t="str">
        <f>IF(ISERROR(VLOOKUP(E1006,Nombres!A:D,3,FALSE)),"PROBLEMAAAAAA",VLOOKUP(E1006,Nombres!A:D,3,FALSE))</f>
        <v>Mallorca</v>
      </c>
      <c r="E1006" t="s">
        <v>78</v>
      </c>
      <c r="F1006" s="1">
        <v>45966</v>
      </c>
      <c r="G1006" t="s">
        <v>31</v>
      </c>
      <c r="H1006" t="s">
        <v>10</v>
      </c>
      <c r="I1006" s="2">
        <v>6927389</v>
      </c>
    </row>
    <row r="1007" spans="1:9" x14ac:dyDescent="0.25">
      <c r="A1007">
        <v>1006</v>
      </c>
      <c r="B1007" t="str">
        <f>IF(ISERROR(VLOOKUP(E1007,Nombres!A:D,2,FALSE)),"PROBLEMAAAAAA",VLOOKUP(E1007,Nombres!A:D,2,FALSE))</f>
        <v>Eric García</v>
      </c>
      <c r="C1007" t="str">
        <f>IF(ISERROR(VLOOKUP(E1007,Nombres!A:D,4,FALSE)),"PROBLEMAAAAAA",VLOOKUP(E1007,Nombres!A:D,4,FALSE))</f>
        <v>DEF</v>
      </c>
      <c r="D1007" t="str">
        <f>IF(ISERROR(VLOOKUP(E1007,Nombres!A:D,3,FALSE)),"PROBLEMAAAAAA",VLOOKUP(E1007,Nombres!A:D,3,FALSE))</f>
        <v>Barcelona</v>
      </c>
      <c r="E1007" t="s">
        <v>152</v>
      </c>
      <c r="F1007" s="1">
        <v>45967</v>
      </c>
      <c r="G1007" t="s">
        <v>31</v>
      </c>
      <c r="H1007" t="s">
        <v>7</v>
      </c>
      <c r="I1007" s="2">
        <v>43923813</v>
      </c>
    </row>
    <row r="1008" spans="1:9" x14ac:dyDescent="0.25">
      <c r="A1008">
        <v>1007</v>
      </c>
      <c r="B1008" t="str">
        <f>IF(ISERROR(VLOOKUP(E1008,Nombres!A:D,2,FALSE)),"PROBLEMAAAAAA",VLOOKUP(E1008,Nombres!A:D,2,FALSE))</f>
        <v>Mastantuono</v>
      </c>
      <c r="C1008" t="str">
        <f>IF(ISERROR(VLOOKUP(E1008,Nombres!A:D,4,FALSE)),"PROBLEMAAAAAA",VLOOKUP(E1008,Nombres!A:D,4,FALSE))</f>
        <v>DEL</v>
      </c>
      <c r="D1008" t="str">
        <f>IF(ISERROR(VLOOKUP(E1008,Nombres!A:D,3,FALSE)),"PROBLEMAAAAAA",VLOOKUP(E1008,Nombres!A:D,3,FALSE))</f>
        <v>Real Madrid</v>
      </c>
      <c r="E1008" t="s">
        <v>278</v>
      </c>
      <c r="F1008" s="1">
        <v>45967</v>
      </c>
      <c r="G1008" t="s">
        <v>31</v>
      </c>
      <c r="H1008" t="s">
        <v>8</v>
      </c>
      <c r="I1008" s="2">
        <v>31035812</v>
      </c>
    </row>
    <row r="1009" spans="1:9" x14ac:dyDescent="0.25">
      <c r="A1009">
        <v>1008</v>
      </c>
      <c r="B1009" t="str">
        <f>IF(ISERROR(VLOOKUP(E1009,Nombres!A:D,2,FALSE)),"PROBLEMAAAAAA",VLOOKUP(E1009,Nombres!A:D,2,FALSE))</f>
        <v>Raúl García</v>
      </c>
      <c r="C1009" t="str">
        <f>IF(ISERROR(VLOOKUP(E1009,Nombres!A:D,4,FALSE)),"PROBLEMAAAAAA",VLOOKUP(E1009,Nombres!A:D,4,FALSE))</f>
        <v>DEL</v>
      </c>
      <c r="D1009" t="str">
        <f>IF(ISERROR(VLOOKUP(E1009,Nombres!A:D,3,FALSE)),"PROBLEMAAAAAA",VLOOKUP(E1009,Nombres!A:D,3,FALSE))</f>
        <v>Osasuna</v>
      </c>
      <c r="E1009" t="s">
        <v>71</v>
      </c>
      <c r="F1009" s="1">
        <v>45967</v>
      </c>
      <c r="G1009" t="s">
        <v>6</v>
      </c>
      <c r="H1009" t="s">
        <v>8</v>
      </c>
      <c r="I1009" s="2">
        <v>4605484</v>
      </c>
    </row>
    <row r="1010" spans="1:9" x14ac:dyDescent="0.25">
      <c r="A1010">
        <v>1009</v>
      </c>
      <c r="B1010" t="str">
        <f>IF(ISERROR(VLOOKUP(E1010,Nombres!A:D,2,FALSE)),"PROBLEMAAAAAA",VLOOKUP(E1010,Nombres!A:D,2,FALSE))</f>
        <v>Navarro</v>
      </c>
      <c r="C1010" t="str">
        <f>IF(ISERROR(VLOOKUP(E1010,Nombres!A:D,4,FALSE)),"PROBLEMAAAAAA",VLOOKUP(E1010,Nombres!A:D,4,FALSE))</f>
        <v>MED</v>
      </c>
      <c r="D1010" t="str">
        <f>IF(ISERROR(VLOOKUP(E1010,Nombres!A:D,3,FALSE)),"PROBLEMAAAAAA",VLOOKUP(E1010,Nombres!A:D,3,FALSE))</f>
        <v>Athletic</v>
      </c>
      <c r="E1010" t="s">
        <v>230</v>
      </c>
      <c r="F1010" s="1">
        <v>45967</v>
      </c>
      <c r="G1010" t="s">
        <v>13</v>
      </c>
      <c r="H1010" t="s">
        <v>10</v>
      </c>
      <c r="I1010" s="2">
        <v>4800000</v>
      </c>
    </row>
    <row r="1011" spans="1:9" x14ac:dyDescent="0.25">
      <c r="A1011">
        <v>1010</v>
      </c>
      <c r="B1011" t="str">
        <f>IF(ISERROR(VLOOKUP(E1011,Nombres!A:D,2,FALSE)),"PROBLEMAAAAAA",VLOOKUP(E1011,Nombres!A:D,2,FALSE))</f>
        <v>Gorosabel</v>
      </c>
      <c r="C1011" t="str">
        <f>IF(ISERROR(VLOOKUP(E1011,Nombres!A:D,4,FALSE)),"PROBLEMAAAAAA",VLOOKUP(E1011,Nombres!A:D,4,FALSE))</f>
        <v>DEF</v>
      </c>
      <c r="D1011" t="str">
        <f>IF(ISERROR(VLOOKUP(E1011,Nombres!A:D,3,FALSE)),"PROBLEMAAAAAA",VLOOKUP(E1011,Nombres!A:D,3,FALSE))</f>
        <v>Athletic</v>
      </c>
      <c r="E1011" t="s">
        <v>55</v>
      </c>
      <c r="F1011" s="1">
        <v>45967</v>
      </c>
      <c r="G1011" t="s">
        <v>12</v>
      </c>
      <c r="H1011" t="s">
        <v>31</v>
      </c>
      <c r="I1011" s="2">
        <v>4100010</v>
      </c>
    </row>
    <row r="1012" spans="1:9" x14ac:dyDescent="0.25">
      <c r="A1012">
        <v>1011</v>
      </c>
      <c r="B1012" t="str">
        <f>IF(ISERROR(VLOOKUP(E1012,Nombres!A:D,2,FALSE)),"PROBLEMAAAAAA",VLOOKUP(E1012,Nombres!A:D,2,FALSE))</f>
        <v>Valentín</v>
      </c>
      <c r="C1012" t="str">
        <f>IF(ISERROR(VLOOKUP(E1012,Nombres!A:D,4,FALSE)),"PROBLEMAAAAAA",VLOOKUP(E1012,Nombres!A:D,4,FALSE))</f>
        <v>MED</v>
      </c>
      <c r="D1012" t="str">
        <f>IF(ISERROR(VLOOKUP(E1012,Nombres!A:D,3,FALSE)),"PROBLEMAAAAAA",VLOOKUP(E1012,Nombres!A:D,3,FALSE))</f>
        <v>Rayo</v>
      </c>
      <c r="E1012" t="s">
        <v>786</v>
      </c>
      <c r="F1012" s="1">
        <v>45967</v>
      </c>
      <c r="G1012" t="s">
        <v>8</v>
      </c>
      <c r="H1012" t="s">
        <v>31</v>
      </c>
      <c r="I1012" s="2">
        <v>5689088</v>
      </c>
    </row>
    <row r="1013" spans="1:9" x14ac:dyDescent="0.25">
      <c r="A1013">
        <v>1012</v>
      </c>
      <c r="B1013" t="str">
        <f>IF(ISERROR(VLOOKUP(E1013,Nombres!A:D,2,FALSE)),"PROBLEMAAAAAA",VLOOKUP(E1013,Nombres!A:D,2,FALSE))</f>
        <v>Arriaga</v>
      </c>
      <c r="C1013" t="str">
        <f>IF(ISERROR(VLOOKUP(E1013,Nombres!A:D,4,FALSE)),"PROBLEMAAAAAA",VLOOKUP(E1013,Nombres!A:D,4,FALSE))</f>
        <v>MED</v>
      </c>
      <c r="D1013" t="str">
        <f>IF(ISERROR(VLOOKUP(E1013,Nombres!A:D,3,FALSE)),"PROBLEMAAAAAA",VLOOKUP(E1013,Nombres!A:D,3,FALSE))</f>
        <v>Levante</v>
      </c>
      <c r="E1013" t="s">
        <v>495</v>
      </c>
      <c r="F1013" s="1">
        <v>45967</v>
      </c>
      <c r="G1013" t="s">
        <v>10</v>
      </c>
      <c r="H1013" t="s">
        <v>31</v>
      </c>
      <c r="I1013" s="2">
        <v>6875412</v>
      </c>
    </row>
    <row r="1014" spans="1:9" x14ac:dyDescent="0.25">
      <c r="A1014">
        <v>1013</v>
      </c>
      <c r="B1014" t="str">
        <f>IF(ISERROR(VLOOKUP(E1014,Nombres!A:D,2,FALSE)),"PROBLEMAAAAAA",VLOOKUP(E1014,Nombres!A:D,2,FALSE))</f>
        <v>Carmona</v>
      </c>
      <c r="C1014" t="str">
        <f>IF(ISERROR(VLOOKUP(E1014,Nombres!A:D,4,FALSE)),"PROBLEMAAAAAA",VLOOKUP(E1014,Nombres!A:D,4,FALSE))</f>
        <v>DEF</v>
      </c>
      <c r="D1014" t="str">
        <f>IF(ISERROR(VLOOKUP(E1014,Nombres!A:D,3,FALSE)),"PROBLEMAAAAAA",VLOOKUP(E1014,Nombres!A:D,3,FALSE))</f>
        <v>Sevilla</v>
      </c>
      <c r="E1014" t="s">
        <v>522</v>
      </c>
      <c r="F1014" s="1">
        <v>45967</v>
      </c>
      <c r="G1014" t="s">
        <v>7</v>
      </c>
      <c r="H1014" t="s">
        <v>10</v>
      </c>
      <c r="I1014" s="2">
        <v>17952539</v>
      </c>
    </row>
    <row r="1015" spans="1:9" x14ac:dyDescent="0.25">
      <c r="A1015">
        <v>1014</v>
      </c>
      <c r="B1015" t="str">
        <f>IF(ISERROR(VLOOKUP(E1015,Nombres!A:D,2,FALSE)),"PROBLEMAAAAAA",VLOOKUP(E1015,Nombres!A:D,2,FALSE))</f>
        <v>Pere Milla</v>
      </c>
      <c r="C1015" t="str">
        <f>IF(ISERROR(VLOOKUP(E1015,Nombres!A:D,4,FALSE)),"PROBLEMAAAAAA",VLOOKUP(E1015,Nombres!A:D,4,FALSE))</f>
        <v>DEL</v>
      </c>
      <c r="D1015" t="str">
        <f>IF(ISERROR(VLOOKUP(E1015,Nombres!A:D,3,FALSE)),"PROBLEMAAAAAA",VLOOKUP(E1015,Nombres!A:D,3,FALSE))</f>
        <v>Espanyol</v>
      </c>
      <c r="E1015" t="s">
        <v>426</v>
      </c>
      <c r="F1015" s="1">
        <v>45967</v>
      </c>
      <c r="G1015" t="s">
        <v>7</v>
      </c>
      <c r="H1015" t="s">
        <v>12</v>
      </c>
      <c r="I1015" s="2">
        <v>22009683</v>
      </c>
    </row>
    <row r="1016" spans="1:9" x14ac:dyDescent="0.25">
      <c r="A1016">
        <v>1015</v>
      </c>
      <c r="B1016" t="str">
        <f>IF(ISERROR(VLOOKUP(E1016,Nombres!A:D,2,FALSE)),"PROBLEMAAAAAA",VLOOKUP(E1016,Nombres!A:D,2,FALSE))</f>
        <v>Valentín Gómez</v>
      </c>
      <c r="C1016" t="str">
        <f>IF(ISERROR(VLOOKUP(E1016,Nombres!A:D,4,FALSE)),"PROBLEMAAAAAA",VLOOKUP(E1016,Nombres!A:D,4,FALSE))</f>
        <v>DEF</v>
      </c>
      <c r="D1016" t="str">
        <f>IF(ISERROR(VLOOKUP(E1016,Nombres!A:D,3,FALSE)),"PROBLEMAAAAAA",VLOOKUP(E1016,Nombres!A:D,3,FALSE))</f>
        <v>Betis</v>
      </c>
      <c r="E1016" t="s">
        <v>773</v>
      </c>
      <c r="F1016" s="1">
        <v>45967</v>
      </c>
      <c r="G1016" t="s">
        <v>31</v>
      </c>
      <c r="H1016" t="s">
        <v>6</v>
      </c>
      <c r="I1016" s="2">
        <v>2382714</v>
      </c>
    </row>
    <row r="1017" spans="1:9" x14ac:dyDescent="0.25">
      <c r="A1017">
        <v>1016</v>
      </c>
      <c r="B1017" t="str">
        <f>IF(ISERROR(VLOOKUP(E1017,Nombres!A:D,2,FALSE)),"PROBLEMAAAAAA",VLOOKUP(E1017,Nombres!A:D,2,FALSE))</f>
        <v>Romero</v>
      </c>
      <c r="C1017" t="str">
        <f>IF(ISERROR(VLOOKUP(E1017,Nombres!A:D,4,FALSE)),"PROBLEMAAAAAA",VLOOKUP(E1017,Nombres!A:D,4,FALSE))</f>
        <v>DEL</v>
      </c>
      <c r="D1017" t="str">
        <f>IF(ISERROR(VLOOKUP(E1017,Nombres!A:D,3,FALSE)),"PROBLEMAAAAAA",VLOOKUP(E1017,Nombres!A:D,3,FALSE))</f>
        <v>Sevilla</v>
      </c>
      <c r="E1017" t="s">
        <v>187</v>
      </c>
      <c r="F1017" s="1">
        <v>45968</v>
      </c>
      <c r="G1017" t="s">
        <v>31</v>
      </c>
      <c r="H1017" t="s">
        <v>7</v>
      </c>
      <c r="I1017" s="2">
        <v>7974814</v>
      </c>
    </row>
    <row r="1018" spans="1:9" x14ac:dyDescent="0.25">
      <c r="A1018">
        <v>1017</v>
      </c>
      <c r="B1018" t="str">
        <f>IF(ISERROR(VLOOKUP(E1018,Nombres!A:D,2,FALSE)),"PROBLEMAAAAAA",VLOOKUP(E1018,Nombres!A:D,2,FALSE))</f>
        <v>Viñas</v>
      </c>
      <c r="C1018" t="str">
        <f>IF(ISERROR(VLOOKUP(E1018,Nombres!A:D,4,FALSE)),"PROBLEMAAAAAA",VLOOKUP(E1018,Nombres!A:D,4,FALSE))</f>
        <v>DEL</v>
      </c>
      <c r="D1018" t="str">
        <f>IF(ISERROR(VLOOKUP(E1018,Nombres!A:D,3,FALSE)),"PROBLEMAAAAAA",VLOOKUP(E1018,Nombres!A:D,3,FALSE))</f>
        <v>Real Oviedo</v>
      </c>
      <c r="E1018" t="s">
        <v>261</v>
      </c>
      <c r="F1018" s="1">
        <v>45968</v>
      </c>
      <c r="G1018" t="s">
        <v>6</v>
      </c>
      <c r="H1018" t="s">
        <v>31</v>
      </c>
      <c r="I1018" s="2">
        <v>2895461</v>
      </c>
    </row>
    <row r="1019" spans="1:9" x14ac:dyDescent="0.25">
      <c r="A1019">
        <v>1018</v>
      </c>
      <c r="B1019" t="str">
        <f>IF(ISERROR(VLOOKUP(E1019,Nombres!A:D,2,FALSE)),"PROBLEMAAAAAA",VLOOKUP(E1019,Nombres!A:D,2,FALSE))</f>
        <v>Moi Gómez</v>
      </c>
      <c r="C1019" t="str">
        <f>IF(ISERROR(VLOOKUP(E1019,Nombres!A:D,4,FALSE)),"PROBLEMAAAAAA",VLOOKUP(E1019,Nombres!A:D,4,FALSE))</f>
        <v>MED</v>
      </c>
      <c r="D1019" t="str">
        <f>IF(ISERROR(VLOOKUP(E1019,Nombres!A:D,3,FALSE)),"PROBLEMAAAAAA",VLOOKUP(E1019,Nombres!A:D,3,FALSE))</f>
        <v>Osasuna</v>
      </c>
      <c r="E1019" t="s">
        <v>102</v>
      </c>
      <c r="F1019" s="1">
        <v>45968</v>
      </c>
      <c r="G1019" t="s">
        <v>10</v>
      </c>
      <c r="H1019" t="s">
        <v>31</v>
      </c>
      <c r="I1019" s="2">
        <v>6875421</v>
      </c>
    </row>
    <row r="1020" spans="1:9" x14ac:dyDescent="0.25">
      <c r="A1020">
        <v>1019</v>
      </c>
      <c r="B1020" t="str">
        <f>IF(ISERROR(VLOOKUP(E1020,Nombres!A:D,2,FALSE)),"PROBLEMAAAAAA",VLOOKUP(E1020,Nombres!A:D,2,FALSE))</f>
        <v>González</v>
      </c>
      <c r="C1020" t="str">
        <f>IF(ISERROR(VLOOKUP(E1020,Nombres!A:D,4,FALSE)),"PROBLEMAAAAAA",VLOOKUP(E1020,Nombres!A:D,4,FALSE))</f>
        <v>MED</v>
      </c>
      <c r="D1020" t="str">
        <f>IF(ISERROR(VLOOKUP(E1020,Nombres!A:D,3,FALSE)),"PROBLEMAAAAAA",VLOOKUP(E1020,Nombres!A:D,3,FALSE))</f>
        <v>Atlético</v>
      </c>
      <c r="E1020" t="s">
        <v>778</v>
      </c>
      <c r="F1020" s="1">
        <v>45968</v>
      </c>
      <c r="G1020" t="s">
        <v>10</v>
      </c>
      <c r="H1020" t="s">
        <v>31</v>
      </c>
      <c r="I1020" s="2">
        <v>26754123</v>
      </c>
    </row>
    <row r="1021" spans="1:9" x14ac:dyDescent="0.25">
      <c r="A1021">
        <v>1020</v>
      </c>
      <c r="B1021" t="str">
        <f>IF(ISERROR(VLOOKUP(E1021,Nombres!A:D,2,FALSE)),"PROBLEMAAAAAA",VLOOKUP(E1021,Nombres!A:D,2,FALSE))</f>
        <v>Alexander-Arnold</v>
      </c>
      <c r="C1021" t="str">
        <f>IF(ISERROR(VLOOKUP(E1021,Nombres!A:D,4,FALSE)),"PROBLEMAAAAAA",VLOOKUP(E1021,Nombres!A:D,4,FALSE))</f>
        <v>DEF</v>
      </c>
      <c r="D1021" t="str">
        <f>IF(ISERROR(VLOOKUP(E1021,Nombres!A:D,3,FALSE)),"PROBLEMAAAAAA",VLOOKUP(E1021,Nombres!A:D,3,FALSE))</f>
        <v>Real Madrid</v>
      </c>
      <c r="E1021" t="s">
        <v>787</v>
      </c>
      <c r="F1021" s="1">
        <v>45968</v>
      </c>
      <c r="G1021" t="s">
        <v>7</v>
      </c>
      <c r="H1021" t="s">
        <v>31</v>
      </c>
      <c r="I1021" s="2">
        <v>20606993</v>
      </c>
    </row>
    <row r="1022" spans="1:9" x14ac:dyDescent="0.25">
      <c r="A1022">
        <v>1021</v>
      </c>
      <c r="B1022" t="str">
        <f>IF(ISERROR(VLOOKUP(E1022,Nombres!A:D,2,FALSE)),"PROBLEMAAAAAA",VLOOKUP(E1022,Nombres!A:D,2,FALSE))</f>
        <v>Herrera</v>
      </c>
      <c r="C1022" t="str">
        <f>IF(ISERROR(VLOOKUP(E1022,Nombres!A:D,4,FALSE)),"PROBLEMAAAAAA",VLOOKUP(E1022,Nombres!A:D,4,FALSE))</f>
        <v>POR</v>
      </c>
      <c r="D1022" t="str">
        <f>IF(ISERROR(VLOOKUP(E1022,Nombres!A:D,3,FALSE)),"PROBLEMAAAAAA",VLOOKUP(E1022,Nombres!A:D,3,FALSE))</f>
        <v>Osasuna</v>
      </c>
      <c r="E1022" t="s">
        <v>290</v>
      </c>
      <c r="F1022" s="1">
        <v>45969</v>
      </c>
      <c r="G1022" t="s">
        <v>13</v>
      </c>
      <c r="H1022" t="s">
        <v>31</v>
      </c>
      <c r="I1022" s="2">
        <v>28870000</v>
      </c>
    </row>
    <row r="1023" spans="1:9" x14ac:dyDescent="0.25">
      <c r="A1023">
        <v>1022</v>
      </c>
      <c r="B1023" t="str">
        <f>IF(ISERROR(VLOOKUP(E1023,Nombres!A:D,2,FALSE)),"PROBLEMAAAAAA",VLOOKUP(E1023,Nombres!A:D,2,FALSE))</f>
        <v>Alvaro R.</v>
      </c>
      <c r="C1023" t="str">
        <f>IF(ISERROR(VLOOKUP(E1023,Nombres!A:D,4,FALSE)),"PROBLEMAAAAAA",VLOOKUP(E1023,Nombres!A:D,4,FALSE))</f>
        <v>DEL</v>
      </c>
      <c r="D1023" t="str">
        <f>IF(ISERROR(VLOOKUP(E1023,Nombres!A:D,3,FALSE)),"PROBLEMAAAAAA",VLOOKUP(E1023,Nombres!A:D,3,FALSE))</f>
        <v>Elche</v>
      </c>
      <c r="E1023" t="s">
        <v>788</v>
      </c>
      <c r="F1023" s="1">
        <v>45969</v>
      </c>
      <c r="G1023" t="s">
        <v>6</v>
      </c>
      <c r="H1023" t="s">
        <v>31</v>
      </c>
      <c r="I1023" s="2">
        <v>3100000</v>
      </c>
    </row>
    <row r="1024" spans="1:9" x14ac:dyDescent="0.25">
      <c r="A1024">
        <v>1023</v>
      </c>
      <c r="B1024" t="str">
        <f>IF(ISERROR(VLOOKUP(E1024,Nombres!A:D,2,FALSE)),"PROBLEMAAAAAA",VLOOKUP(E1024,Nombres!A:D,2,FALSE))</f>
        <v>Soria</v>
      </c>
      <c r="C1024" t="str">
        <f>IF(ISERROR(VLOOKUP(E1024,Nombres!A:D,4,FALSE)),"PROBLEMAAAAAA",VLOOKUP(E1024,Nombres!A:D,4,FALSE))</f>
        <v>POR</v>
      </c>
      <c r="D1024" t="str">
        <f>IF(ISERROR(VLOOKUP(E1024,Nombres!A:D,3,FALSE)),"PROBLEMAAAAAA",VLOOKUP(E1024,Nombres!A:D,3,FALSE))</f>
        <v>Getafe</v>
      </c>
      <c r="E1024" t="s">
        <v>255</v>
      </c>
      <c r="F1024" s="1">
        <v>45969</v>
      </c>
      <c r="G1024" t="s">
        <v>10</v>
      </c>
      <c r="H1024" t="s">
        <v>31</v>
      </c>
      <c r="I1024" s="2">
        <v>20874125</v>
      </c>
    </row>
    <row r="1025" spans="1:9" x14ac:dyDescent="0.25">
      <c r="A1025">
        <v>1024</v>
      </c>
      <c r="B1025" t="str">
        <f>IF(ISERROR(VLOOKUP(E1025,Nombres!A:D,2,FALSE)),"PROBLEMAAAAAA",VLOOKUP(E1025,Nombres!A:D,2,FALSE))</f>
        <v>Valverde</v>
      </c>
      <c r="C1025" t="str">
        <f>IF(ISERROR(VLOOKUP(E1025,Nombres!A:D,4,FALSE)),"PROBLEMAAAAAA",VLOOKUP(E1025,Nombres!A:D,4,FALSE))</f>
        <v>MED</v>
      </c>
      <c r="D1025" t="str">
        <f>IF(ISERROR(VLOOKUP(E1025,Nombres!A:D,3,FALSE)),"PROBLEMAAAAAA",VLOOKUP(E1025,Nombres!A:D,3,FALSE))</f>
        <v>Real Madrid</v>
      </c>
      <c r="E1025" t="s">
        <v>742</v>
      </c>
      <c r="F1025" s="1">
        <v>45969</v>
      </c>
      <c r="G1025" t="s">
        <v>12</v>
      </c>
      <c r="H1025" t="s">
        <v>31</v>
      </c>
      <c r="I1025" s="2">
        <v>90120101</v>
      </c>
    </row>
    <row r="1026" spans="1:9" x14ac:dyDescent="0.25">
      <c r="A1026">
        <v>1025</v>
      </c>
      <c r="B1026" t="str">
        <f>IF(ISERROR(VLOOKUP(E1026,Nombres!A:D,2,FALSE)),"PROBLEMAAAAAA",VLOOKUP(E1026,Nombres!A:D,2,FALSE))</f>
        <v>Moleiro</v>
      </c>
      <c r="C1026" t="str">
        <f>IF(ISERROR(VLOOKUP(E1026,Nombres!A:D,4,FALSE)),"PROBLEMAAAAAA",VLOOKUP(E1026,Nombres!A:D,4,FALSE))</f>
        <v>MED</v>
      </c>
      <c r="D1026" t="str">
        <f>IF(ISERROR(VLOOKUP(E1026,Nombres!A:D,3,FALSE)),"PROBLEMAAAAAA",VLOOKUP(E1026,Nombres!A:D,3,FALSE))</f>
        <v>Villarreal</v>
      </c>
      <c r="E1026" t="s">
        <v>111</v>
      </c>
      <c r="F1026" s="1">
        <v>45969</v>
      </c>
      <c r="G1026" t="s">
        <v>11</v>
      </c>
      <c r="H1026" t="s">
        <v>13</v>
      </c>
      <c r="I1026" s="2">
        <v>40174874</v>
      </c>
    </row>
    <row r="1027" spans="1:9" x14ac:dyDescent="0.25">
      <c r="A1027">
        <v>1026</v>
      </c>
      <c r="B1027" t="str">
        <f>IF(ISERROR(VLOOKUP(E1027,Nombres!A:D,2,FALSE)),"PROBLEMAAAAAA",VLOOKUP(E1027,Nombres!A:D,2,FALSE))</f>
        <v>Güler</v>
      </c>
      <c r="C1027" t="str">
        <f>IF(ISERROR(VLOOKUP(E1027,Nombres!A:D,4,FALSE)),"PROBLEMAAAAAA",VLOOKUP(E1027,Nombres!A:D,4,FALSE))</f>
        <v>MED</v>
      </c>
      <c r="D1027" t="str">
        <f>IF(ISERROR(VLOOKUP(E1027,Nombres!A:D,3,FALSE)),"PROBLEMAAAAAA",VLOOKUP(E1027,Nombres!A:D,3,FALSE))</f>
        <v>Real Madrid</v>
      </c>
      <c r="E1027" t="s">
        <v>38</v>
      </c>
      <c r="F1027" s="1">
        <v>45970</v>
      </c>
      <c r="G1027" t="s">
        <v>31</v>
      </c>
      <c r="H1027" t="s">
        <v>13</v>
      </c>
      <c r="I1027" s="2">
        <v>129370736</v>
      </c>
    </row>
    <row r="1028" spans="1:9" x14ac:dyDescent="0.25">
      <c r="A1028">
        <v>1027</v>
      </c>
      <c r="B1028" t="str">
        <f>IF(ISERROR(VLOOKUP(E1028,Nombres!A:D,2,FALSE)),"PROBLEMAAAAAA",VLOOKUP(E1028,Nombres!A:D,2,FALSE))</f>
        <v>Pep Chavarría</v>
      </c>
      <c r="C1028" t="str">
        <f>IF(ISERROR(VLOOKUP(E1028,Nombres!A:D,4,FALSE)),"PROBLEMAAAAAA",VLOOKUP(E1028,Nombres!A:D,4,FALSE))</f>
        <v>DEF</v>
      </c>
      <c r="D1028" t="str">
        <f>IF(ISERROR(VLOOKUP(E1028,Nombres!A:D,3,FALSE)),"PROBLEMAAAAAA",VLOOKUP(E1028,Nombres!A:D,3,FALSE))</f>
        <v>Rayo</v>
      </c>
      <c r="E1028" t="s">
        <v>226</v>
      </c>
      <c r="F1028" s="1">
        <v>45970</v>
      </c>
      <c r="G1028" t="s">
        <v>13</v>
      </c>
      <c r="H1028" t="s">
        <v>789</v>
      </c>
      <c r="I1028" s="2">
        <v>14035574</v>
      </c>
    </row>
    <row r="1029" spans="1:9" x14ac:dyDescent="0.25">
      <c r="A1029">
        <v>1028</v>
      </c>
      <c r="B1029" t="str">
        <f>IF(ISERROR(VLOOKUP(E1029,Nombres!A:D,2,FALSE)),"PROBLEMAAAAAA",VLOOKUP(E1029,Nombres!A:D,2,FALSE))</f>
        <v>Virgili</v>
      </c>
      <c r="C1029" t="str">
        <f>IF(ISERROR(VLOOKUP(E1029,Nombres!A:D,4,FALSE)),"PROBLEMAAAAAA",VLOOKUP(E1029,Nombres!A:D,4,FALSE))</f>
        <v>DEL</v>
      </c>
      <c r="D1029" t="str">
        <f>IF(ISERROR(VLOOKUP(E1029,Nombres!A:D,3,FALSE)),"PROBLEMAAAAAA",VLOOKUP(E1029,Nombres!A:D,3,FALSE))</f>
        <v>Mallorca</v>
      </c>
      <c r="E1029" t="s">
        <v>293</v>
      </c>
      <c r="F1029" s="1">
        <v>45970</v>
      </c>
      <c r="G1029" t="s">
        <v>14</v>
      </c>
      <c r="H1029" t="s">
        <v>13</v>
      </c>
      <c r="I1029" s="2">
        <v>9000954</v>
      </c>
    </row>
    <row r="1030" spans="1:9" x14ac:dyDescent="0.25">
      <c r="A1030">
        <v>1029</v>
      </c>
      <c r="B1030" t="str">
        <f>IF(ISERROR(VLOOKUP(E1030,Nombres!A:D,2,FALSE)),"PROBLEMAAAAAA",VLOOKUP(E1030,Nombres!A:D,2,FALSE))</f>
        <v>Nianzou</v>
      </c>
      <c r="C1030" t="str">
        <f>IF(ISERROR(VLOOKUP(E1030,Nombres!A:D,4,FALSE)),"PROBLEMAAAAAA",VLOOKUP(E1030,Nombres!A:D,4,FALSE))</f>
        <v>DEF</v>
      </c>
      <c r="D1030" t="str">
        <f>IF(ISERROR(VLOOKUP(E1030,Nombres!A:D,3,FALSE)),"PROBLEMAAAAAA",VLOOKUP(E1030,Nombres!A:D,3,FALSE))</f>
        <v>Sevilla</v>
      </c>
      <c r="E1030" t="s">
        <v>662</v>
      </c>
      <c r="F1030" s="1">
        <v>45970</v>
      </c>
      <c r="G1030" t="s">
        <v>13</v>
      </c>
      <c r="H1030" t="s">
        <v>31</v>
      </c>
      <c r="I1030" s="2">
        <v>3174000</v>
      </c>
    </row>
    <row r="1031" spans="1:9" x14ac:dyDescent="0.25">
      <c r="A1031">
        <v>1030</v>
      </c>
      <c r="B1031" t="str">
        <f>IF(ISERROR(VLOOKUP(E1031,Nombres!A:D,2,FALSE)),"PROBLEMAAAAAA",VLOOKUP(E1031,Nombres!A:D,2,FALSE))</f>
        <v>Femenia</v>
      </c>
      <c r="C1031" t="str">
        <f>IF(ISERROR(VLOOKUP(E1031,Nombres!A:D,4,FALSE)),"PROBLEMAAAAAA",VLOOKUP(E1031,Nombres!A:D,4,FALSE))</f>
        <v>DEF</v>
      </c>
      <c r="D1031" t="str">
        <f>IF(ISERROR(VLOOKUP(E1031,Nombres!A:D,3,FALSE)),"PROBLEMAAAAAA",VLOOKUP(E1031,Nombres!A:D,3,FALSE))</f>
        <v>Getafe</v>
      </c>
      <c r="E1031" t="s">
        <v>334</v>
      </c>
      <c r="F1031" s="1">
        <v>45970</v>
      </c>
      <c r="G1031" t="s">
        <v>31</v>
      </c>
      <c r="H1031" t="s">
        <v>12</v>
      </c>
      <c r="I1031" s="2">
        <v>3026508</v>
      </c>
    </row>
    <row r="1032" spans="1:9" x14ac:dyDescent="0.25">
      <c r="A1032">
        <v>1031</v>
      </c>
      <c r="B1032" t="str">
        <f>IF(ISERROR(VLOOKUP(E1032,Nombres!A:D,2,FALSE)),"PROBLEMAAAAAA",VLOOKUP(E1032,Nombres!A:D,2,FALSE))</f>
        <v>Samú</v>
      </c>
      <c r="C1032" t="str">
        <f>IF(ISERROR(VLOOKUP(E1032,Nombres!A:D,4,FALSE)),"PROBLEMAAAAAA",VLOOKUP(E1032,Nombres!A:D,4,FALSE))</f>
        <v>MED</v>
      </c>
      <c r="D1032" t="str">
        <f>IF(ISERROR(VLOOKUP(E1032,Nombres!A:D,3,FALSE)),"PROBLEMAAAAAA",VLOOKUP(E1032,Nombres!A:D,3,FALSE))</f>
        <v>Mallorca</v>
      </c>
      <c r="E1032" t="s">
        <v>761</v>
      </c>
      <c r="F1032" s="1">
        <v>45970</v>
      </c>
      <c r="G1032" t="s">
        <v>11</v>
      </c>
      <c r="H1032" t="s">
        <v>12</v>
      </c>
      <c r="I1032" s="2">
        <v>7874521</v>
      </c>
    </row>
    <row r="1033" spans="1:9" x14ac:dyDescent="0.25">
      <c r="A1033">
        <v>1032</v>
      </c>
      <c r="B1033" t="str">
        <f>IF(ISERROR(VLOOKUP(E1033,Nombres!A:D,2,FALSE)),"PROBLEMAAAAAA",VLOOKUP(E1033,Nombres!A:D,2,FALSE))</f>
        <v>Carmo</v>
      </c>
      <c r="C1033" t="str">
        <f>IF(ISERROR(VLOOKUP(E1033,Nombres!A:D,4,FALSE)),"PROBLEMAAAAAA",VLOOKUP(E1033,Nombres!A:D,4,FALSE))</f>
        <v>DEF</v>
      </c>
      <c r="D1033" t="str">
        <f>IF(ISERROR(VLOOKUP(E1033,Nombres!A:D,3,FALSE)),"PROBLEMAAAAAA",VLOOKUP(E1033,Nombres!A:D,3,FALSE))</f>
        <v>Real Oviedo</v>
      </c>
      <c r="E1033" t="s">
        <v>774</v>
      </c>
      <c r="F1033" s="1">
        <v>45971</v>
      </c>
      <c r="G1033" t="s">
        <v>9</v>
      </c>
      <c r="H1033" t="s">
        <v>13</v>
      </c>
      <c r="I1033" s="2">
        <v>10000000</v>
      </c>
    </row>
    <row r="1034" spans="1:9" x14ac:dyDescent="0.25">
      <c r="A1034">
        <v>1033</v>
      </c>
      <c r="B1034" t="str">
        <f>IF(ISERROR(VLOOKUP(E1034,Nombres!A:D,2,FALSE)),"PROBLEMAAAAAA",VLOOKUP(E1034,Nombres!A:D,2,FALSE))</f>
        <v>Bretones</v>
      </c>
      <c r="C1034" t="str">
        <f>IF(ISERROR(VLOOKUP(E1034,Nombres!A:D,4,FALSE)),"PROBLEMAAAAAA",VLOOKUP(E1034,Nombres!A:D,4,FALSE))</f>
        <v>DEF</v>
      </c>
      <c r="D1034" t="str">
        <f>IF(ISERROR(VLOOKUP(E1034,Nombres!A:D,3,FALSE)),"PROBLEMAAAAAA",VLOOKUP(E1034,Nombres!A:D,3,FALSE))</f>
        <v>Osasuna</v>
      </c>
      <c r="E1034" t="s">
        <v>67</v>
      </c>
      <c r="F1034" s="1">
        <v>45971</v>
      </c>
      <c r="G1034" t="s">
        <v>9</v>
      </c>
      <c r="H1034" t="s">
        <v>10</v>
      </c>
      <c r="I1034" s="2">
        <v>3373737</v>
      </c>
    </row>
    <row r="1035" spans="1:9" x14ac:dyDescent="0.25">
      <c r="A1035">
        <v>1034</v>
      </c>
      <c r="B1035" t="str">
        <f>IF(ISERROR(VLOOKUP(E1035,Nombres!A:D,2,FALSE)),"PROBLEMAAAAAA",VLOOKUP(E1035,Nombres!A:D,2,FALSE))</f>
        <v>González</v>
      </c>
      <c r="C1035" t="str">
        <f>IF(ISERROR(VLOOKUP(E1035,Nombres!A:D,4,FALSE)),"PROBLEMAAAAAA",VLOOKUP(E1035,Nombres!A:D,4,FALSE))</f>
        <v>MED</v>
      </c>
      <c r="D1035" t="str">
        <f>IF(ISERROR(VLOOKUP(E1035,Nombres!A:D,3,FALSE)),"PROBLEMAAAAAA",VLOOKUP(E1035,Nombres!A:D,3,FALSE))</f>
        <v>Atlético</v>
      </c>
      <c r="E1035" t="s">
        <v>778</v>
      </c>
      <c r="F1035" s="1">
        <v>45971</v>
      </c>
      <c r="G1035" t="s">
        <v>31</v>
      </c>
      <c r="H1035" t="s">
        <v>10</v>
      </c>
      <c r="I1035" s="2">
        <v>23134833</v>
      </c>
    </row>
    <row r="1036" spans="1:9" x14ac:dyDescent="0.25">
      <c r="A1036">
        <v>1035</v>
      </c>
      <c r="B1036" t="str">
        <f>IF(ISERROR(VLOOKUP(E1036,Nombres!A:D,2,FALSE)),"PROBLEMAAAAAA",VLOOKUP(E1036,Nombres!A:D,2,FALSE))</f>
        <v>André Silva</v>
      </c>
      <c r="C1036" t="str">
        <f>IF(ISERROR(VLOOKUP(E1036,Nombres!A:D,4,FALSE)),"PROBLEMAAAAAA",VLOOKUP(E1036,Nombres!A:D,4,FALSE))</f>
        <v>DEL</v>
      </c>
      <c r="D1036" t="str">
        <f>IF(ISERROR(VLOOKUP(E1036,Nombres!A:D,3,FALSE)),"PROBLEMAAAAAA",VLOOKUP(E1036,Nombres!A:D,3,FALSE))</f>
        <v>Elche</v>
      </c>
      <c r="E1036" t="s">
        <v>319</v>
      </c>
      <c r="F1036" s="1">
        <v>45971</v>
      </c>
      <c r="G1036" t="s">
        <v>31</v>
      </c>
      <c r="H1036" t="s">
        <v>10</v>
      </c>
      <c r="I1036" s="2">
        <v>13120901</v>
      </c>
    </row>
    <row r="1037" spans="1:9" x14ac:dyDescent="0.25">
      <c r="A1037">
        <v>1036</v>
      </c>
      <c r="B1037" t="str">
        <f>IF(ISERROR(VLOOKUP(E1037,Nombres!A:D,2,FALSE)),"PROBLEMAAAAAA",VLOOKUP(E1037,Nombres!A:D,2,FALSE))</f>
        <v>Valverde</v>
      </c>
      <c r="C1037" t="str">
        <f>IF(ISERROR(VLOOKUP(E1037,Nombres!A:D,4,FALSE)),"PROBLEMAAAAAA",VLOOKUP(E1037,Nombres!A:D,4,FALSE))</f>
        <v>MED</v>
      </c>
      <c r="D1037" t="str">
        <f>IF(ISERROR(VLOOKUP(E1037,Nombres!A:D,3,FALSE)),"PROBLEMAAAAAA",VLOOKUP(E1037,Nombres!A:D,3,FALSE))</f>
        <v>Real Madrid</v>
      </c>
      <c r="E1037" t="s">
        <v>742</v>
      </c>
      <c r="F1037" s="1">
        <v>45971</v>
      </c>
      <c r="G1037" t="s">
        <v>31</v>
      </c>
      <c r="H1037" t="s">
        <v>12</v>
      </c>
      <c r="I1037" s="2">
        <v>93114856</v>
      </c>
    </row>
    <row r="1038" spans="1:9" x14ac:dyDescent="0.25">
      <c r="A1038">
        <v>1037</v>
      </c>
      <c r="B1038" t="str">
        <f>IF(ISERROR(VLOOKUP(E1038,Nombres!A:D,2,FALSE)),"PROBLEMAAAAAA",VLOOKUP(E1038,Nombres!A:D,2,FALSE))</f>
        <v>Thomas</v>
      </c>
      <c r="C1038" t="str">
        <f>IF(ISERROR(VLOOKUP(E1038,Nombres!A:D,4,FALSE)),"PROBLEMAAAAAA",VLOOKUP(E1038,Nombres!A:D,4,FALSE))</f>
        <v>MED</v>
      </c>
      <c r="D1038" t="str">
        <f>IF(ISERROR(VLOOKUP(E1038,Nombres!A:D,3,FALSE)),"PROBLEMAAAAAA",VLOOKUP(E1038,Nombres!A:D,3,FALSE))</f>
        <v>Villarreal</v>
      </c>
      <c r="E1038" t="s">
        <v>223</v>
      </c>
      <c r="F1038" s="1">
        <v>45971</v>
      </c>
      <c r="G1038" t="s">
        <v>8</v>
      </c>
      <c r="H1038" t="s">
        <v>31</v>
      </c>
      <c r="I1038" s="2">
        <v>4668380</v>
      </c>
    </row>
    <row r="1039" spans="1:9" x14ac:dyDescent="0.25">
      <c r="A1039">
        <v>1038</v>
      </c>
      <c r="B1039" t="str">
        <f>IF(ISERROR(VLOOKUP(E1039,Nombres!A:D,2,FALSE)),"PROBLEMAAAAAA",VLOOKUP(E1039,Nombres!A:D,2,FALSE))</f>
        <v>Parada</v>
      </c>
      <c r="C1039" t="str">
        <f>IF(ISERROR(VLOOKUP(E1039,Nombres!A:D,4,FALSE)),"PROBLEMAAAAAA",VLOOKUP(E1039,Nombres!A:D,4,FALSE))</f>
        <v>DEF</v>
      </c>
      <c r="D1039" t="str">
        <f>IF(ISERROR(VLOOKUP(E1039,Nombres!A:D,3,FALSE)),"PROBLEMAAAAAA",VLOOKUP(E1039,Nombres!A:D,3,FALSE))</f>
        <v>Alavés</v>
      </c>
      <c r="E1039" t="s">
        <v>674</v>
      </c>
      <c r="F1039" s="1">
        <v>45971</v>
      </c>
      <c r="G1039" t="s">
        <v>13</v>
      </c>
      <c r="H1039" t="s">
        <v>31</v>
      </c>
      <c r="I1039" s="2">
        <v>600000</v>
      </c>
    </row>
    <row r="1040" spans="1:9" x14ac:dyDescent="0.25">
      <c r="A1040">
        <v>1039</v>
      </c>
      <c r="B1040" t="str">
        <f>IF(ISERROR(VLOOKUP(E1040,Nombres!A:D,2,FALSE)),"PROBLEMAAAAAA",VLOOKUP(E1040,Nombres!A:D,2,FALSE))</f>
        <v>Rondón</v>
      </c>
      <c r="C1040" t="str">
        <f>IF(ISERROR(VLOOKUP(E1040,Nombres!A:D,4,FALSE)),"PROBLEMAAAAAA",VLOOKUP(E1040,Nombres!A:D,4,FALSE))</f>
        <v>DEL</v>
      </c>
      <c r="D1040" t="str">
        <f>IF(ISERROR(VLOOKUP(E1040,Nombres!A:D,3,FALSE)),"PROBLEMAAAAAA",VLOOKUP(E1040,Nombres!A:D,3,FALSE))</f>
        <v>Real Oviedo</v>
      </c>
      <c r="E1040" t="s">
        <v>790</v>
      </c>
      <c r="F1040" s="1">
        <v>45971</v>
      </c>
      <c r="G1040" t="s">
        <v>10</v>
      </c>
      <c r="H1040" t="s">
        <v>31</v>
      </c>
      <c r="I1040" s="2">
        <v>642478</v>
      </c>
    </row>
    <row r="1041" spans="1:9" x14ac:dyDescent="0.25">
      <c r="A1041">
        <v>1040</v>
      </c>
      <c r="B1041" t="str">
        <f>IF(ISERROR(VLOOKUP(E1041,Nombres!A:D,2,FALSE)),"PROBLEMAAAAAA",VLOOKUP(E1041,Nombres!A:D,2,FALSE))</f>
        <v>Huijsen</v>
      </c>
      <c r="C1041" t="str">
        <f>IF(ISERROR(VLOOKUP(E1041,Nombres!A:D,4,FALSE)),"PROBLEMAAAAAA",VLOOKUP(E1041,Nombres!A:D,4,FALSE))</f>
        <v>DEF</v>
      </c>
      <c r="D1041" t="str">
        <f>IF(ISERROR(VLOOKUP(E1041,Nombres!A:D,3,FALSE)),"PROBLEMAAAAAA",VLOOKUP(E1041,Nombres!A:D,3,FALSE))</f>
        <v>Real Madrid</v>
      </c>
      <c r="E1041" t="s">
        <v>428</v>
      </c>
      <c r="F1041" s="1">
        <v>45971</v>
      </c>
      <c r="G1041" t="s">
        <v>7</v>
      </c>
      <c r="H1041" t="s">
        <v>31</v>
      </c>
      <c r="I1041" s="2">
        <v>79471660</v>
      </c>
    </row>
    <row r="1042" spans="1:9" x14ac:dyDescent="0.25">
      <c r="A1042">
        <v>1041</v>
      </c>
      <c r="B1042" t="str">
        <f>IF(ISERROR(VLOOKUP(E1042,Nombres!A:D,2,FALSE)),"PROBLEMAAAAAA",VLOOKUP(E1042,Nombres!A:D,2,FALSE))</f>
        <v>Salvi Esquivel</v>
      </c>
      <c r="C1042" t="str">
        <f>IF(ISERROR(VLOOKUP(E1042,Nombres!A:D,4,FALSE)),"PROBLEMAAAAAA",VLOOKUP(E1042,Nombres!A:D,4,FALSE))</f>
        <v>POR</v>
      </c>
      <c r="D1042" t="str">
        <f>IF(ISERROR(VLOOKUP(E1042,Nombres!A:D,3,FALSE)),"PROBLEMAAAAAA",VLOOKUP(E1042,Nombres!A:D,3,FALSE))</f>
        <v>Atlético</v>
      </c>
      <c r="E1042" t="s">
        <v>776</v>
      </c>
      <c r="F1042" s="1">
        <v>45971</v>
      </c>
      <c r="G1042" t="s">
        <v>31</v>
      </c>
      <c r="H1042" t="s">
        <v>10</v>
      </c>
      <c r="I1042" s="2">
        <v>490812</v>
      </c>
    </row>
    <row r="1043" spans="1:9" x14ac:dyDescent="0.25">
      <c r="A1043">
        <v>1042</v>
      </c>
      <c r="B1043" t="str">
        <f>IF(ISERROR(VLOOKUP(E1043,Nombres!A:D,2,FALSE)),"PROBLEMAAAAAA",VLOOKUP(E1043,Nombres!A:D,2,FALSE))</f>
        <v>Danjuma</v>
      </c>
      <c r="C1043" t="str">
        <f>IF(ISERROR(VLOOKUP(E1043,Nombres!A:D,4,FALSE)),"PROBLEMAAAAAA",VLOOKUP(E1043,Nombres!A:D,4,FALSE))</f>
        <v>DEL</v>
      </c>
      <c r="D1043" t="str">
        <f>IF(ISERROR(VLOOKUP(E1043,Nombres!A:D,3,FALSE)),"PROBLEMAAAAAA",VLOOKUP(E1043,Nombres!A:D,3,FALSE))</f>
        <v>Valencia</v>
      </c>
      <c r="E1043" t="s">
        <v>275</v>
      </c>
      <c r="F1043" s="1">
        <v>45972</v>
      </c>
      <c r="G1043" t="s">
        <v>10</v>
      </c>
      <c r="H1043" t="s">
        <v>768</v>
      </c>
      <c r="I1043" s="2">
        <v>27500000</v>
      </c>
    </row>
    <row r="1044" spans="1:9" x14ac:dyDescent="0.25">
      <c r="A1044">
        <v>1043</v>
      </c>
      <c r="B1044" t="str">
        <f>IF(ISERROR(VLOOKUP(E1044,Nombres!A:D,2,FALSE)),"PROBLEMAAAAAA",VLOOKUP(E1044,Nombres!A:D,2,FALSE))</f>
        <v>Benito</v>
      </c>
      <c r="C1044" t="str">
        <f>IF(ISERROR(VLOOKUP(E1044,Nombres!A:D,4,FALSE)),"PROBLEMAAAAAA",VLOOKUP(E1044,Nombres!A:D,4,FALSE))</f>
        <v>DEL</v>
      </c>
      <c r="D1044" t="str">
        <f>IF(ISERROR(VLOOKUP(E1044,Nombres!A:D,3,FALSE)),"PROBLEMAAAAAA",VLOOKUP(E1044,Nombres!A:D,3,FALSE))</f>
        <v>Osasuna</v>
      </c>
      <c r="E1044" t="s">
        <v>505</v>
      </c>
      <c r="F1044" s="1">
        <v>45972</v>
      </c>
      <c r="G1044" t="s">
        <v>9</v>
      </c>
      <c r="H1044" t="s">
        <v>31</v>
      </c>
      <c r="I1044" s="2">
        <v>520604</v>
      </c>
    </row>
    <row r="1045" spans="1:9" x14ac:dyDescent="0.25">
      <c r="A1045">
        <v>1044</v>
      </c>
      <c r="B1045" t="str">
        <f>IF(ISERROR(VLOOKUP(E1045,Nombres!A:D,2,FALSE)),"PROBLEMAAAAAA",VLOOKUP(E1045,Nombres!A:D,2,FALSE))</f>
        <v>Giuliano</v>
      </c>
      <c r="C1045" t="str">
        <f>IF(ISERROR(VLOOKUP(E1045,Nombres!A:D,4,FALSE)),"PROBLEMAAAAAA",VLOOKUP(E1045,Nombres!A:D,4,FALSE))</f>
        <v>DEL</v>
      </c>
      <c r="D1045" t="str">
        <f>IF(ISERROR(VLOOKUP(E1045,Nombres!A:D,3,FALSE)),"PROBLEMAAAAAA",VLOOKUP(E1045,Nombres!A:D,3,FALSE))</f>
        <v>Atlético</v>
      </c>
      <c r="E1045" t="s">
        <v>303</v>
      </c>
      <c r="F1045" s="1">
        <v>45972</v>
      </c>
      <c r="G1045" t="s">
        <v>13</v>
      </c>
      <c r="H1045" t="s">
        <v>31</v>
      </c>
      <c r="I1045" s="2">
        <v>80336900</v>
      </c>
    </row>
    <row r="1046" spans="1:9" x14ac:dyDescent="0.25">
      <c r="A1046">
        <v>1045</v>
      </c>
      <c r="B1046" t="str">
        <f>IF(ISERROR(VLOOKUP(E1046,Nombres!A:D,2,FALSE)),"PROBLEMAAAAAA",VLOOKUP(E1046,Nombres!A:D,2,FALSE))</f>
        <v>Bellerín</v>
      </c>
      <c r="C1046" t="str">
        <f>IF(ISERROR(VLOOKUP(E1046,Nombres!A:D,4,FALSE)),"PROBLEMAAAAAA",VLOOKUP(E1046,Nombres!A:D,4,FALSE))</f>
        <v>DEF</v>
      </c>
      <c r="D1046" t="str">
        <f>IF(ISERROR(VLOOKUP(E1046,Nombres!A:D,3,FALSE)),"PROBLEMAAAAAA",VLOOKUP(E1046,Nombres!A:D,3,FALSE))</f>
        <v>Betis</v>
      </c>
      <c r="E1046" t="s">
        <v>208</v>
      </c>
      <c r="F1046" s="1">
        <v>45972</v>
      </c>
      <c r="G1046" t="s">
        <v>13</v>
      </c>
      <c r="H1046" t="s">
        <v>31</v>
      </c>
      <c r="I1046" s="2">
        <v>35463083</v>
      </c>
    </row>
    <row r="1047" spans="1:9" x14ac:dyDescent="0.25">
      <c r="A1047">
        <v>1046</v>
      </c>
      <c r="B1047" t="str">
        <f>IF(ISERROR(VLOOKUP(E1047,Nombres!A:D,2,FALSE)),"PROBLEMAAAAAA",VLOOKUP(E1047,Nombres!A:D,2,FALSE))</f>
        <v>Militão</v>
      </c>
      <c r="C1047" t="str">
        <f>IF(ISERROR(VLOOKUP(E1047,Nombres!A:D,4,FALSE)),"PROBLEMAAAAAA",VLOOKUP(E1047,Nombres!A:D,4,FALSE))</f>
        <v>DEF</v>
      </c>
      <c r="D1047" t="str">
        <f>IF(ISERROR(VLOOKUP(E1047,Nombres!A:D,3,FALSE)),"PROBLEMAAAAAA",VLOOKUP(E1047,Nombres!A:D,3,FALSE))</f>
        <v>Real Madrid</v>
      </c>
      <c r="E1047" t="s">
        <v>164</v>
      </c>
      <c r="F1047" s="1">
        <v>45972</v>
      </c>
      <c r="G1047" t="s">
        <v>31</v>
      </c>
      <c r="H1047" t="s">
        <v>13</v>
      </c>
      <c r="I1047" s="2">
        <v>72458863</v>
      </c>
    </row>
    <row r="1048" spans="1:9" x14ac:dyDescent="0.25">
      <c r="A1048">
        <v>1047</v>
      </c>
      <c r="B1048" t="str">
        <f>IF(ISERROR(VLOOKUP(E1048,Nombres!A:D,2,FALSE)),"PROBLEMAAAAAA",VLOOKUP(E1048,Nombres!A:D,2,FALSE))</f>
        <v>Edu Expósito</v>
      </c>
      <c r="C1048" t="str">
        <f>IF(ISERROR(VLOOKUP(E1048,Nombres!A:D,4,FALSE)),"PROBLEMAAAAAA",VLOOKUP(E1048,Nombres!A:D,4,FALSE))</f>
        <v>MED</v>
      </c>
      <c r="D1048" t="str">
        <f>IF(ISERROR(VLOOKUP(E1048,Nombres!A:D,3,FALSE)),"PROBLEMAAAAAA",VLOOKUP(E1048,Nombres!A:D,3,FALSE))</f>
        <v>Espanyol</v>
      </c>
      <c r="E1048" t="s">
        <v>271</v>
      </c>
      <c r="F1048" s="1">
        <v>45972</v>
      </c>
      <c r="G1048" t="s">
        <v>13</v>
      </c>
      <c r="H1048" t="s">
        <v>12</v>
      </c>
      <c r="I1048" s="2">
        <v>40818837</v>
      </c>
    </row>
    <row r="1049" spans="1:9" x14ac:dyDescent="0.25">
      <c r="A1049">
        <v>1048</v>
      </c>
      <c r="B1049" t="str">
        <f>IF(ISERROR(VLOOKUP(E1049,Nombres!A:D,2,FALSE)),"PROBLEMAAAAAA",VLOOKUP(E1049,Nombres!A:D,2,FALSE))</f>
        <v>Liso</v>
      </c>
      <c r="C1049" t="str">
        <f>IF(ISERROR(VLOOKUP(E1049,Nombres!A:D,4,FALSE)),"PROBLEMAAAAAA",VLOOKUP(E1049,Nombres!A:D,4,FALSE))</f>
        <v>DEL</v>
      </c>
      <c r="D1049" t="str">
        <f>IF(ISERROR(VLOOKUP(E1049,Nombres!A:D,3,FALSE)),"PROBLEMAAAAAA",VLOOKUP(E1049,Nombres!A:D,3,FALSE))</f>
        <v>Getafe</v>
      </c>
      <c r="E1049" t="s">
        <v>251</v>
      </c>
      <c r="F1049" s="1">
        <v>45973</v>
      </c>
      <c r="G1049" t="s">
        <v>31</v>
      </c>
      <c r="H1049" t="s">
        <v>6</v>
      </c>
      <c r="I1049" s="2">
        <v>9854713</v>
      </c>
    </row>
    <row r="1050" spans="1:9" x14ac:dyDescent="0.25">
      <c r="A1050">
        <v>1049</v>
      </c>
      <c r="B1050" t="str">
        <f>IF(ISERROR(VLOOKUP(E1050,Nombres!A:D,2,FALSE)),"PROBLEMAAAAAA",VLOOKUP(E1050,Nombres!A:D,2,FALSE))</f>
        <v>Mendy</v>
      </c>
      <c r="C1050" t="str">
        <f>IF(ISERROR(VLOOKUP(E1050,Nombres!A:D,4,FALSE)),"PROBLEMAAAAAA",VLOOKUP(E1050,Nombres!A:D,4,FALSE))</f>
        <v>DEF</v>
      </c>
      <c r="D1050" t="str">
        <f>IF(ISERROR(VLOOKUP(E1050,Nombres!A:D,3,FALSE)),"PROBLEMAAAAAA",VLOOKUP(E1050,Nombres!A:D,3,FALSE))</f>
        <v>Rayo</v>
      </c>
      <c r="E1050" t="s">
        <v>44</v>
      </c>
      <c r="F1050" s="1">
        <v>45973</v>
      </c>
      <c r="G1050" t="s">
        <v>10</v>
      </c>
      <c r="H1050" t="s">
        <v>31</v>
      </c>
      <c r="I1050" s="2">
        <v>10974125</v>
      </c>
    </row>
    <row r="1051" spans="1:9" x14ac:dyDescent="0.25">
      <c r="A1051">
        <v>1050</v>
      </c>
      <c r="B1051" t="str">
        <f>IF(ISERROR(VLOOKUP(E1051,Nombres!A:D,2,FALSE)),"PROBLEMAAAAAA",VLOOKUP(E1051,Nombres!A:D,2,FALSE))</f>
        <v>Natan</v>
      </c>
      <c r="C1051" t="str">
        <f>IF(ISERROR(VLOOKUP(E1051,Nombres!A:D,4,FALSE)),"PROBLEMAAAAAA",VLOOKUP(E1051,Nombres!A:D,4,FALSE))</f>
        <v>DEF</v>
      </c>
      <c r="D1051" t="str">
        <f>IF(ISERROR(VLOOKUP(E1051,Nombres!A:D,3,FALSE)),"PROBLEMAAAAAA",VLOOKUP(E1051,Nombres!A:D,3,FALSE))</f>
        <v>Betis</v>
      </c>
      <c r="E1051" t="s">
        <v>118</v>
      </c>
      <c r="F1051" s="1">
        <v>45973</v>
      </c>
      <c r="G1051" t="s">
        <v>31</v>
      </c>
      <c r="H1051" t="s">
        <v>6</v>
      </c>
      <c r="I1051" s="2">
        <v>44480506</v>
      </c>
    </row>
    <row r="1052" spans="1:9" x14ac:dyDescent="0.25">
      <c r="A1052">
        <v>1051</v>
      </c>
      <c r="B1052" t="str">
        <f>IF(ISERROR(VLOOKUP(E1052,Nombres!A:D,2,FALSE)),"PROBLEMAAAAAA",VLOOKUP(E1052,Nombres!A:D,2,FALSE))</f>
        <v>Gerard</v>
      </c>
      <c r="C1052" t="str">
        <f>IF(ISERROR(VLOOKUP(E1052,Nombres!A:D,4,FALSE)),"PROBLEMAAAAAA",VLOOKUP(E1052,Nombres!A:D,4,FALSE))</f>
        <v>DEL</v>
      </c>
      <c r="D1052" t="str">
        <f>IF(ISERROR(VLOOKUP(E1052,Nombres!A:D,3,FALSE)),"PROBLEMAAAAAA",VLOOKUP(E1052,Nombres!A:D,3,FALSE))</f>
        <v>Villarreal</v>
      </c>
      <c r="E1052" t="s">
        <v>148</v>
      </c>
      <c r="F1052" s="1">
        <v>45973</v>
      </c>
      <c r="G1052" t="s">
        <v>6</v>
      </c>
      <c r="H1052" t="s">
        <v>12</v>
      </c>
      <c r="I1052" s="2">
        <v>16610101</v>
      </c>
    </row>
    <row r="1053" spans="1:9" x14ac:dyDescent="0.25">
      <c r="A1053">
        <v>1052</v>
      </c>
      <c r="B1053" t="str">
        <f>IF(ISERROR(VLOOKUP(E1053,Nombres!A:D,2,FALSE)),"PROBLEMAAAAAA",VLOOKUP(E1053,Nombres!A:D,2,FALSE))</f>
        <v>Iglesias</v>
      </c>
      <c r="C1053" t="str">
        <f>IF(ISERROR(VLOOKUP(E1053,Nombres!A:D,4,FALSE)),"PROBLEMAAAAAA",VLOOKUP(E1053,Nombres!A:D,4,FALSE))</f>
        <v>DEL</v>
      </c>
      <c r="D1053" t="str">
        <f>IF(ISERROR(VLOOKUP(E1053,Nombres!A:D,3,FALSE)),"PROBLEMAAAAAA",VLOOKUP(E1053,Nombres!A:D,3,FALSE))</f>
        <v>Celta</v>
      </c>
      <c r="E1053" t="s">
        <v>766</v>
      </c>
      <c r="F1053" s="1">
        <v>45973</v>
      </c>
      <c r="G1053" t="s">
        <v>13</v>
      </c>
      <c r="H1053" t="s">
        <v>7</v>
      </c>
      <c r="I1053" s="2">
        <v>19552500</v>
      </c>
    </row>
    <row r="1054" spans="1:9" x14ac:dyDescent="0.25">
      <c r="A1054">
        <v>1053</v>
      </c>
      <c r="B1054" t="str">
        <f>IF(ISERROR(VLOOKUP(E1054,Nombres!A:D,2,FALSE)),"PROBLEMAAAAAA",VLOOKUP(E1054,Nombres!A:D,2,FALSE))</f>
        <v>Almada</v>
      </c>
      <c r="C1054" t="str">
        <f>IF(ISERROR(VLOOKUP(E1054,Nombres!A:D,4,FALSE)),"PROBLEMAAAAAA",VLOOKUP(E1054,Nombres!A:D,4,FALSE))</f>
        <v>MED</v>
      </c>
      <c r="D1054" t="str">
        <f>IF(ISERROR(VLOOKUP(E1054,Nombres!A:D,3,FALSE)),"PROBLEMAAAAAA",VLOOKUP(E1054,Nombres!A:D,3,FALSE))</f>
        <v>Atlético</v>
      </c>
      <c r="E1054" t="s">
        <v>110</v>
      </c>
      <c r="F1054" s="1">
        <v>45974</v>
      </c>
      <c r="G1054" t="s">
        <v>31</v>
      </c>
      <c r="H1054" t="s">
        <v>10</v>
      </c>
      <c r="I1054" s="2">
        <v>19424783</v>
      </c>
    </row>
    <row r="1055" spans="1:9" x14ac:dyDescent="0.25">
      <c r="A1055">
        <v>1054</v>
      </c>
      <c r="B1055" t="str">
        <f>IF(ISERROR(VLOOKUP(E1055,Nombres!A:D,2,FALSE)),"PROBLEMAAAAAA",VLOOKUP(E1055,Nombres!A:D,2,FALSE))</f>
        <v>Djené</v>
      </c>
      <c r="C1055" t="str">
        <f>IF(ISERROR(VLOOKUP(E1055,Nombres!A:D,4,FALSE)),"PROBLEMAAAAAA",VLOOKUP(E1055,Nombres!A:D,4,FALSE))</f>
        <v>DEF</v>
      </c>
      <c r="D1055" t="str">
        <f>IF(ISERROR(VLOOKUP(E1055,Nombres!A:D,3,FALSE)),"PROBLEMAAAAAA",VLOOKUP(E1055,Nombres!A:D,3,FALSE))</f>
        <v>Getafe</v>
      </c>
      <c r="E1055" t="s">
        <v>783</v>
      </c>
      <c r="F1055" s="1">
        <v>45974</v>
      </c>
      <c r="G1055" t="s">
        <v>31</v>
      </c>
      <c r="H1055" t="s">
        <v>10</v>
      </c>
      <c r="I1055" s="2">
        <v>8330786</v>
      </c>
    </row>
    <row r="1056" spans="1:9" x14ac:dyDescent="0.25">
      <c r="A1056">
        <v>1055</v>
      </c>
      <c r="B1056" t="str">
        <f>IF(ISERROR(VLOOKUP(E1056,Nombres!A:D,2,FALSE)),"PROBLEMAAAAAA",VLOOKUP(E1056,Nombres!A:D,2,FALSE))</f>
        <v>PROBLEMAAAAAA</v>
      </c>
      <c r="C1056" t="str">
        <f>IF(ISERROR(VLOOKUP(E1056,Nombres!A:D,4,FALSE)),"PROBLEMAAAAAA",VLOOKUP(E1056,Nombres!A:D,4,FALSE))</f>
        <v>PROBLEMAAAAAA</v>
      </c>
      <c r="D1056" t="str">
        <f>IF(ISERROR(VLOOKUP(E1056,Nombres!A:D,3,FALSE)),"PROBLEMAAAAAA",VLOOKUP(E1056,Nombres!A:D,3,FALSE))</f>
        <v>PROBLEMAAAAAA</v>
      </c>
      <c r="E1056" t="s">
        <v>791</v>
      </c>
      <c r="F1056" s="1">
        <v>45974</v>
      </c>
      <c r="G1056" t="s">
        <v>12</v>
      </c>
      <c r="H1056" t="s">
        <v>31</v>
      </c>
      <c r="I1056" s="2">
        <v>35610101</v>
      </c>
    </row>
    <row r="1057" spans="1:9" x14ac:dyDescent="0.25">
      <c r="A1057">
        <v>1056</v>
      </c>
      <c r="B1057" t="str">
        <f>IF(ISERROR(VLOOKUP(E1057,Nombres!A:D,2,FALSE)),"PROBLEMAAAAAA",VLOOKUP(E1057,Nombres!A:D,2,FALSE))</f>
        <v>Peña</v>
      </c>
      <c r="C1057" t="str">
        <f>IF(ISERROR(VLOOKUP(E1057,Nombres!A:D,4,FALSE)),"PROBLEMAAAAAA",VLOOKUP(E1057,Nombres!A:D,4,FALSE))</f>
        <v>POR</v>
      </c>
      <c r="D1057" t="str">
        <f>IF(ISERROR(VLOOKUP(E1057,Nombres!A:D,3,FALSE)),"PROBLEMAAAAAA",VLOOKUP(E1057,Nombres!A:D,3,FALSE))</f>
        <v>Elche</v>
      </c>
      <c r="E1057" t="s">
        <v>441</v>
      </c>
      <c r="F1057" s="1">
        <v>45974</v>
      </c>
      <c r="G1057" t="s">
        <v>14</v>
      </c>
      <c r="H1057" t="s">
        <v>31</v>
      </c>
      <c r="I1057" s="2">
        <v>2424017</v>
      </c>
    </row>
    <row r="1058" spans="1:9" x14ac:dyDescent="0.25">
      <c r="A1058">
        <v>1057</v>
      </c>
      <c r="B1058" t="str">
        <f>IF(ISERROR(VLOOKUP(E1058,Nombres!A:D,2,FALSE)),"PROBLEMAAAAAA",VLOOKUP(E1058,Nombres!A:D,2,FALSE))</f>
        <v>Brais</v>
      </c>
      <c r="C1058" t="str">
        <f>IF(ISERROR(VLOOKUP(E1058,Nombres!A:D,4,FALSE)),"PROBLEMAAAAAA",VLOOKUP(E1058,Nombres!A:D,4,FALSE))</f>
        <v>MED</v>
      </c>
      <c r="D1058" t="str">
        <f>IF(ISERROR(VLOOKUP(E1058,Nombres!A:D,3,FALSE)),"PROBLEMAAAAAA",VLOOKUP(E1058,Nombres!A:D,3,FALSE))</f>
        <v>Real Sociedad</v>
      </c>
      <c r="E1058" t="s">
        <v>158</v>
      </c>
      <c r="F1058" s="1">
        <v>45974</v>
      </c>
      <c r="G1058" t="s">
        <v>14</v>
      </c>
      <c r="H1058" t="s">
        <v>31</v>
      </c>
      <c r="I1058" s="2">
        <v>19286482</v>
      </c>
    </row>
    <row r="1059" spans="1:9" x14ac:dyDescent="0.25">
      <c r="A1059">
        <v>1058</v>
      </c>
      <c r="B1059" t="str">
        <f>IF(ISERROR(VLOOKUP(E1059,Nombres!A:D,2,FALSE)),"PROBLEMAAAAAA",VLOOKUP(E1059,Nombres!A:D,2,FALSE))</f>
        <v>Valera</v>
      </c>
      <c r="C1059" t="str">
        <f>IF(ISERROR(VLOOKUP(E1059,Nombres!A:D,4,FALSE)),"PROBLEMAAAAAA",VLOOKUP(E1059,Nombres!A:D,4,FALSE))</f>
        <v>MED</v>
      </c>
      <c r="D1059" t="str">
        <f>IF(ISERROR(VLOOKUP(E1059,Nombres!A:D,3,FALSE)),"PROBLEMAAAAAA",VLOOKUP(E1059,Nombres!A:D,3,FALSE))</f>
        <v>Elche</v>
      </c>
      <c r="E1059" t="s">
        <v>325</v>
      </c>
      <c r="F1059" s="1">
        <v>45974</v>
      </c>
      <c r="G1059" t="s">
        <v>31</v>
      </c>
      <c r="H1059" t="s">
        <v>10</v>
      </c>
      <c r="I1059" s="2">
        <v>16570802</v>
      </c>
    </row>
    <row r="1060" spans="1:9" x14ac:dyDescent="0.25">
      <c r="A1060">
        <v>1059</v>
      </c>
      <c r="B1060" t="str">
        <f>IF(ISERROR(VLOOKUP(E1060,Nombres!A:D,2,FALSE)),"PROBLEMAAAAAA",VLOOKUP(E1060,Nombres!A:D,2,FALSE))</f>
        <v>Abde</v>
      </c>
      <c r="C1060" t="str">
        <f>IF(ISERROR(VLOOKUP(E1060,Nombres!A:D,4,FALSE)),"PROBLEMAAAAAA",VLOOKUP(E1060,Nombres!A:D,4,FALSE))</f>
        <v>DEL</v>
      </c>
      <c r="D1060" t="str">
        <f>IF(ISERROR(VLOOKUP(E1060,Nombres!A:D,3,FALSE)),"PROBLEMAAAAAA",VLOOKUP(E1060,Nombres!A:D,3,FALSE))</f>
        <v>Betis</v>
      </c>
      <c r="E1060" t="s">
        <v>147</v>
      </c>
      <c r="F1060" s="1">
        <v>45974</v>
      </c>
      <c r="G1060" t="s">
        <v>10</v>
      </c>
      <c r="H1060" t="s">
        <v>13</v>
      </c>
      <c r="I1060" s="2">
        <v>43309964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5F20F-B9ED-450A-9539-721F561DD180}">
  <dimension ref="A1:E381"/>
  <sheetViews>
    <sheetView topLeftCell="A93" workbookViewId="0">
      <selection activeCell="C118" sqref="C118"/>
    </sheetView>
  </sheetViews>
  <sheetFormatPr baseColWidth="10" defaultRowHeight="15" x14ac:dyDescent="0.25"/>
  <cols>
    <col min="1" max="1" width="21.7109375" bestFit="1" customWidth="1"/>
    <col min="3" max="3" width="11.7109375" bestFit="1" customWidth="1"/>
    <col min="5" max="5" width="13.140625" style="2" bestFit="1" customWidth="1"/>
  </cols>
  <sheetData>
    <row r="1" spans="1:5" x14ac:dyDescent="0.25">
      <c r="A1" t="s">
        <v>0</v>
      </c>
      <c r="B1" t="s">
        <v>242</v>
      </c>
      <c r="C1" t="s">
        <v>75</v>
      </c>
      <c r="D1" t="s">
        <v>243</v>
      </c>
      <c r="E1" s="2" t="s">
        <v>244</v>
      </c>
    </row>
    <row r="2" spans="1:5" x14ac:dyDescent="0.25">
      <c r="A2" t="s">
        <v>768</v>
      </c>
      <c r="B2">
        <v>1</v>
      </c>
      <c r="C2">
        <f>_xlfn.RANK.EQ(D2,D2:D11,0)+COUNTIF(D2:D2,D2)-1</f>
        <v>1</v>
      </c>
      <c r="D2">
        <v>68</v>
      </c>
      <c r="E2" s="2">
        <v>6800000</v>
      </c>
    </row>
    <row r="3" spans="1:5" x14ac:dyDescent="0.25">
      <c r="A3" t="s">
        <v>11</v>
      </c>
      <c r="B3">
        <v>1</v>
      </c>
      <c r="C3">
        <f>_xlfn.RANK.EQ(D3,D2:D11,0)+COUNTIF(D2:D3,D3)-1</f>
        <v>2</v>
      </c>
      <c r="D3">
        <v>60</v>
      </c>
      <c r="E3" s="2">
        <v>6000000</v>
      </c>
    </row>
    <row r="4" spans="1:5" x14ac:dyDescent="0.25">
      <c r="A4" t="s">
        <v>13</v>
      </c>
      <c r="B4">
        <v>1</v>
      </c>
      <c r="C4">
        <f>_xlfn.RANK.EQ(D4,D2:D11,0)+COUNTIF(D2:D4,D4)-1</f>
        <v>3</v>
      </c>
      <c r="D4">
        <v>59</v>
      </c>
      <c r="E4" s="2">
        <v>5900000</v>
      </c>
    </row>
    <row r="5" spans="1:5" x14ac:dyDescent="0.25">
      <c r="A5" t="s">
        <v>7</v>
      </c>
      <c r="B5">
        <v>1</v>
      </c>
      <c r="C5">
        <f>_xlfn.RANK.EQ(D5,D2:D11,0)+COUNTIF(D2:D5,D5)-1</f>
        <v>4</v>
      </c>
      <c r="D5">
        <v>54</v>
      </c>
      <c r="E5" s="2">
        <v>5400000</v>
      </c>
    </row>
    <row r="6" spans="1:5" x14ac:dyDescent="0.25">
      <c r="A6" t="s">
        <v>10</v>
      </c>
      <c r="B6">
        <v>1</v>
      </c>
      <c r="C6">
        <f>_xlfn.RANK.EQ(D6,D2:D11,0)+COUNTIF(D2:D6,D6)-1</f>
        <v>5</v>
      </c>
      <c r="D6">
        <v>53</v>
      </c>
      <c r="E6" s="2">
        <v>5300000</v>
      </c>
    </row>
    <row r="7" spans="1:5" x14ac:dyDescent="0.25">
      <c r="A7" t="s">
        <v>8</v>
      </c>
      <c r="B7">
        <v>1</v>
      </c>
      <c r="C7">
        <f>_xlfn.RANK.EQ(D7,D2:D11,0)+COUNTIF(D2:D7,D7)-1</f>
        <v>6</v>
      </c>
      <c r="D7">
        <v>49</v>
      </c>
      <c r="E7" s="2">
        <v>4900000</v>
      </c>
    </row>
    <row r="8" spans="1:5" x14ac:dyDescent="0.25">
      <c r="A8" t="s">
        <v>9</v>
      </c>
      <c r="B8">
        <v>1</v>
      </c>
      <c r="C8">
        <f>_xlfn.RANK.EQ(D8,D2:D11,0)+COUNTIF(D2:D8,D8)-1</f>
        <v>7</v>
      </c>
      <c r="D8">
        <v>46</v>
      </c>
      <c r="E8" s="2">
        <v>4600000</v>
      </c>
    </row>
    <row r="9" spans="1:5" x14ac:dyDescent="0.25">
      <c r="A9" t="s">
        <v>14</v>
      </c>
      <c r="B9">
        <v>1</v>
      </c>
      <c r="C9">
        <f>_xlfn.RANK.EQ(D9,D2:D11,0)+COUNTIF(D2:D9,D9)-1</f>
        <v>8</v>
      </c>
      <c r="D9">
        <v>36</v>
      </c>
      <c r="E9" s="2">
        <v>3600000</v>
      </c>
    </row>
    <row r="10" spans="1:5" x14ac:dyDescent="0.25">
      <c r="A10" t="s">
        <v>12</v>
      </c>
      <c r="B10">
        <v>1</v>
      </c>
      <c r="C10">
        <f>_xlfn.RANK.EQ(D10,D2:D11,0)+COUNTIF(D2:D10,D10)-1</f>
        <v>9</v>
      </c>
      <c r="D10">
        <v>34</v>
      </c>
      <c r="E10" s="2">
        <v>3400000</v>
      </c>
    </row>
    <row r="11" spans="1:5" x14ac:dyDescent="0.25">
      <c r="A11" t="s">
        <v>6</v>
      </c>
      <c r="B11">
        <v>1</v>
      </c>
      <c r="C11">
        <f>_xlfn.RANK.EQ(D11,D2:D11,0)+COUNTIF(D2:D11,D11)-1</f>
        <v>10</v>
      </c>
      <c r="D11">
        <v>22</v>
      </c>
      <c r="E11" s="2">
        <v>2200000</v>
      </c>
    </row>
    <row r="12" spans="1:5" x14ac:dyDescent="0.25">
      <c r="A12" t="s">
        <v>6</v>
      </c>
      <c r="B12">
        <v>2</v>
      </c>
      <c r="C12">
        <f>_xlfn.RANK.EQ(D12,D12:D21,0)+COUNTIF(D12:D12,D12)-1</f>
        <v>6</v>
      </c>
      <c r="D12">
        <v>50</v>
      </c>
      <c r="E12" s="2">
        <f t="shared" ref="E12" si="0">D12*100000</f>
        <v>5000000</v>
      </c>
    </row>
    <row r="13" spans="1:5" x14ac:dyDescent="0.25">
      <c r="A13" t="s">
        <v>7</v>
      </c>
      <c r="B13">
        <v>2</v>
      </c>
      <c r="C13">
        <f>_xlfn.RANK.EQ(D13,D12:D21,0)+COUNTIF(D12:D13,D13)-1</f>
        <v>7</v>
      </c>
      <c r="D13">
        <v>50</v>
      </c>
      <c r="E13" s="2">
        <v>5000000</v>
      </c>
    </row>
    <row r="14" spans="1:5" x14ac:dyDescent="0.25">
      <c r="A14" t="s">
        <v>8</v>
      </c>
      <c r="B14">
        <v>2</v>
      </c>
      <c r="C14">
        <f>_xlfn.RANK.EQ(D14,D12:D21,0)+COUNTIF(D12:D14,D14)-1</f>
        <v>9</v>
      </c>
      <c r="D14">
        <v>37</v>
      </c>
      <c r="E14" s="2">
        <v>3700000</v>
      </c>
    </row>
    <row r="15" spans="1:5" x14ac:dyDescent="0.25">
      <c r="A15" t="s">
        <v>768</v>
      </c>
      <c r="B15">
        <v>2</v>
      </c>
      <c r="C15">
        <f>_xlfn.RANK.EQ(D15,D12:D21,0)+COUNTIF(D12:D15,D15)-1</f>
        <v>2</v>
      </c>
      <c r="D15">
        <v>77</v>
      </c>
      <c r="E15" s="2">
        <v>7700000</v>
      </c>
    </row>
    <row r="16" spans="1:5" x14ac:dyDescent="0.25">
      <c r="A16" t="s">
        <v>9</v>
      </c>
      <c r="B16">
        <v>2</v>
      </c>
      <c r="C16">
        <f>_xlfn.RANK.EQ(D16,D12:D21,0)+COUNTIF(D12:D16,D16)-1</f>
        <v>10</v>
      </c>
      <c r="D16">
        <v>37</v>
      </c>
      <c r="E16" s="2">
        <v>3700000</v>
      </c>
    </row>
    <row r="17" spans="1:5" x14ac:dyDescent="0.25">
      <c r="A17" t="s">
        <v>10</v>
      </c>
      <c r="B17">
        <v>2</v>
      </c>
      <c r="C17">
        <f>_xlfn.RANK.EQ(D17,D12:D21,0)+COUNTIF(D12:D17,D17)-1</f>
        <v>8</v>
      </c>
      <c r="D17">
        <v>40</v>
      </c>
      <c r="E17" s="2">
        <v>4000000</v>
      </c>
    </row>
    <row r="18" spans="1:5" x14ac:dyDescent="0.25">
      <c r="A18" t="s">
        <v>11</v>
      </c>
      <c r="B18">
        <v>2</v>
      </c>
      <c r="C18">
        <f>_xlfn.RANK.EQ(D18,D12:D21,0)+COUNTIF(D12:D18,D18)-1</f>
        <v>5</v>
      </c>
      <c r="D18">
        <v>52</v>
      </c>
      <c r="E18" s="2">
        <v>5200000</v>
      </c>
    </row>
    <row r="19" spans="1:5" x14ac:dyDescent="0.25">
      <c r="A19" t="s">
        <v>12</v>
      </c>
      <c r="B19">
        <v>2</v>
      </c>
      <c r="C19">
        <f>_xlfn.RANK.EQ(D19,D12:D21,0)+COUNTIF(D12:D19,D19)-1</f>
        <v>4</v>
      </c>
      <c r="D19">
        <v>53</v>
      </c>
      <c r="E19" s="2">
        <v>5300000</v>
      </c>
    </row>
    <row r="20" spans="1:5" x14ac:dyDescent="0.25">
      <c r="A20" t="s">
        <v>13</v>
      </c>
      <c r="B20">
        <v>2</v>
      </c>
      <c r="C20">
        <f>_xlfn.RANK.EQ(D20,D12:D21,0)+COUNTIF(D12:D20,D20)-1</f>
        <v>1</v>
      </c>
      <c r="D20">
        <v>85</v>
      </c>
      <c r="E20" s="2">
        <v>8500000</v>
      </c>
    </row>
    <row r="21" spans="1:5" x14ac:dyDescent="0.25">
      <c r="A21" t="s">
        <v>14</v>
      </c>
      <c r="B21">
        <v>2</v>
      </c>
      <c r="C21">
        <f>_xlfn.RANK.EQ(D21,D12:D21,0)+COUNTIF(D12:D21,D21)-1</f>
        <v>3</v>
      </c>
      <c r="D21">
        <v>68</v>
      </c>
      <c r="E21" s="2">
        <v>6800000</v>
      </c>
    </row>
    <row r="22" spans="1:5" s="4" customFormat="1" x14ac:dyDescent="0.25">
      <c r="A22" t="s">
        <v>6</v>
      </c>
      <c r="B22">
        <v>3</v>
      </c>
      <c r="C22">
        <f>_xlfn.RANK.EQ(D22,D22:D31,0)+COUNTIF(D22:D22,D22)-1</f>
        <v>6</v>
      </c>
      <c r="D22">
        <v>48</v>
      </c>
      <c r="E22" s="2">
        <v>4800000</v>
      </c>
    </row>
    <row r="23" spans="1:5" s="4" customFormat="1" x14ac:dyDescent="0.25">
      <c r="A23" t="s">
        <v>7</v>
      </c>
      <c r="B23">
        <v>3</v>
      </c>
      <c r="C23">
        <f>_xlfn.RANK.EQ(D23,D22:D31,0)+COUNTIF(D22:D23,D23)-1</f>
        <v>3</v>
      </c>
      <c r="D23">
        <v>58</v>
      </c>
      <c r="E23" s="2">
        <v>5800000</v>
      </c>
    </row>
    <row r="24" spans="1:5" s="4" customFormat="1" x14ac:dyDescent="0.25">
      <c r="A24" t="s">
        <v>8</v>
      </c>
      <c r="B24">
        <v>3</v>
      </c>
      <c r="C24">
        <f>_xlfn.RANK.EQ(D24,D22:D31,0)+COUNTIF(D22:D24,D24)-1</f>
        <v>4</v>
      </c>
      <c r="D24">
        <v>58</v>
      </c>
      <c r="E24" s="2">
        <v>5800000</v>
      </c>
    </row>
    <row r="25" spans="1:5" s="4" customFormat="1" x14ac:dyDescent="0.25">
      <c r="A25" t="s">
        <v>768</v>
      </c>
      <c r="B25">
        <v>3</v>
      </c>
      <c r="C25">
        <f>_xlfn.RANK.EQ(D25,D22:D31,0)+COUNTIF(D22:D25,D25)-1</f>
        <v>10</v>
      </c>
      <c r="D25">
        <v>34</v>
      </c>
      <c r="E25" s="2">
        <v>3400000</v>
      </c>
    </row>
    <row r="26" spans="1:5" s="4" customFormat="1" x14ac:dyDescent="0.25">
      <c r="A26" t="s">
        <v>9</v>
      </c>
      <c r="B26">
        <v>3</v>
      </c>
      <c r="C26">
        <f>_xlfn.RANK.EQ(D26,D22:D31,0)+COUNTIF(D22:D26,D26)-1</f>
        <v>1</v>
      </c>
      <c r="D26">
        <v>66</v>
      </c>
      <c r="E26" s="2">
        <v>6600000</v>
      </c>
    </row>
    <row r="27" spans="1:5" s="4" customFormat="1" x14ac:dyDescent="0.25">
      <c r="A27" t="s">
        <v>10</v>
      </c>
      <c r="B27">
        <v>3</v>
      </c>
      <c r="C27">
        <f>_xlfn.RANK.EQ(D27,D22:D31,0)+COUNTIF(D22:D27,D27)-1</f>
        <v>5</v>
      </c>
      <c r="D27">
        <v>57</v>
      </c>
      <c r="E27" s="2">
        <v>5700000</v>
      </c>
    </row>
    <row r="28" spans="1:5" s="4" customFormat="1" x14ac:dyDescent="0.25">
      <c r="A28" t="s">
        <v>11</v>
      </c>
      <c r="B28">
        <v>3</v>
      </c>
      <c r="C28">
        <f>_xlfn.RANK.EQ(D28,D22:D31,0)+COUNTIF(D22:D28,D28)-1</f>
        <v>9</v>
      </c>
      <c r="D28">
        <v>38</v>
      </c>
      <c r="E28" s="2">
        <v>3800000</v>
      </c>
    </row>
    <row r="29" spans="1:5" s="4" customFormat="1" x14ac:dyDescent="0.25">
      <c r="A29" t="s">
        <v>12</v>
      </c>
      <c r="B29">
        <v>3</v>
      </c>
      <c r="C29">
        <f>_xlfn.RANK.EQ(D29,D22:D31,0)+COUNTIF(D22:D29,D29)-1</f>
        <v>7</v>
      </c>
      <c r="D29">
        <v>42</v>
      </c>
      <c r="E29" s="2">
        <v>4200000</v>
      </c>
    </row>
    <row r="30" spans="1:5" s="4" customFormat="1" x14ac:dyDescent="0.25">
      <c r="A30" t="s">
        <v>13</v>
      </c>
      <c r="B30">
        <v>3</v>
      </c>
      <c r="C30">
        <f>_xlfn.RANK.EQ(D30,D22:D31,0)+COUNTIF(D22:D30,D30)-1</f>
        <v>2</v>
      </c>
      <c r="D30">
        <v>61</v>
      </c>
      <c r="E30" s="2">
        <v>6100000</v>
      </c>
    </row>
    <row r="31" spans="1:5" s="4" customFormat="1" x14ac:dyDescent="0.25">
      <c r="A31" t="s">
        <v>14</v>
      </c>
      <c r="B31">
        <v>3</v>
      </c>
      <c r="C31">
        <f>_xlfn.RANK.EQ(D31,D22:D31,0)+COUNTIF(D22:D31,D31)-1</f>
        <v>8</v>
      </c>
      <c r="D31">
        <v>41</v>
      </c>
      <c r="E31" s="2">
        <v>4100000</v>
      </c>
    </row>
    <row r="32" spans="1:5" x14ac:dyDescent="0.25">
      <c r="A32" t="s">
        <v>6</v>
      </c>
      <c r="B32">
        <v>4</v>
      </c>
      <c r="C32">
        <f>_xlfn.RANK.EQ(D32,D32:D41,0)+COUNTIF(D32:D32,D32)-1</f>
        <v>2</v>
      </c>
      <c r="D32">
        <v>67</v>
      </c>
      <c r="E32" s="2">
        <v>6700000</v>
      </c>
    </row>
    <row r="33" spans="1:5" x14ac:dyDescent="0.25">
      <c r="A33" t="s">
        <v>7</v>
      </c>
      <c r="B33">
        <v>4</v>
      </c>
      <c r="C33">
        <f>_xlfn.RANK.EQ(D33,D32:D41,0)+COUNTIF(D32:D33,D33)-1</f>
        <v>3</v>
      </c>
      <c r="D33">
        <v>58</v>
      </c>
      <c r="E33" s="2">
        <v>5800000</v>
      </c>
    </row>
    <row r="34" spans="1:5" x14ac:dyDescent="0.25">
      <c r="A34" t="s">
        <v>8</v>
      </c>
      <c r="B34">
        <v>4</v>
      </c>
      <c r="C34">
        <f>_xlfn.RANK.EQ(D34,D32:D41,0)+COUNTIF(D32:D34,D34)-1</f>
        <v>9</v>
      </c>
      <c r="D34">
        <v>25</v>
      </c>
      <c r="E34" s="2">
        <v>2500000</v>
      </c>
    </row>
    <row r="35" spans="1:5" x14ac:dyDescent="0.25">
      <c r="A35" t="s">
        <v>768</v>
      </c>
      <c r="B35">
        <v>4</v>
      </c>
      <c r="C35">
        <f>_xlfn.RANK.EQ(D35,D32:D41,0)+COUNTIF(D32:D35,D35)-1</f>
        <v>6</v>
      </c>
      <c r="D35">
        <v>49</v>
      </c>
      <c r="E35" s="2">
        <v>4900000</v>
      </c>
    </row>
    <row r="36" spans="1:5" x14ac:dyDescent="0.25">
      <c r="A36" t="s">
        <v>9</v>
      </c>
      <c r="B36">
        <v>4</v>
      </c>
      <c r="C36">
        <f>_xlfn.RANK.EQ(D36,D32:D41,0)+COUNTIF(D32:D36,D36)-1</f>
        <v>5</v>
      </c>
      <c r="D36">
        <v>56</v>
      </c>
      <c r="E36" s="2">
        <v>5600000</v>
      </c>
    </row>
    <row r="37" spans="1:5" x14ac:dyDescent="0.25">
      <c r="A37" t="s">
        <v>10</v>
      </c>
      <c r="B37">
        <v>4</v>
      </c>
      <c r="C37">
        <f>_xlfn.RANK.EQ(D37,D32:D41,0)+COUNTIF(D32:D37,D37)-1</f>
        <v>8</v>
      </c>
      <c r="D37">
        <v>27</v>
      </c>
      <c r="E37" s="2">
        <v>2700000</v>
      </c>
    </row>
    <row r="38" spans="1:5" x14ac:dyDescent="0.25">
      <c r="A38" t="s">
        <v>11</v>
      </c>
      <c r="B38">
        <v>4</v>
      </c>
      <c r="C38">
        <f>_xlfn.RANK.EQ(D38,D32:D41,0)+COUNTIF(D32:D38,D38)-1</f>
        <v>4</v>
      </c>
      <c r="D38">
        <v>57</v>
      </c>
      <c r="E38" s="2">
        <v>5700000</v>
      </c>
    </row>
    <row r="39" spans="1:5" x14ac:dyDescent="0.25">
      <c r="A39" t="s">
        <v>12</v>
      </c>
      <c r="B39">
        <v>4</v>
      </c>
      <c r="C39">
        <f>_xlfn.RANK.EQ(D39,D32:D41,0)+COUNTIF(D32:D39,D39)-1</f>
        <v>7</v>
      </c>
      <c r="D39">
        <v>48</v>
      </c>
      <c r="E39" s="2">
        <v>4800000</v>
      </c>
    </row>
    <row r="40" spans="1:5" x14ac:dyDescent="0.25">
      <c r="A40" t="s">
        <v>13</v>
      </c>
      <c r="B40">
        <v>4</v>
      </c>
      <c r="C40">
        <f>_xlfn.RANK.EQ(D40,D32:D41,0)+COUNTIF(D32:D40,D40)-1</f>
        <v>1</v>
      </c>
      <c r="D40">
        <v>73</v>
      </c>
      <c r="E40" s="2">
        <v>7300000</v>
      </c>
    </row>
    <row r="41" spans="1:5" x14ac:dyDescent="0.25">
      <c r="A41" t="s">
        <v>14</v>
      </c>
      <c r="B41">
        <v>4</v>
      </c>
      <c r="C41">
        <f>_xlfn.RANK.EQ(D41,D32:D41,0)+COUNTIF(D32:D41,D41)-1</f>
        <v>10</v>
      </c>
      <c r="D41">
        <v>24</v>
      </c>
      <c r="E41" s="2">
        <v>2400000</v>
      </c>
    </row>
    <row r="42" spans="1:5" x14ac:dyDescent="0.25">
      <c r="A42" t="s">
        <v>6</v>
      </c>
      <c r="B42">
        <v>5</v>
      </c>
      <c r="C42">
        <f>_xlfn.RANK.EQ(D42,D42:D51,0)+COUNTIF(D42:D42,D42)-1</f>
        <v>5</v>
      </c>
      <c r="D42">
        <v>59</v>
      </c>
      <c r="E42" s="2">
        <v>5900000</v>
      </c>
    </row>
    <row r="43" spans="1:5" x14ac:dyDescent="0.25">
      <c r="A43" t="s">
        <v>7</v>
      </c>
      <c r="B43">
        <v>5</v>
      </c>
      <c r="C43">
        <f>_xlfn.RANK.EQ(D43,D42:D51,0)+COUNTIF(D42:D43,D43)-1</f>
        <v>6</v>
      </c>
      <c r="D43">
        <v>58</v>
      </c>
      <c r="E43" s="2">
        <v>5800000</v>
      </c>
    </row>
    <row r="44" spans="1:5" x14ac:dyDescent="0.25">
      <c r="A44" t="s">
        <v>8</v>
      </c>
      <c r="B44">
        <v>5</v>
      </c>
      <c r="C44">
        <f>_xlfn.RANK.EQ(D44,D42:D51,0)+COUNTIF(D42:D44,D44)-1</f>
        <v>10</v>
      </c>
      <c r="D44">
        <v>18</v>
      </c>
      <c r="E44" s="2">
        <v>1800000</v>
      </c>
    </row>
    <row r="45" spans="1:5" x14ac:dyDescent="0.25">
      <c r="A45" t="s">
        <v>768</v>
      </c>
      <c r="B45">
        <v>5</v>
      </c>
      <c r="C45">
        <f>_xlfn.RANK.EQ(D45,D42:D51,0)+COUNTIF(D42:D45,D45)-1</f>
        <v>7</v>
      </c>
      <c r="D45">
        <v>53</v>
      </c>
      <c r="E45" s="2">
        <v>5300000</v>
      </c>
    </row>
    <row r="46" spans="1:5" x14ac:dyDescent="0.25">
      <c r="A46" t="s">
        <v>9</v>
      </c>
      <c r="B46">
        <v>5</v>
      </c>
      <c r="C46">
        <f>_xlfn.RANK.EQ(D46,D42:D51,0)+COUNTIF(D42:D46,D46)-1</f>
        <v>9</v>
      </c>
      <c r="D46">
        <v>38</v>
      </c>
      <c r="E46" s="2">
        <v>3800000</v>
      </c>
    </row>
    <row r="47" spans="1:5" x14ac:dyDescent="0.25">
      <c r="A47" t="s">
        <v>10</v>
      </c>
      <c r="B47">
        <v>5</v>
      </c>
      <c r="C47">
        <f>_xlfn.RANK.EQ(D47,D42:D51,0)+COUNTIF(D42:D47,D47)-1</f>
        <v>3</v>
      </c>
      <c r="D47">
        <v>72</v>
      </c>
      <c r="E47" s="2">
        <v>7200000</v>
      </c>
    </row>
    <row r="48" spans="1:5" x14ac:dyDescent="0.25">
      <c r="A48" t="s">
        <v>11</v>
      </c>
      <c r="B48">
        <v>5</v>
      </c>
      <c r="C48">
        <f>_xlfn.RANK.EQ(D48,D42:D51,0)+COUNTIF(D42:D48,D48)-1</f>
        <v>8</v>
      </c>
      <c r="D48">
        <f>SUMIFS(Tabla2[Puntos],Tabla2[Equipo],Premios!A48,Tabla2[Jornada],Premios!B48)</f>
        <v>50</v>
      </c>
      <c r="E48" s="2">
        <v>5000000</v>
      </c>
    </row>
    <row r="49" spans="1:5" x14ac:dyDescent="0.25">
      <c r="A49" t="s">
        <v>12</v>
      </c>
      <c r="B49">
        <v>5</v>
      </c>
      <c r="C49">
        <f>_xlfn.RANK.EQ(D49,D42:D51,0)+COUNTIF(D42:D49,D49)-1</f>
        <v>2</v>
      </c>
      <c r="D49">
        <f>SUMIFS(Tabla2[Puntos],Tabla2[Equipo],Premios!A49,Tabla2[Jornada],Premios!B49)</f>
        <v>75</v>
      </c>
      <c r="E49" s="2">
        <v>7500000</v>
      </c>
    </row>
    <row r="50" spans="1:5" x14ac:dyDescent="0.25">
      <c r="A50" t="s">
        <v>13</v>
      </c>
      <c r="B50">
        <v>5</v>
      </c>
      <c r="C50">
        <f>_xlfn.RANK.EQ(D50,D42:D51,0)+COUNTIF(D42:D50,D50)-1</f>
        <v>1</v>
      </c>
      <c r="D50">
        <f>SUMIFS(Tabla2[Puntos],Tabla2[Equipo],Premios!A50,Tabla2[Jornada],Premios!B50)</f>
        <v>77</v>
      </c>
      <c r="E50" s="2">
        <v>7700000</v>
      </c>
    </row>
    <row r="51" spans="1:5" x14ac:dyDescent="0.25">
      <c r="A51" t="s">
        <v>14</v>
      </c>
      <c r="B51">
        <v>5</v>
      </c>
      <c r="C51">
        <f>_xlfn.RANK.EQ(D51,D42:D51,0)+COUNTIF(D42:D51,D51)-1</f>
        <v>4</v>
      </c>
      <c r="D51">
        <f>SUMIFS(Tabla2[Puntos],Tabla2[Equipo],Premios!A51,Tabla2[Jornada],Premios!B51)</f>
        <v>61</v>
      </c>
      <c r="E51" s="2">
        <v>6100000</v>
      </c>
    </row>
    <row r="52" spans="1:5" x14ac:dyDescent="0.25">
      <c r="A52" t="s">
        <v>6</v>
      </c>
      <c r="B52">
        <v>6</v>
      </c>
      <c r="C52">
        <f>_xlfn.RANK.EQ(D52,D52:D61,0)+COUNTIF(D52:D52,D52)-1</f>
        <v>7</v>
      </c>
      <c r="D52">
        <f>SUMIFS(Tabla2[Puntos],Tabla2[Equipo],Premios!A52,Tabla2[Jornada],Premios!B52)</f>
        <v>43</v>
      </c>
      <c r="E52" s="2">
        <v>4300000</v>
      </c>
    </row>
    <row r="53" spans="1:5" x14ac:dyDescent="0.25">
      <c r="A53" t="s">
        <v>7</v>
      </c>
      <c r="B53">
        <v>6</v>
      </c>
      <c r="C53">
        <f>_xlfn.RANK.EQ(D53,D52:D61,0)+COUNTIF(D52:D53,D53)-1</f>
        <v>10</v>
      </c>
      <c r="D53">
        <f>SUMIFS(Tabla2[Puntos],Tabla2[Equipo],Premios!A53,Tabla2[Jornada],Premios!B53)</f>
        <v>0</v>
      </c>
      <c r="E53" s="2">
        <v>0</v>
      </c>
    </row>
    <row r="54" spans="1:5" x14ac:dyDescent="0.25">
      <c r="A54" t="s">
        <v>8</v>
      </c>
      <c r="B54">
        <v>6</v>
      </c>
      <c r="C54">
        <f>_xlfn.RANK.EQ(D54,D52:D61,0)+COUNTIF(D52:D54,D54)-1</f>
        <v>9</v>
      </c>
      <c r="D54">
        <f>SUMIFS(Tabla2[Puntos],Tabla2[Equipo],Premios!A54,Tabla2[Jornada],Premios!B54)</f>
        <v>35</v>
      </c>
      <c r="E54" s="2">
        <v>3500000</v>
      </c>
    </row>
    <row r="55" spans="1:5" x14ac:dyDescent="0.25">
      <c r="A55" t="s">
        <v>768</v>
      </c>
      <c r="B55">
        <v>6</v>
      </c>
      <c r="C55">
        <f>_xlfn.RANK.EQ(D55,D52:D61,0)+COUNTIF(D52:D55,D55)-1</f>
        <v>3</v>
      </c>
      <c r="D55">
        <f>SUMIFS(Tabla2[Puntos],Tabla2[Equipo],Premios!A55,Tabla2[Jornada],Premios!B55)</f>
        <v>52</v>
      </c>
      <c r="E55" s="2">
        <v>5200000</v>
      </c>
    </row>
    <row r="56" spans="1:5" x14ac:dyDescent="0.25">
      <c r="A56" t="s">
        <v>9</v>
      </c>
      <c r="B56">
        <v>6</v>
      </c>
      <c r="C56">
        <f>_xlfn.RANK.EQ(D56,D52:D61,0)+COUNTIF(D52:D56,D56)-1</f>
        <v>5</v>
      </c>
      <c r="D56">
        <f>SUMIFS(Tabla2[Puntos],Tabla2[Equipo],Premios!A56,Tabla2[Jornada],Premios!B56)</f>
        <v>49</v>
      </c>
      <c r="E56" s="2">
        <v>4900000</v>
      </c>
    </row>
    <row r="57" spans="1:5" x14ac:dyDescent="0.25">
      <c r="A57" t="s">
        <v>10</v>
      </c>
      <c r="B57">
        <v>6</v>
      </c>
      <c r="C57">
        <f>_xlfn.RANK.EQ(D57,D52:D61,0)+COUNTIF(D52:D57,D57)-1</f>
        <v>4</v>
      </c>
      <c r="D57">
        <f>SUMIFS(Tabla2[Puntos],Tabla2[Equipo],Premios!A57,Tabla2[Jornada],Premios!B57)</f>
        <v>51</v>
      </c>
      <c r="E57" s="2">
        <v>5100000</v>
      </c>
    </row>
    <row r="58" spans="1:5" x14ac:dyDescent="0.25">
      <c r="A58" t="s">
        <v>11</v>
      </c>
      <c r="B58">
        <v>6</v>
      </c>
      <c r="C58">
        <f>_xlfn.RANK.EQ(D58,D52:D61,0)+COUNTIF(D52:D58,D58)-1</f>
        <v>2</v>
      </c>
      <c r="D58">
        <f>SUMIFS(Tabla2[Puntos],Tabla2[Equipo],Premios!A58,Tabla2[Jornada],Premios!B58)</f>
        <v>53</v>
      </c>
      <c r="E58" s="2">
        <v>5300000</v>
      </c>
    </row>
    <row r="59" spans="1:5" x14ac:dyDescent="0.25">
      <c r="A59" t="s">
        <v>12</v>
      </c>
      <c r="B59">
        <v>6</v>
      </c>
      <c r="C59">
        <f>_xlfn.RANK.EQ(D59,D52:D61,0)+COUNTIF(D52:D59,D59)-1</f>
        <v>8</v>
      </c>
      <c r="D59">
        <f>SUMIFS(Tabla2[Puntos],Tabla2[Equipo],Premios!A59,Tabla2[Jornada],Premios!B59)</f>
        <v>37</v>
      </c>
      <c r="E59" s="2">
        <v>3700000</v>
      </c>
    </row>
    <row r="60" spans="1:5" x14ac:dyDescent="0.25">
      <c r="A60" t="s">
        <v>13</v>
      </c>
      <c r="B60">
        <v>6</v>
      </c>
      <c r="C60">
        <f>_xlfn.RANK.EQ(D60,D52:D61,0)+COUNTIF(D52:D60,D60)-1</f>
        <v>1</v>
      </c>
      <c r="D60">
        <f>SUMIFS(Tabla2[Puntos],Tabla2[Equipo],Premios!A60,Tabla2[Jornada],Premios!B60)</f>
        <v>73</v>
      </c>
      <c r="E60" s="2">
        <v>7300000</v>
      </c>
    </row>
    <row r="61" spans="1:5" x14ac:dyDescent="0.25">
      <c r="A61" t="s">
        <v>14</v>
      </c>
      <c r="B61">
        <v>6</v>
      </c>
      <c r="C61">
        <f>_xlfn.RANK.EQ(D61,D52:D61,0)+COUNTIF(D52:D61,D61)-1</f>
        <v>6</v>
      </c>
      <c r="D61">
        <f>SUMIFS(Tabla2[Puntos],Tabla2[Equipo],Premios!A61,Tabla2[Jornada],Premios!B61)</f>
        <v>45</v>
      </c>
      <c r="E61" s="2">
        <v>4500000</v>
      </c>
    </row>
    <row r="62" spans="1:5" x14ac:dyDescent="0.25">
      <c r="A62" t="s">
        <v>6</v>
      </c>
      <c r="B62">
        <v>7</v>
      </c>
      <c r="C62">
        <f>_xlfn.RANK.EQ(D62,D62:D71,0)+COUNTIF(D62:D62,D62)-1</f>
        <v>2</v>
      </c>
      <c r="D62">
        <f>SUMIFS(Tabla2[Puntos],Tabla2[Equipo],Premios!A62,Tabla2[Jornada],Premios!B62)</f>
        <v>67</v>
      </c>
      <c r="E62" s="2">
        <v>6700000</v>
      </c>
    </row>
    <row r="63" spans="1:5" x14ac:dyDescent="0.25">
      <c r="A63" t="s">
        <v>7</v>
      </c>
      <c r="B63">
        <v>7</v>
      </c>
      <c r="C63">
        <f>_xlfn.RANK.EQ(D63,D62:D71,0)+COUNTIF(D62:D63,D63)-1</f>
        <v>10</v>
      </c>
      <c r="D63">
        <f>SUMIFS(Tabla2[Puntos],Tabla2[Equipo],Premios!A63,Tabla2[Jornada],Premios!B63)</f>
        <v>34</v>
      </c>
      <c r="E63" s="2">
        <v>3400000</v>
      </c>
    </row>
    <row r="64" spans="1:5" x14ac:dyDescent="0.25">
      <c r="A64" t="s">
        <v>8</v>
      </c>
      <c r="B64">
        <v>7</v>
      </c>
      <c r="C64">
        <f>_xlfn.RANK.EQ(D64,D62:D71,0)+COUNTIF(D62:D64,D64)-1</f>
        <v>4</v>
      </c>
      <c r="D64">
        <f>SUMIFS(Tabla2[Puntos],Tabla2[Equipo],Premios!A64,Tabla2[Jornada],Premios!B64)</f>
        <v>62</v>
      </c>
      <c r="E64" s="2">
        <v>6200000</v>
      </c>
    </row>
    <row r="65" spans="1:5" x14ac:dyDescent="0.25">
      <c r="A65" t="s">
        <v>768</v>
      </c>
      <c r="B65">
        <v>7</v>
      </c>
      <c r="C65">
        <f>_xlfn.RANK.EQ(D65,D62:D71,0)+COUNTIF(D62:D65,D65)-1</f>
        <v>5</v>
      </c>
      <c r="D65">
        <f>SUMIFS(Tabla2[Puntos],Tabla2[Equipo],Premios!A65,Tabla2[Jornada],Premios!B65)</f>
        <v>56</v>
      </c>
      <c r="E65" s="2">
        <v>5600000</v>
      </c>
    </row>
    <row r="66" spans="1:5" x14ac:dyDescent="0.25">
      <c r="A66" t="s">
        <v>9</v>
      </c>
      <c r="B66">
        <v>7</v>
      </c>
      <c r="C66">
        <f>_xlfn.RANK.EQ(D66,D62:D71,0)+COUNTIF(D62:D66,D66)-1</f>
        <v>9</v>
      </c>
      <c r="D66">
        <f>SUMIFS(Tabla2[Puntos],Tabla2[Equipo],Premios!A66,Tabla2[Jornada],Premios!B66)</f>
        <v>37</v>
      </c>
      <c r="E66" s="2">
        <v>3700000</v>
      </c>
    </row>
    <row r="67" spans="1:5" x14ac:dyDescent="0.25">
      <c r="A67" t="s">
        <v>10</v>
      </c>
      <c r="B67">
        <v>7</v>
      </c>
      <c r="C67">
        <f>_xlfn.RANK.EQ(D67,D62:D71,0)+COUNTIF(D62:D67,D67)-1</f>
        <v>6</v>
      </c>
      <c r="D67">
        <f>SUMIFS(Tabla2[Puntos],Tabla2[Equipo],Premios!A67,Tabla2[Jornada],Premios!B67)</f>
        <v>52</v>
      </c>
      <c r="E67" s="2">
        <v>5200000</v>
      </c>
    </row>
    <row r="68" spans="1:5" x14ac:dyDescent="0.25">
      <c r="A68" t="s">
        <v>11</v>
      </c>
      <c r="B68">
        <v>7</v>
      </c>
      <c r="C68">
        <f>_xlfn.RANK.EQ(D68,D62:D71,0)+COUNTIF(D62:D68,D68)-1</f>
        <v>1</v>
      </c>
      <c r="D68">
        <f>SUMIFS(Tabla2[Puntos],Tabla2[Equipo],Premios!A68,Tabla2[Jornada],Premios!B68)</f>
        <v>71</v>
      </c>
      <c r="E68" s="2">
        <v>7100000</v>
      </c>
    </row>
    <row r="69" spans="1:5" x14ac:dyDescent="0.25">
      <c r="A69" t="s">
        <v>12</v>
      </c>
      <c r="B69">
        <v>7</v>
      </c>
      <c r="C69">
        <f>_xlfn.RANK.EQ(D69,D62:D71,0)+COUNTIF(D62:D69,D69)-1</f>
        <v>3</v>
      </c>
      <c r="D69">
        <f>SUMIFS(Tabla2[Puntos],Tabla2[Equipo],Premios!A69,Tabla2[Jornada],Premios!B69)</f>
        <v>66</v>
      </c>
      <c r="E69" s="2">
        <v>6600000</v>
      </c>
    </row>
    <row r="70" spans="1:5" x14ac:dyDescent="0.25">
      <c r="A70" t="s">
        <v>13</v>
      </c>
      <c r="B70">
        <v>7</v>
      </c>
      <c r="C70">
        <f>_xlfn.RANK.EQ(D70,D62:D71,0)+COUNTIF(D62:D70,D70)-1</f>
        <v>7</v>
      </c>
      <c r="D70">
        <f>SUMIFS(Tabla2[Puntos],Tabla2[Equipo],Premios!A70,Tabla2[Jornada],Premios!B70)</f>
        <v>46</v>
      </c>
      <c r="E70" s="2">
        <v>4600000</v>
      </c>
    </row>
    <row r="71" spans="1:5" x14ac:dyDescent="0.25">
      <c r="A71" t="s">
        <v>14</v>
      </c>
      <c r="B71">
        <v>7</v>
      </c>
      <c r="C71">
        <f>_xlfn.RANK.EQ(D71,D62:D71,0)+COUNTIF(D62:D71,D71)-1</f>
        <v>8</v>
      </c>
      <c r="D71">
        <f>SUMIFS(Tabla2[Puntos],Tabla2[Equipo],Premios!A71,Tabla2[Jornada],Premios!B71)</f>
        <v>41</v>
      </c>
      <c r="E71" s="2">
        <v>4100000</v>
      </c>
    </row>
    <row r="72" spans="1:5" x14ac:dyDescent="0.25">
      <c r="A72" t="s">
        <v>6</v>
      </c>
      <c r="B72">
        <v>8</v>
      </c>
      <c r="C72">
        <f>_xlfn.RANK.EQ(D72,D72:D81,0)+COUNTIF(D72:D72,D72)-1</f>
        <v>2</v>
      </c>
      <c r="D72">
        <f>SUMIFS(Tabla2[Puntos],Tabla2[Equipo],Premios!A72,Tabla2[Jornada],Premios!B72)</f>
        <v>64</v>
      </c>
      <c r="E72" s="2">
        <v>6400000</v>
      </c>
    </row>
    <row r="73" spans="1:5" x14ac:dyDescent="0.25">
      <c r="A73" t="s">
        <v>7</v>
      </c>
      <c r="B73">
        <v>8</v>
      </c>
      <c r="C73">
        <f>_xlfn.RANK.EQ(D73,D72:D81,0)+COUNTIF(D72:D73,D73)-1</f>
        <v>4</v>
      </c>
      <c r="D73">
        <f>SUMIFS(Tabla2[Puntos],Tabla2[Equipo],Premios!A73,Tabla2[Jornada],Premios!B73)</f>
        <v>57</v>
      </c>
      <c r="E73" s="2">
        <v>5700000</v>
      </c>
    </row>
    <row r="74" spans="1:5" x14ac:dyDescent="0.25">
      <c r="A74" t="s">
        <v>8</v>
      </c>
      <c r="B74">
        <v>8</v>
      </c>
      <c r="C74">
        <f>_xlfn.RANK.EQ(D74,D72:D81,0)+COUNTIF(D72:D74,D74)-1</f>
        <v>7</v>
      </c>
      <c r="D74">
        <f>SUMIFS(Tabla2[Puntos],Tabla2[Equipo],Premios!A74,Tabla2[Jornada],Premios!B74)</f>
        <v>46</v>
      </c>
      <c r="E74" s="2">
        <v>4600000</v>
      </c>
    </row>
    <row r="75" spans="1:5" x14ac:dyDescent="0.25">
      <c r="A75" t="s">
        <v>768</v>
      </c>
      <c r="B75">
        <v>8</v>
      </c>
      <c r="C75">
        <f>_xlfn.RANK.EQ(D75,D72:D81,0)+COUNTIF(D72:D75,D75)-1</f>
        <v>8</v>
      </c>
      <c r="D75">
        <f>SUMIFS(Tabla2[Puntos],Tabla2[Equipo],Premios!A75,Tabla2[Jornada],Premios!B75)</f>
        <v>45</v>
      </c>
      <c r="E75" s="2">
        <v>4500000</v>
      </c>
    </row>
    <row r="76" spans="1:5" x14ac:dyDescent="0.25">
      <c r="A76" t="s">
        <v>9</v>
      </c>
      <c r="B76">
        <v>8</v>
      </c>
      <c r="C76">
        <f>_xlfn.RANK.EQ(D76,D72:D81,0)+COUNTIF(D72:D76,D76)-1</f>
        <v>5</v>
      </c>
      <c r="D76">
        <f>SUMIFS(Tabla2[Puntos],Tabla2[Equipo],Premios!A76,Tabla2[Jornada],Premios!B76)</f>
        <v>51</v>
      </c>
      <c r="E76" s="2">
        <v>5100000</v>
      </c>
    </row>
    <row r="77" spans="1:5" x14ac:dyDescent="0.25">
      <c r="A77" t="s">
        <v>10</v>
      </c>
      <c r="B77">
        <v>8</v>
      </c>
      <c r="C77">
        <f>_xlfn.RANK.EQ(D77,D72:D81,0)+COUNTIF(D72:D77,D77)-1</f>
        <v>1</v>
      </c>
      <c r="D77">
        <f>SUMIFS(Tabla2[Puntos],Tabla2[Equipo],Premios!A77,Tabla2[Jornada],Premios!B77)</f>
        <v>77</v>
      </c>
      <c r="E77" s="2">
        <v>7700000</v>
      </c>
    </row>
    <row r="78" spans="1:5" x14ac:dyDescent="0.25">
      <c r="A78" t="s">
        <v>11</v>
      </c>
      <c r="B78">
        <v>8</v>
      </c>
      <c r="C78">
        <f>_xlfn.RANK.EQ(D78,D72:D81,0)+COUNTIF(D72:D78,D78)-1</f>
        <v>6</v>
      </c>
      <c r="D78">
        <f>SUMIFS(Tabla2[Puntos],Tabla2[Equipo],Premios!A78,Tabla2[Jornada],Premios!B78)</f>
        <v>48</v>
      </c>
      <c r="E78" s="2">
        <v>4800000</v>
      </c>
    </row>
    <row r="79" spans="1:5" x14ac:dyDescent="0.25">
      <c r="A79" t="s">
        <v>12</v>
      </c>
      <c r="B79">
        <v>8</v>
      </c>
      <c r="C79">
        <f>_xlfn.RANK.EQ(D79,D72:D81,0)+COUNTIF(D72:D79,D79)-1</f>
        <v>10</v>
      </c>
      <c r="D79">
        <f>SUMIFS(Tabla2[Puntos],Tabla2[Equipo],Premios!A79,Tabla2[Jornada],Premios!B79)</f>
        <v>34</v>
      </c>
      <c r="E79" s="2">
        <v>3400000</v>
      </c>
    </row>
    <row r="80" spans="1:5" x14ac:dyDescent="0.25">
      <c r="A80" t="s">
        <v>13</v>
      </c>
      <c r="B80">
        <v>8</v>
      </c>
      <c r="C80">
        <f>_xlfn.RANK.EQ(D80,D72:D81,0)+COUNTIF(D72:D80,D80)-1</f>
        <v>3</v>
      </c>
      <c r="D80">
        <f>SUMIFS(Tabla2[Puntos],Tabla2[Equipo],Premios!A80,Tabla2[Jornada],Premios!B80)</f>
        <v>60</v>
      </c>
      <c r="E80" s="2">
        <v>6000000</v>
      </c>
    </row>
    <row r="81" spans="1:5" x14ac:dyDescent="0.25">
      <c r="A81" t="s">
        <v>14</v>
      </c>
      <c r="B81">
        <v>8</v>
      </c>
      <c r="C81">
        <f>_xlfn.RANK.EQ(D81,D72:D81,0)+COUNTIF(D72:D81,D81)-1</f>
        <v>9</v>
      </c>
      <c r="D81">
        <f>SUMIFS(Tabla2[Puntos],Tabla2[Equipo],Premios!A81,Tabla2[Jornada],Premios!B81)</f>
        <v>36</v>
      </c>
      <c r="E81" s="2">
        <v>3600000</v>
      </c>
    </row>
    <row r="82" spans="1:5" x14ac:dyDescent="0.25">
      <c r="A82" t="s">
        <v>6</v>
      </c>
      <c r="B82">
        <v>9</v>
      </c>
      <c r="C82">
        <f>_xlfn.RANK.EQ(D82,D82:D91,0)+COUNTIF(D82:D82,D82)-1</f>
        <v>8</v>
      </c>
      <c r="D82">
        <f>SUMIFS(Tabla2[Puntos],Tabla2[Equipo],Premios!A82,Tabla2[Jornada],Premios!B82)</f>
        <v>53</v>
      </c>
      <c r="E82" s="2">
        <f>SUMIFS(Tabla2[Premio],Tabla2[Equipo],Premios!A82,Tabla2[Jornada],Premios!B82)</f>
        <v>5300000</v>
      </c>
    </row>
    <row r="83" spans="1:5" x14ac:dyDescent="0.25">
      <c r="A83" t="s">
        <v>7</v>
      </c>
      <c r="B83">
        <v>9</v>
      </c>
      <c r="C83">
        <f>_xlfn.RANK.EQ(D83,D82:D91,0)+COUNTIF(D82:D83,D83)-1</f>
        <v>3</v>
      </c>
      <c r="D83">
        <f>SUMIFS(Tabla2[Puntos],Tabla2[Equipo],Premios!A83,Tabla2[Jornada],Premios!B83)</f>
        <v>74</v>
      </c>
      <c r="E83" s="2">
        <f>SUMIFS(Tabla2[Premio],Tabla2[Equipo],Premios!A83,Tabla2[Jornada],Premios!B83)</f>
        <v>7400000</v>
      </c>
    </row>
    <row r="84" spans="1:5" x14ac:dyDescent="0.25">
      <c r="A84" t="s">
        <v>8</v>
      </c>
      <c r="B84">
        <v>9</v>
      </c>
      <c r="C84">
        <f>_xlfn.RANK.EQ(D84,D82:D91,0)+COUNTIF(D82:D84,D84)-1</f>
        <v>10</v>
      </c>
      <c r="D84">
        <f>SUMIFS(Tabla2[Puntos],Tabla2[Equipo],Premios!A84,Tabla2[Jornada],Premios!B84)</f>
        <v>42</v>
      </c>
      <c r="E84" s="2">
        <f>SUMIFS(Tabla2[Premio],Tabla2[Equipo],Premios!A84,Tabla2[Jornada],Premios!B84)</f>
        <v>4200000</v>
      </c>
    </row>
    <row r="85" spans="1:5" x14ac:dyDescent="0.25">
      <c r="A85" t="s">
        <v>768</v>
      </c>
      <c r="B85">
        <v>9</v>
      </c>
      <c r="C85">
        <f>_xlfn.RANK.EQ(D85,D82:D91,0)+COUNTIF(D82:D85,D85)-1</f>
        <v>6</v>
      </c>
      <c r="D85">
        <f>SUMIFS(Tabla2[Puntos],Tabla2[Equipo],Premios!A85,Tabla2[Jornada],Premios!B85)</f>
        <v>59</v>
      </c>
      <c r="E85" s="2">
        <f>SUMIFS(Tabla2[Premio],Tabla2[Equipo],Premios!A85,Tabla2[Jornada],Premios!B85)</f>
        <v>5900000</v>
      </c>
    </row>
    <row r="86" spans="1:5" x14ac:dyDescent="0.25">
      <c r="A86" t="s">
        <v>9</v>
      </c>
      <c r="B86">
        <v>9</v>
      </c>
      <c r="C86">
        <f>_xlfn.RANK.EQ(D86,D82:D91,0)+COUNTIF(D82:D86,D86)-1</f>
        <v>2</v>
      </c>
      <c r="D86">
        <f>SUMIFS(Tabla2[Puntos],Tabla2[Equipo],Premios!A86,Tabla2[Jornada],Premios!B86)</f>
        <v>77</v>
      </c>
      <c r="E86" s="2">
        <f>SUMIFS(Tabla2[Premio],Tabla2[Equipo],Premios!A86,Tabla2[Jornada],Premios!B86)</f>
        <v>7700000</v>
      </c>
    </row>
    <row r="87" spans="1:5" x14ac:dyDescent="0.25">
      <c r="A87" t="s">
        <v>10</v>
      </c>
      <c r="B87">
        <v>9</v>
      </c>
      <c r="C87">
        <f>_xlfn.RANK.EQ(D87,D82:D91,0)+COUNTIF(D82:D87,D87)-1</f>
        <v>4</v>
      </c>
      <c r="D87">
        <f>SUMIFS(Tabla2[Puntos],Tabla2[Equipo],Premios!A87,Tabla2[Jornada],Premios!B87)</f>
        <v>67</v>
      </c>
      <c r="E87" s="2">
        <f>SUMIFS(Tabla2[Premio],Tabla2[Equipo],Premios!A87,Tabla2[Jornada],Premios!B87)</f>
        <v>6700000</v>
      </c>
    </row>
    <row r="88" spans="1:5" x14ac:dyDescent="0.25">
      <c r="A88" t="s">
        <v>11</v>
      </c>
      <c r="B88">
        <v>9</v>
      </c>
      <c r="C88">
        <f>_xlfn.RANK.EQ(D88,D82:D91,0)+COUNTIF(D82:D88,D88)-1</f>
        <v>5</v>
      </c>
      <c r="D88">
        <f>SUMIFS(Tabla2[Puntos],Tabla2[Equipo],Premios!A88,Tabla2[Jornada],Premios!B88)</f>
        <v>62</v>
      </c>
      <c r="E88" s="2">
        <f>SUMIFS(Tabla2[Premio],Tabla2[Equipo],Premios!A88,Tabla2[Jornada],Premios!B88)</f>
        <v>6200000</v>
      </c>
    </row>
    <row r="89" spans="1:5" x14ac:dyDescent="0.25">
      <c r="A89" t="s">
        <v>12</v>
      </c>
      <c r="B89">
        <v>9</v>
      </c>
      <c r="C89">
        <f>_xlfn.RANK.EQ(D89,D82:D91,0)+COUNTIF(D82:D89,D89)-1</f>
        <v>7</v>
      </c>
      <c r="D89">
        <f>SUMIFS(Tabla2[Puntos],Tabla2[Equipo],Premios!A89,Tabla2[Jornada],Premios!B89)</f>
        <v>55</v>
      </c>
      <c r="E89" s="2">
        <f>SUMIFS(Tabla2[Premio],Tabla2[Equipo],Premios!A89,Tabla2[Jornada],Premios!B89)</f>
        <v>5500000</v>
      </c>
    </row>
    <row r="90" spans="1:5" x14ac:dyDescent="0.25">
      <c r="A90" t="s">
        <v>13</v>
      </c>
      <c r="B90">
        <v>9</v>
      </c>
      <c r="C90">
        <f>_xlfn.RANK.EQ(D90,D82:D91,0)+COUNTIF(D82:D90,D90)-1</f>
        <v>1</v>
      </c>
      <c r="D90">
        <f>SUMIFS(Tabla2[Puntos],Tabla2[Equipo],Premios!A90,Tabla2[Jornada],Premios!B90)</f>
        <v>86</v>
      </c>
      <c r="E90" s="2">
        <f>SUMIFS(Tabla2[Premio],Tabla2[Equipo],Premios!A90,Tabla2[Jornada],Premios!B90)</f>
        <v>8600000</v>
      </c>
    </row>
    <row r="91" spans="1:5" x14ac:dyDescent="0.25">
      <c r="A91" t="s">
        <v>14</v>
      </c>
      <c r="B91">
        <v>9</v>
      </c>
      <c r="C91">
        <f>_xlfn.RANK.EQ(D91,D82:D91,0)+COUNTIF(D82:D91,D91)-1</f>
        <v>9</v>
      </c>
      <c r="D91">
        <f>SUMIFS(Tabla2[Puntos],Tabla2[Equipo],Premios!A91,Tabla2[Jornada],Premios!B91)</f>
        <v>43</v>
      </c>
      <c r="E91" s="2">
        <f>SUMIFS(Tabla2[Premio],Tabla2[Equipo],Premios!A91,Tabla2[Jornada],Premios!B91)</f>
        <v>4300000</v>
      </c>
    </row>
    <row r="92" spans="1:5" x14ac:dyDescent="0.25">
      <c r="A92" t="s">
        <v>6</v>
      </c>
      <c r="B92">
        <v>10</v>
      </c>
      <c r="C92">
        <f>_xlfn.RANK.EQ(D92,D92:D101,0)+COUNTIF(D92:D92,D92)-1</f>
        <v>4</v>
      </c>
      <c r="D92">
        <f>SUMIFS(Tabla2[Puntos],Tabla2[Equipo],Premios!A92,Tabla2[Jornada],Premios!B92)</f>
        <v>61</v>
      </c>
      <c r="E92" s="2">
        <f>SUMIFS(Tabla2[Premio],Tabla2[Equipo],Premios!A92,Tabla2[Jornada],Premios!B92)</f>
        <v>6100000</v>
      </c>
    </row>
    <row r="93" spans="1:5" x14ac:dyDescent="0.25">
      <c r="A93" t="s">
        <v>7</v>
      </c>
      <c r="B93">
        <v>10</v>
      </c>
      <c r="C93">
        <f>_xlfn.RANK.EQ(D93,D92:D101,0)+COUNTIF(D92:D93,D93)-1</f>
        <v>3</v>
      </c>
      <c r="D93">
        <f>SUMIFS(Tabla2[Puntos],Tabla2[Equipo],Premios!A93,Tabla2[Jornada],Premios!B93)</f>
        <v>62</v>
      </c>
      <c r="E93" s="2">
        <f>SUMIFS(Tabla2[Premio],Tabla2[Equipo],Premios!A93,Tabla2[Jornada],Premios!B93)</f>
        <v>6200000</v>
      </c>
    </row>
    <row r="94" spans="1:5" x14ac:dyDescent="0.25">
      <c r="A94" t="s">
        <v>8</v>
      </c>
      <c r="B94">
        <v>10</v>
      </c>
      <c r="C94">
        <f>_xlfn.RANK.EQ(D94,D92:D101,0)+COUNTIF(D92:D94,D94)-1</f>
        <v>9</v>
      </c>
      <c r="D94">
        <f>SUMIFS(Tabla2[Puntos],Tabla2[Equipo],Premios!A94,Tabla2[Jornada],Premios!B94)</f>
        <v>38</v>
      </c>
      <c r="E94" s="2">
        <f>SUMIFS(Tabla2[Premio],Tabla2[Equipo],Premios!A94,Tabla2[Jornada],Premios!B94)</f>
        <v>3800000</v>
      </c>
    </row>
    <row r="95" spans="1:5" x14ac:dyDescent="0.25">
      <c r="A95" t="s">
        <v>768</v>
      </c>
      <c r="B95">
        <v>10</v>
      </c>
      <c r="C95">
        <f>_xlfn.RANK.EQ(D95,D92:D101,0)+COUNTIF(D92:D95,D95)-1</f>
        <v>6</v>
      </c>
      <c r="D95">
        <f>SUMIFS(Tabla2[Puntos],Tabla2[Equipo],Premios!A95,Tabla2[Jornada],Premios!B95)</f>
        <v>58</v>
      </c>
      <c r="E95" s="2">
        <f>SUMIFS(Tabla2[Premio],Tabla2[Equipo],Premios!A95,Tabla2[Jornada],Premios!B95)</f>
        <v>5800000</v>
      </c>
    </row>
    <row r="96" spans="1:5" x14ac:dyDescent="0.25">
      <c r="A96" t="s">
        <v>9</v>
      </c>
      <c r="B96">
        <v>10</v>
      </c>
      <c r="C96">
        <f>_xlfn.RANK.EQ(D96,D92:D101,0)+COUNTIF(D92:D96,D96)-1</f>
        <v>2</v>
      </c>
      <c r="D96">
        <f>SUMIFS(Tabla2[Puntos],Tabla2[Equipo],Premios!A96,Tabla2[Jornada],Premios!B96)</f>
        <v>64</v>
      </c>
      <c r="E96" s="2">
        <f>SUMIFS(Tabla2[Premio],Tabla2[Equipo],Premios!A96,Tabla2[Jornada],Premios!B96)</f>
        <v>6400000</v>
      </c>
    </row>
    <row r="97" spans="1:5" x14ac:dyDescent="0.25">
      <c r="A97" t="s">
        <v>10</v>
      </c>
      <c r="B97">
        <v>10</v>
      </c>
      <c r="C97">
        <f>_xlfn.RANK.EQ(D97,D92:D101,0)+COUNTIF(D92:D97,D97)-1</f>
        <v>7</v>
      </c>
      <c r="D97">
        <f>SUMIFS(Tabla2[Puntos],Tabla2[Equipo],Premios!A97,Tabla2[Jornada],Premios!B97)</f>
        <v>52</v>
      </c>
      <c r="E97" s="2">
        <f>SUMIFS(Tabla2[Premio],Tabla2[Equipo],Premios!A97,Tabla2[Jornada],Premios!B97)</f>
        <v>5200000</v>
      </c>
    </row>
    <row r="98" spans="1:5" x14ac:dyDescent="0.25">
      <c r="A98" t="s">
        <v>11</v>
      </c>
      <c r="B98">
        <v>10</v>
      </c>
      <c r="C98">
        <f>_xlfn.RANK.EQ(D98,D92:D101,0)+COUNTIF(D92:D98,D98)-1</f>
        <v>1</v>
      </c>
      <c r="D98">
        <f>SUMIFS(Tabla2[Puntos],Tabla2[Equipo],Premios!A98,Tabla2[Jornada],Premios!B98)</f>
        <v>71</v>
      </c>
      <c r="E98" s="2">
        <f>SUMIFS(Tabla2[Premio],Tabla2[Equipo],Premios!A98,Tabla2[Jornada],Premios!B98)</f>
        <v>7100000</v>
      </c>
    </row>
    <row r="99" spans="1:5" x14ac:dyDescent="0.25">
      <c r="A99" t="s">
        <v>12</v>
      </c>
      <c r="B99">
        <v>10</v>
      </c>
      <c r="C99">
        <f>_xlfn.RANK.EQ(D99,D92:D101,0)+COUNTIF(D92:D99,D99)-1</f>
        <v>8</v>
      </c>
      <c r="D99">
        <f>SUMIFS(Tabla2[Puntos],Tabla2[Equipo],Premios!A99,Tabla2[Jornada],Premios!B99)</f>
        <v>50</v>
      </c>
      <c r="E99" s="2">
        <f>SUMIFS(Tabla2[Premio],Tabla2[Equipo],Premios!A99,Tabla2[Jornada],Premios!B99)</f>
        <v>5000000</v>
      </c>
    </row>
    <row r="100" spans="1:5" x14ac:dyDescent="0.25">
      <c r="A100" t="s">
        <v>13</v>
      </c>
      <c r="B100">
        <v>10</v>
      </c>
      <c r="C100">
        <f>_xlfn.RANK.EQ(D100,D92:D101,0)+COUNTIF(D92:D100,D100)-1</f>
        <v>10</v>
      </c>
      <c r="D100">
        <f>SUMIFS(Tabla2[Puntos],Tabla2[Equipo],Premios!A100,Tabla2[Jornada],Premios!B100)</f>
        <v>36</v>
      </c>
      <c r="E100" s="2">
        <f>SUMIFS(Tabla2[Premio],Tabla2[Equipo],Premios!A100,Tabla2[Jornada],Premios!B100)</f>
        <v>3600000</v>
      </c>
    </row>
    <row r="101" spans="1:5" x14ac:dyDescent="0.25">
      <c r="A101" t="s">
        <v>14</v>
      </c>
      <c r="B101">
        <v>10</v>
      </c>
      <c r="C101">
        <f>_xlfn.RANK.EQ(D101,D92:D101,0)+COUNTIF(D92:D101,D101)-1</f>
        <v>5</v>
      </c>
      <c r="D101">
        <f>SUMIFS(Tabla2[Puntos],Tabla2[Equipo],Premios!A101,Tabla2[Jornada],Premios!B101)</f>
        <v>60</v>
      </c>
      <c r="E101" s="2">
        <f>SUMIFS(Tabla2[Premio],Tabla2[Equipo],Premios!A101,Tabla2[Jornada],Premios!B101)</f>
        <v>6000000</v>
      </c>
    </row>
    <row r="102" spans="1:5" x14ac:dyDescent="0.25">
      <c r="A102" t="s">
        <v>6</v>
      </c>
      <c r="B102">
        <v>11</v>
      </c>
      <c r="C102">
        <f>_xlfn.RANK.EQ(D102,D102:D111,0)+COUNTIF(D102:D102,D102)-1</f>
        <v>2</v>
      </c>
      <c r="D102">
        <f>SUMIFS(Tabla2[Puntos],Tabla2[Equipo],Premios!A102,Tabla2[Jornada],Premios!B102)</f>
        <v>73</v>
      </c>
      <c r="E102" s="2">
        <f>SUMIFS(Tabla2[Premio],Tabla2[Equipo],Premios!A102,Tabla2[Jornada],Premios!B102)</f>
        <v>7300000</v>
      </c>
    </row>
    <row r="103" spans="1:5" x14ac:dyDescent="0.25">
      <c r="A103" t="s">
        <v>7</v>
      </c>
      <c r="B103">
        <v>11</v>
      </c>
      <c r="C103">
        <f>_xlfn.RANK.EQ(D103,D102:D111,0)+COUNTIF(D102:D103,D103)-1</f>
        <v>8</v>
      </c>
      <c r="D103">
        <f>SUMIFS(Tabla2[Puntos],Tabla2[Equipo],Premios!A103,Tabla2[Jornada],Premios!B103)</f>
        <v>33</v>
      </c>
      <c r="E103" s="2">
        <f>SUMIFS(Tabla2[Premio],Tabla2[Equipo],Premios!A103,Tabla2[Jornada],Premios!B103)</f>
        <v>3300000</v>
      </c>
    </row>
    <row r="104" spans="1:5" x14ac:dyDescent="0.25">
      <c r="A104" t="s">
        <v>8</v>
      </c>
      <c r="B104">
        <v>11</v>
      </c>
      <c r="C104">
        <f>_xlfn.RANK.EQ(D104,D102:D111,0)+COUNTIF(D102:D104,D104)-1</f>
        <v>9</v>
      </c>
      <c r="D104">
        <f>SUMIFS(Tabla2[Puntos],Tabla2[Equipo],Premios!A104,Tabla2[Jornada],Premios!B104)</f>
        <v>33</v>
      </c>
      <c r="E104" s="2">
        <f>SUMIFS(Tabla2[Premio],Tabla2[Equipo],Premios!A104,Tabla2[Jornada],Premios!B104)</f>
        <v>3300000</v>
      </c>
    </row>
    <row r="105" spans="1:5" x14ac:dyDescent="0.25">
      <c r="A105" t="s">
        <v>768</v>
      </c>
      <c r="B105">
        <v>11</v>
      </c>
      <c r="C105">
        <f>_xlfn.RANK.EQ(D105,D102:D111,0)+COUNTIF(D102:D105,D105)-1</f>
        <v>5</v>
      </c>
      <c r="D105">
        <f>SUMIFS(Tabla2[Puntos],Tabla2[Equipo],Premios!A105,Tabla2[Jornada],Premios!B105)</f>
        <v>45</v>
      </c>
      <c r="E105" s="2">
        <f>SUMIFS(Tabla2[Premio],Tabla2[Equipo],Premios!A105,Tabla2[Jornada],Premios!B105)</f>
        <v>4500000</v>
      </c>
    </row>
    <row r="106" spans="1:5" x14ac:dyDescent="0.25">
      <c r="A106" t="s">
        <v>9</v>
      </c>
      <c r="B106">
        <v>11</v>
      </c>
      <c r="C106">
        <f>_xlfn.RANK.EQ(D106,D102:D111,0)+COUNTIF(D102:D106,D106)-1</f>
        <v>6</v>
      </c>
      <c r="D106">
        <f>SUMIFS(Tabla2[Puntos],Tabla2[Equipo],Premios!A106,Tabla2[Jornada],Premios!B106)</f>
        <v>42</v>
      </c>
      <c r="E106" s="2">
        <f>SUMIFS(Tabla2[Premio],Tabla2[Equipo],Premios!A106,Tabla2[Jornada],Premios!B106)</f>
        <v>4200000</v>
      </c>
    </row>
    <row r="107" spans="1:5" x14ac:dyDescent="0.25">
      <c r="A107" t="s">
        <v>10</v>
      </c>
      <c r="B107">
        <v>11</v>
      </c>
      <c r="C107">
        <f>_xlfn.RANK.EQ(D107,D102:D111,0)+COUNTIF(D102:D107,D107)-1</f>
        <v>4</v>
      </c>
      <c r="D107">
        <f>SUMIFS(Tabla2[Puntos],Tabla2[Equipo],Premios!A107,Tabla2[Jornada],Premios!B107)</f>
        <v>58</v>
      </c>
      <c r="E107" s="2">
        <f>SUMIFS(Tabla2[Premio],Tabla2[Equipo],Premios!A107,Tabla2[Jornada],Premios!B107)</f>
        <v>5800000</v>
      </c>
    </row>
    <row r="108" spans="1:5" x14ac:dyDescent="0.25">
      <c r="A108" t="s">
        <v>11</v>
      </c>
      <c r="B108">
        <v>11</v>
      </c>
      <c r="C108">
        <f>_xlfn.RANK.EQ(D108,D102:D111,0)+COUNTIF(D102:D108,D108)-1</f>
        <v>7</v>
      </c>
      <c r="D108">
        <f>SUMIFS(Tabla2[Puntos],Tabla2[Equipo],Premios!A108,Tabla2[Jornada],Premios!B108)</f>
        <v>40</v>
      </c>
      <c r="E108" s="2">
        <f>SUMIFS(Tabla2[Premio],Tabla2[Equipo],Premios!A108,Tabla2[Jornada],Premios!B108)</f>
        <v>4000000</v>
      </c>
    </row>
    <row r="109" spans="1:5" x14ac:dyDescent="0.25">
      <c r="A109" t="s">
        <v>12</v>
      </c>
      <c r="B109">
        <v>11</v>
      </c>
      <c r="C109">
        <f>_xlfn.RANK.EQ(D109,D102:D111,0)+COUNTIF(D102:D109,D109)-1</f>
        <v>3</v>
      </c>
      <c r="D109">
        <f>SUMIFS(Tabla2[Puntos],Tabla2[Equipo],Premios!A109,Tabla2[Jornada],Premios!B109)</f>
        <v>60</v>
      </c>
      <c r="E109" s="2">
        <f>SUMIFS(Tabla2[Premio],Tabla2[Equipo],Premios!A109,Tabla2[Jornada],Premios!B109)</f>
        <v>6000000</v>
      </c>
    </row>
    <row r="110" spans="1:5" x14ac:dyDescent="0.25">
      <c r="A110" t="s">
        <v>13</v>
      </c>
      <c r="B110">
        <v>11</v>
      </c>
      <c r="C110">
        <f>_xlfn.RANK.EQ(D110,D102:D111,0)+COUNTIF(D102:D110,D110)-1</f>
        <v>1</v>
      </c>
      <c r="D110">
        <f>SUMIFS(Tabla2[Puntos],Tabla2[Equipo],Premios!A110,Tabla2[Jornada],Premios!B110)</f>
        <v>89</v>
      </c>
      <c r="E110" s="2">
        <f>SUMIFS(Tabla2[Premio],Tabla2[Equipo],Premios!A110,Tabla2[Jornada],Premios!B110)</f>
        <v>8900000</v>
      </c>
    </row>
    <row r="111" spans="1:5" x14ac:dyDescent="0.25">
      <c r="A111" t="s">
        <v>14</v>
      </c>
      <c r="B111">
        <v>11</v>
      </c>
      <c r="C111">
        <f>_xlfn.RANK.EQ(D111,D102:D111,0)+COUNTIF(D102:D111,D111)-1</f>
        <v>10</v>
      </c>
      <c r="D111">
        <f>SUMIFS(Tabla2[Puntos],Tabla2[Equipo],Premios!A111,Tabla2[Jornada],Premios!B111)</f>
        <v>30</v>
      </c>
      <c r="E111" s="2">
        <f>SUMIFS(Tabla2[Premio],Tabla2[Equipo],Premios!A111,Tabla2[Jornada],Premios!B111)</f>
        <v>3000000</v>
      </c>
    </row>
    <row r="112" spans="1:5" x14ac:dyDescent="0.25">
      <c r="A112" t="s">
        <v>6</v>
      </c>
      <c r="B112">
        <v>12</v>
      </c>
      <c r="C112">
        <f>_xlfn.RANK.EQ(D112,D112:D121,0)+COUNTIF(D112:D112,D112)-1</f>
        <v>4</v>
      </c>
      <c r="D112">
        <f>SUMIFS(Tabla2[Puntos],Tabla2[Equipo],Premios!A112,Tabla2[Jornada],Premios!B112)</f>
        <v>67</v>
      </c>
      <c r="E112" s="2">
        <f>SUMIFS(Tabla2[Premio],Tabla2[Equipo],Premios!A112,Tabla2[Jornada],Premios!B112)</f>
        <v>6700000</v>
      </c>
    </row>
    <row r="113" spans="1:5" x14ac:dyDescent="0.25">
      <c r="A113" t="s">
        <v>7</v>
      </c>
      <c r="B113">
        <v>12</v>
      </c>
      <c r="C113">
        <f>_xlfn.RANK.EQ(D113,D112:D121,0)+COUNTIF(D112:D113,D113)-1</f>
        <v>9</v>
      </c>
      <c r="D113">
        <f>SUMIFS(Tabla2[Puntos],Tabla2[Equipo],Premios!A113,Tabla2[Jornada],Premios!B113)</f>
        <v>46</v>
      </c>
      <c r="E113" s="2">
        <f>SUMIFS(Tabla2[Premio],Tabla2[Equipo],Premios!A113,Tabla2[Jornada],Premios!B113)</f>
        <v>4600000</v>
      </c>
    </row>
    <row r="114" spans="1:5" x14ac:dyDescent="0.25">
      <c r="A114" t="s">
        <v>8</v>
      </c>
      <c r="B114">
        <v>12</v>
      </c>
      <c r="C114">
        <f>_xlfn.RANK.EQ(D114,D112:D121,0)+COUNTIF(D112:D114,D114)-1</f>
        <v>8</v>
      </c>
      <c r="D114">
        <f>SUMIFS(Tabla2[Puntos],Tabla2[Equipo],Premios!A114,Tabla2[Jornada],Premios!B114)</f>
        <v>48</v>
      </c>
      <c r="E114" s="2">
        <f>SUMIFS(Tabla2[Premio],Tabla2[Equipo],Premios!A114,Tabla2[Jornada],Premios!B114)</f>
        <v>4800000</v>
      </c>
    </row>
    <row r="115" spans="1:5" x14ac:dyDescent="0.25">
      <c r="A115" t="s">
        <v>768</v>
      </c>
      <c r="B115">
        <v>12</v>
      </c>
      <c r="C115">
        <f>_xlfn.RANK.EQ(D115,D112:D121,0)+COUNTIF(D112:D115,D115)-1</f>
        <v>7</v>
      </c>
      <c r="D115">
        <f>SUMIFS(Tabla2[Puntos],Tabla2[Equipo],Premios!A115,Tabla2[Jornada],Premios!B115)</f>
        <v>51</v>
      </c>
      <c r="E115" s="2">
        <f>SUMIFS(Tabla2[Premio],Tabla2[Equipo],Premios!A115,Tabla2[Jornada],Premios!B115)</f>
        <v>5100000</v>
      </c>
    </row>
    <row r="116" spans="1:5" x14ac:dyDescent="0.25">
      <c r="A116" t="s">
        <v>9</v>
      </c>
      <c r="B116">
        <v>12</v>
      </c>
      <c r="C116">
        <f>_xlfn.RANK.EQ(D116,D112:D121,0)+COUNTIF(D112:D116,D116)-1</f>
        <v>6</v>
      </c>
      <c r="D116">
        <f>SUMIFS(Tabla2[Puntos],Tabla2[Equipo],Premios!A116,Tabla2[Jornada],Premios!B116)</f>
        <v>57</v>
      </c>
      <c r="E116" s="2">
        <f>SUMIFS(Tabla2[Premio],Tabla2[Equipo],Premios!A116,Tabla2[Jornada],Premios!B116)</f>
        <v>5700000</v>
      </c>
    </row>
    <row r="117" spans="1:5" x14ac:dyDescent="0.25">
      <c r="A117" t="s">
        <v>10</v>
      </c>
      <c r="B117">
        <v>12</v>
      </c>
      <c r="C117">
        <f>_xlfn.RANK.EQ(D117,D112:D121,0)+COUNTIF(D112:D117,D117)-1</f>
        <v>10</v>
      </c>
      <c r="D117">
        <f>SUMIFS(Tabla2[Puntos],Tabla2[Equipo],Premios!A117,Tabla2[Jornada],Premios!B117)</f>
        <v>41</v>
      </c>
      <c r="E117" s="2">
        <f>SUMIFS(Tabla2[Premio],Tabla2[Equipo],Premios!A117,Tabla2[Jornada],Premios!B117)</f>
        <v>4100000</v>
      </c>
    </row>
    <row r="118" spans="1:5" x14ac:dyDescent="0.25">
      <c r="A118" t="s">
        <v>11</v>
      </c>
      <c r="B118">
        <v>12</v>
      </c>
      <c r="C118">
        <f>_xlfn.RANK.EQ(D118,D112:D121,0)+COUNTIF(D112:D118,D118)-1</f>
        <v>5</v>
      </c>
      <c r="D118">
        <f>SUMIFS(Tabla2[Puntos],Tabla2[Equipo],Premios!A118,Tabla2[Jornada],Premios!B118)</f>
        <v>65</v>
      </c>
      <c r="E118" s="2">
        <f>SUMIFS(Tabla2[Premio],Tabla2[Equipo],Premios!A118,Tabla2[Jornada],Premios!B118)</f>
        <v>6500000</v>
      </c>
    </row>
    <row r="119" spans="1:5" x14ac:dyDescent="0.25">
      <c r="A119" t="s">
        <v>12</v>
      </c>
      <c r="B119">
        <v>12</v>
      </c>
      <c r="C119">
        <f>_xlfn.RANK.EQ(D119,D112:D121,0)+COUNTIF(D112:D119,D119)-1</f>
        <v>1</v>
      </c>
      <c r="D119">
        <f>SUMIFS(Tabla2[Puntos],Tabla2[Equipo],Premios!A119,Tabla2[Jornada],Premios!B119)</f>
        <v>90</v>
      </c>
      <c r="E119" s="2">
        <f>SUMIFS(Tabla2[Premio],Tabla2[Equipo],Premios!A119,Tabla2[Jornada],Premios!B119)</f>
        <v>9000000</v>
      </c>
    </row>
    <row r="120" spans="1:5" x14ac:dyDescent="0.25">
      <c r="A120" t="s">
        <v>13</v>
      </c>
      <c r="B120">
        <v>12</v>
      </c>
      <c r="C120">
        <f>_xlfn.RANK.EQ(D120,D112:D121,0)+COUNTIF(D112:D120,D120)-1</f>
        <v>2</v>
      </c>
      <c r="D120">
        <f>SUMIFS(Tabla2[Puntos],Tabla2[Equipo],Premios!A120,Tabla2[Jornada],Premios!B120)</f>
        <v>76</v>
      </c>
      <c r="E120" s="2">
        <f>SUMIFS(Tabla2[Premio],Tabla2[Equipo],Premios!A120,Tabla2[Jornada],Premios!B120)</f>
        <v>7600000</v>
      </c>
    </row>
    <row r="121" spans="1:5" x14ac:dyDescent="0.25">
      <c r="A121" t="s">
        <v>14</v>
      </c>
      <c r="B121">
        <v>12</v>
      </c>
      <c r="C121">
        <f>_xlfn.RANK.EQ(D121,D112:D121,0)+COUNTIF(D112:D121,D121)-1</f>
        <v>3</v>
      </c>
      <c r="D121">
        <f>SUMIFS(Tabla2[Puntos],Tabla2[Equipo],Premios!A121,Tabla2[Jornada],Premios!B121)</f>
        <v>68</v>
      </c>
      <c r="E121" s="2">
        <f>SUMIFS(Tabla2[Premio],Tabla2[Equipo],Premios!A121,Tabla2[Jornada],Premios!B121)</f>
        <v>6800000</v>
      </c>
    </row>
    <row r="122" spans="1:5" x14ac:dyDescent="0.25">
      <c r="A122" t="s">
        <v>6</v>
      </c>
      <c r="B122">
        <v>13</v>
      </c>
    </row>
    <row r="123" spans="1:5" x14ac:dyDescent="0.25">
      <c r="A123" t="s">
        <v>7</v>
      </c>
      <c r="B123">
        <v>13</v>
      </c>
    </row>
    <row r="124" spans="1:5" x14ac:dyDescent="0.25">
      <c r="A124" t="s">
        <v>8</v>
      </c>
      <c r="B124">
        <v>13</v>
      </c>
    </row>
    <row r="125" spans="1:5" x14ac:dyDescent="0.25">
      <c r="A125" t="s">
        <v>768</v>
      </c>
      <c r="B125">
        <v>13</v>
      </c>
    </row>
    <row r="126" spans="1:5" x14ac:dyDescent="0.25">
      <c r="A126" t="s">
        <v>9</v>
      </c>
      <c r="B126">
        <v>13</v>
      </c>
    </row>
    <row r="127" spans="1:5" x14ac:dyDescent="0.25">
      <c r="A127" t="s">
        <v>10</v>
      </c>
      <c r="B127">
        <v>13</v>
      </c>
    </row>
    <row r="128" spans="1:5" x14ac:dyDescent="0.25">
      <c r="A128" t="s">
        <v>11</v>
      </c>
      <c r="B128">
        <v>13</v>
      </c>
    </row>
    <row r="129" spans="1:2" x14ac:dyDescent="0.25">
      <c r="A129" t="s">
        <v>12</v>
      </c>
      <c r="B129">
        <v>13</v>
      </c>
    </row>
    <row r="130" spans="1:2" x14ac:dyDescent="0.25">
      <c r="A130" t="s">
        <v>13</v>
      </c>
      <c r="B130">
        <v>13</v>
      </c>
    </row>
    <row r="131" spans="1:2" x14ac:dyDescent="0.25">
      <c r="A131" t="s">
        <v>14</v>
      </c>
      <c r="B131">
        <v>13</v>
      </c>
    </row>
    <row r="132" spans="1:2" x14ac:dyDescent="0.25">
      <c r="A132" t="s">
        <v>6</v>
      </c>
      <c r="B132">
        <v>14</v>
      </c>
    </row>
    <row r="133" spans="1:2" x14ac:dyDescent="0.25">
      <c r="A133" t="s">
        <v>7</v>
      </c>
      <c r="B133">
        <v>14</v>
      </c>
    </row>
    <row r="134" spans="1:2" x14ac:dyDescent="0.25">
      <c r="A134" t="s">
        <v>8</v>
      </c>
      <c r="B134">
        <v>14</v>
      </c>
    </row>
    <row r="135" spans="1:2" x14ac:dyDescent="0.25">
      <c r="A135" t="s">
        <v>768</v>
      </c>
      <c r="B135">
        <v>14</v>
      </c>
    </row>
    <row r="136" spans="1:2" x14ac:dyDescent="0.25">
      <c r="A136" t="s">
        <v>9</v>
      </c>
      <c r="B136">
        <v>14</v>
      </c>
    </row>
    <row r="137" spans="1:2" x14ac:dyDescent="0.25">
      <c r="A137" t="s">
        <v>10</v>
      </c>
      <c r="B137">
        <v>14</v>
      </c>
    </row>
    <row r="138" spans="1:2" x14ac:dyDescent="0.25">
      <c r="A138" t="s">
        <v>11</v>
      </c>
      <c r="B138">
        <v>14</v>
      </c>
    </row>
    <row r="139" spans="1:2" x14ac:dyDescent="0.25">
      <c r="A139" t="s">
        <v>12</v>
      </c>
      <c r="B139">
        <v>14</v>
      </c>
    </row>
    <row r="140" spans="1:2" x14ac:dyDescent="0.25">
      <c r="A140" t="s">
        <v>13</v>
      </c>
      <c r="B140">
        <v>14</v>
      </c>
    </row>
    <row r="141" spans="1:2" x14ac:dyDescent="0.25">
      <c r="A141" t="s">
        <v>14</v>
      </c>
      <c r="B141">
        <v>14</v>
      </c>
    </row>
    <row r="142" spans="1:2" x14ac:dyDescent="0.25">
      <c r="A142" t="s">
        <v>6</v>
      </c>
      <c r="B142">
        <v>15</v>
      </c>
    </row>
    <row r="143" spans="1:2" x14ac:dyDescent="0.25">
      <c r="A143" t="s">
        <v>7</v>
      </c>
      <c r="B143">
        <v>15</v>
      </c>
    </row>
    <row r="144" spans="1:2" x14ac:dyDescent="0.25">
      <c r="A144" t="s">
        <v>8</v>
      </c>
      <c r="B144">
        <v>15</v>
      </c>
    </row>
    <row r="145" spans="1:2" x14ac:dyDescent="0.25">
      <c r="A145" t="s">
        <v>768</v>
      </c>
      <c r="B145">
        <v>15</v>
      </c>
    </row>
    <row r="146" spans="1:2" x14ac:dyDescent="0.25">
      <c r="A146" t="s">
        <v>9</v>
      </c>
      <c r="B146">
        <v>15</v>
      </c>
    </row>
    <row r="147" spans="1:2" x14ac:dyDescent="0.25">
      <c r="A147" t="s">
        <v>10</v>
      </c>
      <c r="B147">
        <v>15</v>
      </c>
    </row>
    <row r="148" spans="1:2" x14ac:dyDescent="0.25">
      <c r="A148" t="s">
        <v>11</v>
      </c>
      <c r="B148">
        <v>15</v>
      </c>
    </row>
    <row r="149" spans="1:2" x14ac:dyDescent="0.25">
      <c r="A149" t="s">
        <v>12</v>
      </c>
      <c r="B149">
        <v>15</v>
      </c>
    </row>
    <row r="150" spans="1:2" x14ac:dyDescent="0.25">
      <c r="A150" t="s">
        <v>13</v>
      </c>
      <c r="B150">
        <v>15</v>
      </c>
    </row>
    <row r="151" spans="1:2" x14ac:dyDescent="0.25">
      <c r="A151" t="s">
        <v>14</v>
      </c>
      <c r="B151">
        <v>15</v>
      </c>
    </row>
    <row r="152" spans="1:2" x14ac:dyDescent="0.25">
      <c r="A152" t="s">
        <v>6</v>
      </c>
      <c r="B152">
        <v>16</v>
      </c>
    </row>
    <row r="153" spans="1:2" x14ac:dyDescent="0.25">
      <c r="A153" t="s">
        <v>7</v>
      </c>
      <c r="B153">
        <v>16</v>
      </c>
    </row>
    <row r="154" spans="1:2" x14ac:dyDescent="0.25">
      <c r="A154" t="s">
        <v>8</v>
      </c>
      <c r="B154">
        <v>16</v>
      </c>
    </row>
    <row r="155" spans="1:2" x14ac:dyDescent="0.25">
      <c r="A155" t="s">
        <v>768</v>
      </c>
      <c r="B155">
        <v>16</v>
      </c>
    </row>
    <row r="156" spans="1:2" x14ac:dyDescent="0.25">
      <c r="A156" t="s">
        <v>9</v>
      </c>
      <c r="B156">
        <v>16</v>
      </c>
    </row>
    <row r="157" spans="1:2" x14ac:dyDescent="0.25">
      <c r="A157" t="s">
        <v>10</v>
      </c>
      <c r="B157">
        <v>16</v>
      </c>
    </row>
    <row r="158" spans="1:2" x14ac:dyDescent="0.25">
      <c r="A158" t="s">
        <v>11</v>
      </c>
      <c r="B158">
        <v>16</v>
      </c>
    </row>
    <row r="159" spans="1:2" x14ac:dyDescent="0.25">
      <c r="A159" t="s">
        <v>12</v>
      </c>
      <c r="B159">
        <v>16</v>
      </c>
    </row>
    <row r="160" spans="1:2" x14ac:dyDescent="0.25">
      <c r="A160" t="s">
        <v>13</v>
      </c>
      <c r="B160">
        <v>16</v>
      </c>
    </row>
    <row r="161" spans="1:2" x14ac:dyDescent="0.25">
      <c r="A161" t="s">
        <v>14</v>
      </c>
      <c r="B161">
        <v>16</v>
      </c>
    </row>
    <row r="162" spans="1:2" x14ac:dyDescent="0.25">
      <c r="A162" t="s">
        <v>6</v>
      </c>
      <c r="B162">
        <v>17</v>
      </c>
    </row>
    <row r="163" spans="1:2" x14ac:dyDescent="0.25">
      <c r="A163" t="s">
        <v>7</v>
      </c>
      <c r="B163">
        <v>17</v>
      </c>
    </row>
    <row r="164" spans="1:2" x14ac:dyDescent="0.25">
      <c r="A164" t="s">
        <v>8</v>
      </c>
      <c r="B164">
        <v>17</v>
      </c>
    </row>
    <row r="165" spans="1:2" x14ac:dyDescent="0.25">
      <c r="A165" t="s">
        <v>768</v>
      </c>
      <c r="B165">
        <v>17</v>
      </c>
    </row>
    <row r="166" spans="1:2" x14ac:dyDescent="0.25">
      <c r="A166" t="s">
        <v>9</v>
      </c>
      <c r="B166">
        <v>17</v>
      </c>
    </row>
    <row r="167" spans="1:2" x14ac:dyDescent="0.25">
      <c r="A167" t="s">
        <v>10</v>
      </c>
      <c r="B167">
        <v>17</v>
      </c>
    </row>
    <row r="168" spans="1:2" x14ac:dyDescent="0.25">
      <c r="A168" t="s">
        <v>11</v>
      </c>
      <c r="B168">
        <v>17</v>
      </c>
    </row>
    <row r="169" spans="1:2" x14ac:dyDescent="0.25">
      <c r="A169" t="s">
        <v>12</v>
      </c>
      <c r="B169">
        <v>17</v>
      </c>
    </row>
    <row r="170" spans="1:2" x14ac:dyDescent="0.25">
      <c r="A170" t="s">
        <v>13</v>
      </c>
      <c r="B170">
        <v>17</v>
      </c>
    </row>
    <row r="171" spans="1:2" x14ac:dyDescent="0.25">
      <c r="A171" t="s">
        <v>14</v>
      </c>
      <c r="B171">
        <v>17</v>
      </c>
    </row>
    <row r="172" spans="1:2" x14ac:dyDescent="0.25">
      <c r="A172" t="s">
        <v>6</v>
      </c>
      <c r="B172">
        <v>18</v>
      </c>
    </row>
    <row r="173" spans="1:2" x14ac:dyDescent="0.25">
      <c r="A173" t="s">
        <v>7</v>
      </c>
      <c r="B173">
        <v>18</v>
      </c>
    </row>
    <row r="174" spans="1:2" x14ac:dyDescent="0.25">
      <c r="A174" t="s">
        <v>8</v>
      </c>
      <c r="B174">
        <v>18</v>
      </c>
    </row>
    <row r="175" spans="1:2" x14ac:dyDescent="0.25">
      <c r="A175" t="s">
        <v>768</v>
      </c>
      <c r="B175">
        <v>18</v>
      </c>
    </row>
    <row r="176" spans="1:2" x14ac:dyDescent="0.25">
      <c r="A176" t="s">
        <v>9</v>
      </c>
      <c r="B176">
        <v>18</v>
      </c>
    </row>
    <row r="177" spans="1:2" x14ac:dyDescent="0.25">
      <c r="A177" t="s">
        <v>10</v>
      </c>
      <c r="B177">
        <v>18</v>
      </c>
    </row>
    <row r="178" spans="1:2" x14ac:dyDescent="0.25">
      <c r="A178" t="s">
        <v>11</v>
      </c>
      <c r="B178">
        <v>18</v>
      </c>
    </row>
    <row r="179" spans="1:2" x14ac:dyDescent="0.25">
      <c r="A179" t="s">
        <v>12</v>
      </c>
      <c r="B179">
        <v>18</v>
      </c>
    </row>
    <row r="180" spans="1:2" x14ac:dyDescent="0.25">
      <c r="A180" t="s">
        <v>13</v>
      </c>
      <c r="B180">
        <v>18</v>
      </c>
    </row>
    <row r="181" spans="1:2" x14ac:dyDescent="0.25">
      <c r="A181" t="s">
        <v>14</v>
      </c>
      <c r="B181">
        <v>18</v>
      </c>
    </row>
    <row r="182" spans="1:2" x14ac:dyDescent="0.25">
      <c r="A182" t="s">
        <v>6</v>
      </c>
      <c r="B182">
        <v>19</v>
      </c>
    </row>
    <row r="183" spans="1:2" x14ac:dyDescent="0.25">
      <c r="A183" t="s">
        <v>7</v>
      </c>
      <c r="B183">
        <v>19</v>
      </c>
    </row>
    <row r="184" spans="1:2" x14ac:dyDescent="0.25">
      <c r="A184" t="s">
        <v>8</v>
      </c>
      <c r="B184">
        <v>19</v>
      </c>
    </row>
    <row r="185" spans="1:2" x14ac:dyDescent="0.25">
      <c r="A185" t="s">
        <v>768</v>
      </c>
      <c r="B185">
        <v>19</v>
      </c>
    </row>
    <row r="186" spans="1:2" x14ac:dyDescent="0.25">
      <c r="A186" t="s">
        <v>9</v>
      </c>
      <c r="B186">
        <v>19</v>
      </c>
    </row>
    <row r="187" spans="1:2" x14ac:dyDescent="0.25">
      <c r="A187" t="s">
        <v>10</v>
      </c>
      <c r="B187">
        <v>19</v>
      </c>
    </row>
    <row r="188" spans="1:2" x14ac:dyDescent="0.25">
      <c r="A188" t="s">
        <v>11</v>
      </c>
      <c r="B188">
        <v>19</v>
      </c>
    </row>
    <row r="189" spans="1:2" x14ac:dyDescent="0.25">
      <c r="A189" t="s">
        <v>12</v>
      </c>
      <c r="B189">
        <v>19</v>
      </c>
    </row>
    <row r="190" spans="1:2" x14ac:dyDescent="0.25">
      <c r="A190" t="s">
        <v>13</v>
      </c>
      <c r="B190">
        <v>19</v>
      </c>
    </row>
    <row r="191" spans="1:2" x14ac:dyDescent="0.25">
      <c r="A191" t="s">
        <v>14</v>
      </c>
      <c r="B191">
        <v>19</v>
      </c>
    </row>
    <row r="192" spans="1:2" x14ac:dyDescent="0.25">
      <c r="A192" t="s">
        <v>6</v>
      </c>
      <c r="B192">
        <v>20</v>
      </c>
    </row>
    <row r="193" spans="1:2" x14ac:dyDescent="0.25">
      <c r="A193" t="s">
        <v>7</v>
      </c>
      <c r="B193">
        <v>20</v>
      </c>
    </row>
    <row r="194" spans="1:2" x14ac:dyDescent="0.25">
      <c r="A194" t="s">
        <v>8</v>
      </c>
      <c r="B194">
        <v>20</v>
      </c>
    </row>
    <row r="195" spans="1:2" x14ac:dyDescent="0.25">
      <c r="A195" t="s">
        <v>768</v>
      </c>
      <c r="B195">
        <v>20</v>
      </c>
    </row>
    <row r="196" spans="1:2" x14ac:dyDescent="0.25">
      <c r="A196" t="s">
        <v>9</v>
      </c>
      <c r="B196">
        <v>20</v>
      </c>
    </row>
    <row r="197" spans="1:2" x14ac:dyDescent="0.25">
      <c r="A197" t="s">
        <v>10</v>
      </c>
      <c r="B197">
        <v>20</v>
      </c>
    </row>
    <row r="198" spans="1:2" x14ac:dyDescent="0.25">
      <c r="A198" t="s">
        <v>11</v>
      </c>
      <c r="B198">
        <v>20</v>
      </c>
    </row>
    <row r="199" spans="1:2" x14ac:dyDescent="0.25">
      <c r="A199" t="s">
        <v>12</v>
      </c>
      <c r="B199">
        <v>20</v>
      </c>
    </row>
    <row r="200" spans="1:2" x14ac:dyDescent="0.25">
      <c r="A200" t="s">
        <v>13</v>
      </c>
      <c r="B200">
        <v>20</v>
      </c>
    </row>
    <row r="201" spans="1:2" x14ac:dyDescent="0.25">
      <c r="A201" t="s">
        <v>14</v>
      </c>
      <c r="B201">
        <v>20</v>
      </c>
    </row>
    <row r="202" spans="1:2" x14ac:dyDescent="0.25">
      <c r="A202" t="s">
        <v>6</v>
      </c>
      <c r="B202">
        <v>21</v>
      </c>
    </row>
    <row r="203" spans="1:2" x14ac:dyDescent="0.25">
      <c r="A203" t="s">
        <v>7</v>
      </c>
      <c r="B203">
        <v>21</v>
      </c>
    </row>
    <row r="204" spans="1:2" x14ac:dyDescent="0.25">
      <c r="A204" t="s">
        <v>8</v>
      </c>
      <c r="B204">
        <v>21</v>
      </c>
    </row>
    <row r="205" spans="1:2" x14ac:dyDescent="0.25">
      <c r="A205" t="s">
        <v>768</v>
      </c>
      <c r="B205">
        <v>21</v>
      </c>
    </row>
    <row r="206" spans="1:2" x14ac:dyDescent="0.25">
      <c r="A206" t="s">
        <v>9</v>
      </c>
      <c r="B206">
        <v>21</v>
      </c>
    </row>
    <row r="207" spans="1:2" x14ac:dyDescent="0.25">
      <c r="A207" t="s">
        <v>10</v>
      </c>
      <c r="B207">
        <v>21</v>
      </c>
    </row>
    <row r="208" spans="1:2" x14ac:dyDescent="0.25">
      <c r="A208" t="s">
        <v>11</v>
      </c>
      <c r="B208">
        <v>21</v>
      </c>
    </row>
    <row r="209" spans="1:2" x14ac:dyDescent="0.25">
      <c r="A209" t="s">
        <v>12</v>
      </c>
      <c r="B209">
        <v>21</v>
      </c>
    </row>
    <row r="210" spans="1:2" x14ac:dyDescent="0.25">
      <c r="A210" t="s">
        <v>13</v>
      </c>
      <c r="B210">
        <v>21</v>
      </c>
    </row>
    <row r="211" spans="1:2" x14ac:dyDescent="0.25">
      <c r="A211" t="s">
        <v>14</v>
      </c>
      <c r="B211">
        <v>21</v>
      </c>
    </row>
    <row r="212" spans="1:2" x14ac:dyDescent="0.25">
      <c r="A212" t="s">
        <v>6</v>
      </c>
      <c r="B212">
        <v>22</v>
      </c>
    </row>
    <row r="213" spans="1:2" x14ac:dyDescent="0.25">
      <c r="A213" t="s">
        <v>7</v>
      </c>
      <c r="B213">
        <v>22</v>
      </c>
    </row>
    <row r="214" spans="1:2" x14ac:dyDescent="0.25">
      <c r="A214" t="s">
        <v>8</v>
      </c>
      <c r="B214">
        <v>22</v>
      </c>
    </row>
    <row r="215" spans="1:2" x14ac:dyDescent="0.25">
      <c r="A215" t="s">
        <v>768</v>
      </c>
      <c r="B215">
        <v>22</v>
      </c>
    </row>
    <row r="216" spans="1:2" x14ac:dyDescent="0.25">
      <c r="A216" t="s">
        <v>9</v>
      </c>
      <c r="B216">
        <v>22</v>
      </c>
    </row>
    <row r="217" spans="1:2" x14ac:dyDescent="0.25">
      <c r="A217" t="s">
        <v>10</v>
      </c>
      <c r="B217">
        <v>22</v>
      </c>
    </row>
    <row r="218" spans="1:2" x14ac:dyDescent="0.25">
      <c r="A218" t="s">
        <v>11</v>
      </c>
      <c r="B218">
        <v>22</v>
      </c>
    </row>
    <row r="219" spans="1:2" x14ac:dyDescent="0.25">
      <c r="A219" t="s">
        <v>12</v>
      </c>
      <c r="B219">
        <v>22</v>
      </c>
    </row>
    <row r="220" spans="1:2" x14ac:dyDescent="0.25">
      <c r="A220" t="s">
        <v>13</v>
      </c>
      <c r="B220">
        <v>22</v>
      </c>
    </row>
    <row r="221" spans="1:2" x14ac:dyDescent="0.25">
      <c r="A221" t="s">
        <v>14</v>
      </c>
      <c r="B221">
        <v>22</v>
      </c>
    </row>
    <row r="222" spans="1:2" x14ac:dyDescent="0.25">
      <c r="A222" t="s">
        <v>6</v>
      </c>
      <c r="B222">
        <v>23</v>
      </c>
    </row>
    <row r="223" spans="1:2" x14ac:dyDescent="0.25">
      <c r="A223" t="s">
        <v>7</v>
      </c>
      <c r="B223">
        <v>23</v>
      </c>
    </row>
    <row r="224" spans="1:2" x14ac:dyDescent="0.25">
      <c r="A224" t="s">
        <v>8</v>
      </c>
      <c r="B224">
        <v>23</v>
      </c>
    </row>
    <row r="225" spans="1:2" x14ac:dyDescent="0.25">
      <c r="A225" t="s">
        <v>768</v>
      </c>
      <c r="B225">
        <v>23</v>
      </c>
    </row>
    <row r="226" spans="1:2" x14ac:dyDescent="0.25">
      <c r="A226" t="s">
        <v>9</v>
      </c>
      <c r="B226">
        <v>23</v>
      </c>
    </row>
    <row r="227" spans="1:2" x14ac:dyDescent="0.25">
      <c r="A227" t="s">
        <v>10</v>
      </c>
      <c r="B227">
        <v>23</v>
      </c>
    </row>
    <row r="228" spans="1:2" x14ac:dyDescent="0.25">
      <c r="A228" t="s">
        <v>11</v>
      </c>
      <c r="B228">
        <v>23</v>
      </c>
    </row>
    <row r="229" spans="1:2" x14ac:dyDescent="0.25">
      <c r="A229" t="s">
        <v>12</v>
      </c>
      <c r="B229">
        <v>23</v>
      </c>
    </row>
    <row r="230" spans="1:2" x14ac:dyDescent="0.25">
      <c r="A230" t="s">
        <v>13</v>
      </c>
      <c r="B230">
        <v>23</v>
      </c>
    </row>
    <row r="231" spans="1:2" x14ac:dyDescent="0.25">
      <c r="A231" t="s">
        <v>14</v>
      </c>
      <c r="B231">
        <v>23</v>
      </c>
    </row>
    <row r="232" spans="1:2" x14ac:dyDescent="0.25">
      <c r="A232" t="s">
        <v>6</v>
      </c>
      <c r="B232">
        <v>24</v>
      </c>
    </row>
    <row r="233" spans="1:2" x14ac:dyDescent="0.25">
      <c r="A233" t="s">
        <v>7</v>
      </c>
      <c r="B233">
        <v>24</v>
      </c>
    </row>
    <row r="234" spans="1:2" x14ac:dyDescent="0.25">
      <c r="A234" t="s">
        <v>8</v>
      </c>
      <c r="B234">
        <v>24</v>
      </c>
    </row>
    <row r="235" spans="1:2" x14ac:dyDescent="0.25">
      <c r="A235" t="s">
        <v>768</v>
      </c>
      <c r="B235">
        <v>24</v>
      </c>
    </row>
    <row r="236" spans="1:2" x14ac:dyDescent="0.25">
      <c r="A236" t="s">
        <v>9</v>
      </c>
      <c r="B236">
        <v>24</v>
      </c>
    </row>
    <row r="237" spans="1:2" x14ac:dyDescent="0.25">
      <c r="A237" t="s">
        <v>10</v>
      </c>
      <c r="B237">
        <v>24</v>
      </c>
    </row>
    <row r="238" spans="1:2" x14ac:dyDescent="0.25">
      <c r="A238" t="s">
        <v>11</v>
      </c>
      <c r="B238">
        <v>24</v>
      </c>
    </row>
    <row r="239" spans="1:2" x14ac:dyDescent="0.25">
      <c r="A239" t="s">
        <v>12</v>
      </c>
      <c r="B239">
        <v>24</v>
      </c>
    </row>
    <row r="240" spans="1:2" x14ac:dyDescent="0.25">
      <c r="A240" t="s">
        <v>13</v>
      </c>
      <c r="B240">
        <v>24</v>
      </c>
    </row>
    <row r="241" spans="1:2" x14ac:dyDescent="0.25">
      <c r="A241" t="s">
        <v>14</v>
      </c>
      <c r="B241">
        <v>24</v>
      </c>
    </row>
    <row r="242" spans="1:2" x14ac:dyDescent="0.25">
      <c r="A242" t="s">
        <v>6</v>
      </c>
      <c r="B242">
        <v>25</v>
      </c>
    </row>
    <row r="243" spans="1:2" x14ac:dyDescent="0.25">
      <c r="A243" t="s">
        <v>7</v>
      </c>
      <c r="B243">
        <v>25</v>
      </c>
    </row>
    <row r="244" spans="1:2" x14ac:dyDescent="0.25">
      <c r="A244" t="s">
        <v>8</v>
      </c>
      <c r="B244">
        <v>25</v>
      </c>
    </row>
    <row r="245" spans="1:2" x14ac:dyDescent="0.25">
      <c r="A245" t="s">
        <v>768</v>
      </c>
      <c r="B245">
        <v>25</v>
      </c>
    </row>
    <row r="246" spans="1:2" x14ac:dyDescent="0.25">
      <c r="A246" t="s">
        <v>9</v>
      </c>
      <c r="B246">
        <v>25</v>
      </c>
    </row>
    <row r="247" spans="1:2" x14ac:dyDescent="0.25">
      <c r="A247" t="s">
        <v>10</v>
      </c>
      <c r="B247">
        <v>25</v>
      </c>
    </row>
    <row r="248" spans="1:2" x14ac:dyDescent="0.25">
      <c r="A248" t="s">
        <v>11</v>
      </c>
      <c r="B248">
        <v>25</v>
      </c>
    </row>
    <row r="249" spans="1:2" x14ac:dyDescent="0.25">
      <c r="A249" t="s">
        <v>12</v>
      </c>
      <c r="B249">
        <v>25</v>
      </c>
    </row>
    <row r="250" spans="1:2" x14ac:dyDescent="0.25">
      <c r="A250" t="s">
        <v>13</v>
      </c>
      <c r="B250">
        <v>25</v>
      </c>
    </row>
    <row r="251" spans="1:2" x14ac:dyDescent="0.25">
      <c r="A251" t="s">
        <v>14</v>
      </c>
      <c r="B251">
        <v>25</v>
      </c>
    </row>
    <row r="252" spans="1:2" x14ac:dyDescent="0.25">
      <c r="A252" t="s">
        <v>6</v>
      </c>
      <c r="B252">
        <v>26</v>
      </c>
    </row>
    <row r="253" spans="1:2" x14ac:dyDescent="0.25">
      <c r="A253" t="s">
        <v>7</v>
      </c>
      <c r="B253">
        <v>26</v>
      </c>
    </row>
    <row r="254" spans="1:2" x14ac:dyDescent="0.25">
      <c r="A254" t="s">
        <v>8</v>
      </c>
      <c r="B254">
        <v>26</v>
      </c>
    </row>
    <row r="255" spans="1:2" x14ac:dyDescent="0.25">
      <c r="A255" t="s">
        <v>768</v>
      </c>
      <c r="B255">
        <v>26</v>
      </c>
    </row>
    <row r="256" spans="1:2" x14ac:dyDescent="0.25">
      <c r="A256" t="s">
        <v>9</v>
      </c>
      <c r="B256">
        <v>26</v>
      </c>
    </row>
    <row r="257" spans="1:2" x14ac:dyDescent="0.25">
      <c r="A257" t="s">
        <v>10</v>
      </c>
      <c r="B257">
        <v>26</v>
      </c>
    </row>
    <row r="258" spans="1:2" x14ac:dyDescent="0.25">
      <c r="A258" t="s">
        <v>11</v>
      </c>
      <c r="B258">
        <v>26</v>
      </c>
    </row>
    <row r="259" spans="1:2" x14ac:dyDescent="0.25">
      <c r="A259" t="s">
        <v>12</v>
      </c>
      <c r="B259">
        <v>26</v>
      </c>
    </row>
    <row r="260" spans="1:2" x14ac:dyDescent="0.25">
      <c r="A260" t="s">
        <v>13</v>
      </c>
      <c r="B260">
        <v>26</v>
      </c>
    </row>
    <row r="261" spans="1:2" x14ac:dyDescent="0.25">
      <c r="A261" t="s">
        <v>14</v>
      </c>
      <c r="B261">
        <v>26</v>
      </c>
    </row>
    <row r="262" spans="1:2" x14ac:dyDescent="0.25">
      <c r="A262" t="s">
        <v>6</v>
      </c>
      <c r="B262">
        <v>27</v>
      </c>
    </row>
    <row r="263" spans="1:2" x14ac:dyDescent="0.25">
      <c r="A263" t="s">
        <v>7</v>
      </c>
      <c r="B263">
        <v>27</v>
      </c>
    </row>
    <row r="264" spans="1:2" x14ac:dyDescent="0.25">
      <c r="A264" t="s">
        <v>8</v>
      </c>
      <c r="B264">
        <v>27</v>
      </c>
    </row>
    <row r="265" spans="1:2" x14ac:dyDescent="0.25">
      <c r="A265" t="s">
        <v>768</v>
      </c>
      <c r="B265">
        <v>27</v>
      </c>
    </row>
    <row r="266" spans="1:2" x14ac:dyDescent="0.25">
      <c r="A266" t="s">
        <v>9</v>
      </c>
      <c r="B266">
        <v>27</v>
      </c>
    </row>
    <row r="267" spans="1:2" x14ac:dyDescent="0.25">
      <c r="A267" t="s">
        <v>10</v>
      </c>
      <c r="B267">
        <v>27</v>
      </c>
    </row>
    <row r="268" spans="1:2" x14ac:dyDescent="0.25">
      <c r="A268" t="s">
        <v>11</v>
      </c>
      <c r="B268">
        <v>27</v>
      </c>
    </row>
    <row r="269" spans="1:2" x14ac:dyDescent="0.25">
      <c r="A269" t="s">
        <v>12</v>
      </c>
      <c r="B269">
        <v>27</v>
      </c>
    </row>
    <row r="270" spans="1:2" x14ac:dyDescent="0.25">
      <c r="A270" t="s">
        <v>13</v>
      </c>
      <c r="B270">
        <v>27</v>
      </c>
    </row>
    <row r="271" spans="1:2" x14ac:dyDescent="0.25">
      <c r="A271" t="s">
        <v>14</v>
      </c>
      <c r="B271">
        <v>27</v>
      </c>
    </row>
    <row r="272" spans="1:2" x14ac:dyDescent="0.25">
      <c r="A272" t="s">
        <v>6</v>
      </c>
      <c r="B272">
        <v>28</v>
      </c>
    </row>
    <row r="273" spans="1:2" x14ac:dyDescent="0.25">
      <c r="A273" t="s">
        <v>7</v>
      </c>
      <c r="B273">
        <v>28</v>
      </c>
    </row>
    <row r="274" spans="1:2" x14ac:dyDescent="0.25">
      <c r="A274" t="s">
        <v>8</v>
      </c>
      <c r="B274">
        <v>28</v>
      </c>
    </row>
    <row r="275" spans="1:2" x14ac:dyDescent="0.25">
      <c r="A275" t="s">
        <v>768</v>
      </c>
      <c r="B275">
        <v>28</v>
      </c>
    </row>
    <row r="276" spans="1:2" x14ac:dyDescent="0.25">
      <c r="A276" t="s">
        <v>9</v>
      </c>
      <c r="B276">
        <v>28</v>
      </c>
    </row>
    <row r="277" spans="1:2" x14ac:dyDescent="0.25">
      <c r="A277" t="s">
        <v>10</v>
      </c>
      <c r="B277">
        <v>28</v>
      </c>
    </row>
    <row r="278" spans="1:2" x14ac:dyDescent="0.25">
      <c r="A278" t="s">
        <v>11</v>
      </c>
      <c r="B278">
        <v>28</v>
      </c>
    </row>
    <row r="279" spans="1:2" x14ac:dyDescent="0.25">
      <c r="A279" t="s">
        <v>12</v>
      </c>
      <c r="B279">
        <v>28</v>
      </c>
    </row>
    <row r="280" spans="1:2" x14ac:dyDescent="0.25">
      <c r="A280" t="s">
        <v>13</v>
      </c>
      <c r="B280">
        <v>28</v>
      </c>
    </row>
    <row r="281" spans="1:2" x14ac:dyDescent="0.25">
      <c r="A281" t="s">
        <v>14</v>
      </c>
      <c r="B281">
        <v>28</v>
      </c>
    </row>
    <row r="282" spans="1:2" x14ac:dyDescent="0.25">
      <c r="A282" t="s">
        <v>6</v>
      </c>
      <c r="B282">
        <v>29</v>
      </c>
    </row>
    <row r="283" spans="1:2" x14ac:dyDescent="0.25">
      <c r="A283" t="s">
        <v>7</v>
      </c>
      <c r="B283">
        <v>29</v>
      </c>
    </row>
    <row r="284" spans="1:2" x14ac:dyDescent="0.25">
      <c r="A284" t="s">
        <v>8</v>
      </c>
      <c r="B284">
        <v>29</v>
      </c>
    </row>
    <row r="285" spans="1:2" x14ac:dyDescent="0.25">
      <c r="A285" t="s">
        <v>768</v>
      </c>
      <c r="B285">
        <v>29</v>
      </c>
    </row>
    <row r="286" spans="1:2" x14ac:dyDescent="0.25">
      <c r="A286" t="s">
        <v>9</v>
      </c>
      <c r="B286">
        <v>29</v>
      </c>
    </row>
    <row r="287" spans="1:2" x14ac:dyDescent="0.25">
      <c r="A287" t="s">
        <v>10</v>
      </c>
      <c r="B287">
        <v>29</v>
      </c>
    </row>
    <row r="288" spans="1:2" x14ac:dyDescent="0.25">
      <c r="A288" t="s">
        <v>11</v>
      </c>
      <c r="B288">
        <v>29</v>
      </c>
    </row>
    <row r="289" spans="1:2" x14ac:dyDescent="0.25">
      <c r="A289" t="s">
        <v>12</v>
      </c>
      <c r="B289">
        <v>29</v>
      </c>
    </row>
    <row r="290" spans="1:2" x14ac:dyDescent="0.25">
      <c r="A290" t="s">
        <v>13</v>
      </c>
      <c r="B290">
        <v>29</v>
      </c>
    </row>
    <row r="291" spans="1:2" x14ac:dyDescent="0.25">
      <c r="A291" t="s">
        <v>14</v>
      </c>
      <c r="B291">
        <v>29</v>
      </c>
    </row>
    <row r="292" spans="1:2" x14ac:dyDescent="0.25">
      <c r="A292" t="s">
        <v>6</v>
      </c>
      <c r="B292">
        <v>30</v>
      </c>
    </row>
    <row r="293" spans="1:2" x14ac:dyDescent="0.25">
      <c r="A293" t="s">
        <v>7</v>
      </c>
      <c r="B293">
        <v>30</v>
      </c>
    </row>
    <row r="294" spans="1:2" x14ac:dyDescent="0.25">
      <c r="A294" t="s">
        <v>8</v>
      </c>
      <c r="B294">
        <v>30</v>
      </c>
    </row>
    <row r="295" spans="1:2" x14ac:dyDescent="0.25">
      <c r="A295" t="s">
        <v>768</v>
      </c>
      <c r="B295">
        <v>30</v>
      </c>
    </row>
    <row r="296" spans="1:2" x14ac:dyDescent="0.25">
      <c r="A296" t="s">
        <v>9</v>
      </c>
      <c r="B296">
        <v>30</v>
      </c>
    </row>
    <row r="297" spans="1:2" x14ac:dyDescent="0.25">
      <c r="A297" t="s">
        <v>10</v>
      </c>
      <c r="B297">
        <v>30</v>
      </c>
    </row>
    <row r="298" spans="1:2" x14ac:dyDescent="0.25">
      <c r="A298" t="s">
        <v>11</v>
      </c>
      <c r="B298">
        <v>30</v>
      </c>
    </row>
    <row r="299" spans="1:2" x14ac:dyDescent="0.25">
      <c r="A299" t="s">
        <v>12</v>
      </c>
      <c r="B299">
        <v>30</v>
      </c>
    </row>
    <row r="300" spans="1:2" x14ac:dyDescent="0.25">
      <c r="A300" t="s">
        <v>13</v>
      </c>
      <c r="B300">
        <v>30</v>
      </c>
    </row>
    <row r="301" spans="1:2" x14ac:dyDescent="0.25">
      <c r="A301" t="s">
        <v>14</v>
      </c>
      <c r="B301">
        <v>30</v>
      </c>
    </row>
    <row r="302" spans="1:2" x14ac:dyDescent="0.25">
      <c r="A302" t="s">
        <v>6</v>
      </c>
      <c r="B302">
        <v>31</v>
      </c>
    </row>
    <row r="303" spans="1:2" x14ac:dyDescent="0.25">
      <c r="A303" t="s">
        <v>7</v>
      </c>
      <c r="B303">
        <v>31</v>
      </c>
    </row>
    <row r="304" spans="1:2" x14ac:dyDescent="0.25">
      <c r="A304" t="s">
        <v>8</v>
      </c>
      <c r="B304">
        <v>31</v>
      </c>
    </row>
    <row r="305" spans="1:2" x14ac:dyDescent="0.25">
      <c r="A305" t="s">
        <v>768</v>
      </c>
      <c r="B305">
        <v>31</v>
      </c>
    </row>
    <row r="306" spans="1:2" x14ac:dyDescent="0.25">
      <c r="A306" t="s">
        <v>9</v>
      </c>
      <c r="B306">
        <v>31</v>
      </c>
    </row>
    <row r="307" spans="1:2" x14ac:dyDescent="0.25">
      <c r="A307" t="s">
        <v>10</v>
      </c>
      <c r="B307">
        <v>31</v>
      </c>
    </row>
    <row r="308" spans="1:2" x14ac:dyDescent="0.25">
      <c r="A308" t="s">
        <v>11</v>
      </c>
      <c r="B308">
        <v>31</v>
      </c>
    </row>
    <row r="309" spans="1:2" x14ac:dyDescent="0.25">
      <c r="A309" t="s">
        <v>12</v>
      </c>
      <c r="B309">
        <v>31</v>
      </c>
    </row>
    <row r="310" spans="1:2" x14ac:dyDescent="0.25">
      <c r="A310" t="s">
        <v>13</v>
      </c>
      <c r="B310">
        <v>31</v>
      </c>
    </row>
    <row r="311" spans="1:2" x14ac:dyDescent="0.25">
      <c r="A311" t="s">
        <v>14</v>
      </c>
      <c r="B311">
        <v>31</v>
      </c>
    </row>
    <row r="312" spans="1:2" x14ac:dyDescent="0.25">
      <c r="A312" t="s">
        <v>6</v>
      </c>
      <c r="B312">
        <v>32</v>
      </c>
    </row>
    <row r="313" spans="1:2" x14ac:dyDescent="0.25">
      <c r="A313" t="s">
        <v>7</v>
      </c>
      <c r="B313">
        <v>32</v>
      </c>
    </row>
    <row r="314" spans="1:2" x14ac:dyDescent="0.25">
      <c r="A314" t="s">
        <v>8</v>
      </c>
      <c r="B314">
        <v>32</v>
      </c>
    </row>
    <row r="315" spans="1:2" x14ac:dyDescent="0.25">
      <c r="A315" t="s">
        <v>768</v>
      </c>
      <c r="B315">
        <v>32</v>
      </c>
    </row>
    <row r="316" spans="1:2" x14ac:dyDescent="0.25">
      <c r="A316" t="s">
        <v>9</v>
      </c>
      <c r="B316">
        <v>32</v>
      </c>
    </row>
    <row r="317" spans="1:2" x14ac:dyDescent="0.25">
      <c r="A317" t="s">
        <v>10</v>
      </c>
      <c r="B317">
        <v>32</v>
      </c>
    </row>
    <row r="318" spans="1:2" x14ac:dyDescent="0.25">
      <c r="A318" t="s">
        <v>11</v>
      </c>
      <c r="B318">
        <v>32</v>
      </c>
    </row>
    <row r="319" spans="1:2" x14ac:dyDescent="0.25">
      <c r="A319" t="s">
        <v>12</v>
      </c>
      <c r="B319">
        <v>32</v>
      </c>
    </row>
    <row r="320" spans="1:2" x14ac:dyDescent="0.25">
      <c r="A320" t="s">
        <v>13</v>
      </c>
      <c r="B320">
        <v>32</v>
      </c>
    </row>
    <row r="321" spans="1:2" x14ac:dyDescent="0.25">
      <c r="A321" t="s">
        <v>14</v>
      </c>
      <c r="B321">
        <v>32</v>
      </c>
    </row>
    <row r="322" spans="1:2" x14ac:dyDescent="0.25">
      <c r="A322" t="s">
        <v>6</v>
      </c>
      <c r="B322">
        <v>33</v>
      </c>
    </row>
    <row r="323" spans="1:2" x14ac:dyDescent="0.25">
      <c r="A323" t="s">
        <v>7</v>
      </c>
      <c r="B323">
        <v>33</v>
      </c>
    </row>
    <row r="324" spans="1:2" x14ac:dyDescent="0.25">
      <c r="A324" t="s">
        <v>8</v>
      </c>
      <c r="B324">
        <v>33</v>
      </c>
    </row>
    <row r="325" spans="1:2" x14ac:dyDescent="0.25">
      <c r="A325" t="s">
        <v>768</v>
      </c>
      <c r="B325">
        <v>33</v>
      </c>
    </row>
    <row r="326" spans="1:2" x14ac:dyDescent="0.25">
      <c r="A326" t="s">
        <v>9</v>
      </c>
      <c r="B326">
        <v>33</v>
      </c>
    </row>
    <row r="327" spans="1:2" x14ac:dyDescent="0.25">
      <c r="A327" t="s">
        <v>10</v>
      </c>
      <c r="B327">
        <v>33</v>
      </c>
    </row>
    <row r="328" spans="1:2" x14ac:dyDescent="0.25">
      <c r="A328" t="s">
        <v>11</v>
      </c>
      <c r="B328">
        <v>33</v>
      </c>
    </row>
    <row r="329" spans="1:2" x14ac:dyDescent="0.25">
      <c r="A329" t="s">
        <v>12</v>
      </c>
      <c r="B329">
        <v>33</v>
      </c>
    </row>
    <row r="330" spans="1:2" x14ac:dyDescent="0.25">
      <c r="A330" t="s">
        <v>13</v>
      </c>
      <c r="B330">
        <v>33</v>
      </c>
    </row>
    <row r="331" spans="1:2" x14ac:dyDescent="0.25">
      <c r="A331" t="s">
        <v>14</v>
      </c>
      <c r="B331">
        <v>33</v>
      </c>
    </row>
    <row r="332" spans="1:2" x14ac:dyDescent="0.25">
      <c r="A332" t="s">
        <v>6</v>
      </c>
      <c r="B332">
        <v>34</v>
      </c>
    </row>
    <row r="333" spans="1:2" x14ac:dyDescent="0.25">
      <c r="A333" t="s">
        <v>7</v>
      </c>
      <c r="B333">
        <v>34</v>
      </c>
    </row>
    <row r="334" spans="1:2" x14ac:dyDescent="0.25">
      <c r="A334" t="s">
        <v>8</v>
      </c>
      <c r="B334">
        <v>34</v>
      </c>
    </row>
    <row r="335" spans="1:2" x14ac:dyDescent="0.25">
      <c r="A335" t="s">
        <v>768</v>
      </c>
      <c r="B335">
        <v>34</v>
      </c>
    </row>
    <row r="336" spans="1:2" x14ac:dyDescent="0.25">
      <c r="A336" t="s">
        <v>9</v>
      </c>
      <c r="B336">
        <v>34</v>
      </c>
    </row>
    <row r="337" spans="1:2" x14ac:dyDescent="0.25">
      <c r="A337" t="s">
        <v>10</v>
      </c>
      <c r="B337">
        <v>34</v>
      </c>
    </row>
    <row r="338" spans="1:2" x14ac:dyDescent="0.25">
      <c r="A338" t="s">
        <v>11</v>
      </c>
      <c r="B338">
        <v>34</v>
      </c>
    </row>
    <row r="339" spans="1:2" x14ac:dyDescent="0.25">
      <c r="A339" t="s">
        <v>12</v>
      </c>
      <c r="B339">
        <v>34</v>
      </c>
    </row>
    <row r="340" spans="1:2" x14ac:dyDescent="0.25">
      <c r="A340" t="s">
        <v>13</v>
      </c>
      <c r="B340">
        <v>34</v>
      </c>
    </row>
    <row r="341" spans="1:2" x14ac:dyDescent="0.25">
      <c r="A341" t="s">
        <v>14</v>
      </c>
      <c r="B341">
        <v>34</v>
      </c>
    </row>
    <row r="342" spans="1:2" x14ac:dyDescent="0.25">
      <c r="A342" t="s">
        <v>6</v>
      </c>
      <c r="B342">
        <v>35</v>
      </c>
    </row>
    <row r="343" spans="1:2" x14ac:dyDescent="0.25">
      <c r="A343" t="s">
        <v>7</v>
      </c>
      <c r="B343">
        <v>35</v>
      </c>
    </row>
    <row r="344" spans="1:2" x14ac:dyDescent="0.25">
      <c r="A344" t="s">
        <v>8</v>
      </c>
      <c r="B344">
        <v>35</v>
      </c>
    </row>
    <row r="345" spans="1:2" x14ac:dyDescent="0.25">
      <c r="A345" t="s">
        <v>768</v>
      </c>
      <c r="B345">
        <v>35</v>
      </c>
    </row>
    <row r="346" spans="1:2" x14ac:dyDescent="0.25">
      <c r="A346" t="s">
        <v>9</v>
      </c>
      <c r="B346">
        <v>35</v>
      </c>
    </row>
    <row r="347" spans="1:2" x14ac:dyDescent="0.25">
      <c r="A347" t="s">
        <v>10</v>
      </c>
      <c r="B347">
        <v>35</v>
      </c>
    </row>
    <row r="348" spans="1:2" x14ac:dyDescent="0.25">
      <c r="A348" t="s">
        <v>11</v>
      </c>
      <c r="B348">
        <v>35</v>
      </c>
    </row>
    <row r="349" spans="1:2" x14ac:dyDescent="0.25">
      <c r="A349" t="s">
        <v>12</v>
      </c>
      <c r="B349">
        <v>35</v>
      </c>
    </row>
    <row r="350" spans="1:2" x14ac:dyDescent="0.25">
      <c r="A350" t="s">
        <v>13</v>
      </c>
      <c r="B350">
        <v>35</v>
      </c>
    </row>
    <row r="351" spans="1:2" x14ac:dyDescent="0.25">
      <c r="A351" t="s">
        <v>14</v>
      </c>
      <c r="B351">
        <v>35</v>
      </c>
    </row>
    <row r="352" spans="1:2" x14ac:dyDescent="0.25">
      <c r="A352" t="s">
        <v>6</v>
      </c>
      <c r="B352">
        <v>36</v>
      </c>
    </row>
    <row r="353" spans="1:2" x14ac:dyDescent="0.25">
      <c r="A353" t="s">
        <v>7</v>
      </c>
      <c r="B353">
        <v>36</v>
      </c>
    </row>
    <row r="354" spans="1:2" x14ac:dyDescent="0.25">
      <c r="A354" t="s">
        <v>8</v>
      </c>
      <c r="B354">
        <v>36</v>
      </c>
    </row>
    <row r="355" spans="1:2" x14ac:dyDescent="0.25">
      <c r="A355" t="s">
        <v>768</v>
      </c>
      <c r="B355">
        <v>36</v>
      </c>
    </row>
    <row r="356" spans="1:2" x14ac:dyDescent="0.25">
      <c r="A356" t="s">
        <v>9</v>
      </c>
      <c r="B356">
        <v>36</v>
      </c>
    </row>
    <row r="357" spans="1:2" x14ac:dyDescent="0.25">
      <c r="A357" t="s">
        <v>10</v>
      </c>
      <c r="B357">
        <v>36</v>
      </c>
    </row>
    <row r="358" spans="1:2" x14ac:dyDescent="0.25">
      <c r="A358" t="s">
        <v>11</v>
      </c>
      <c r="B358">
        <v>36</v>
      </c>
    </row>
    <row r="359" spans="1:2" x14ac:dyDescent="0.25">
      <c r="A359" t="s">
        <v>12</v>
      </c>
      <c r="B359">
        <v>36</v>
      </c>
    </row>
    <row r="360" spans="1:2" x14ac:dyDescent="0.25">
      <c r="A360" t="s">
        <v>13</v>
      </c>
      <c r="B360">
        <v>36</v>
      </c>
    </row>
    <row r="361" spans="1:2" x14ac:dyDescent="0.25">
      <c r="A361" t="s">
        <v>14</v>
      </c>
      <c r="B361">
        <v>36</v>
      </c>
    </row>
    <row r="362" spans="1:2" x14ac:dyDescent="0.25">
      <c r="A362" t="s">
        <v>6</v>
      </c>
      <c r="B362">
        <v>37</v>
      </c>
    </row>
    <row r="363" spans="1:2" x14ac:dyDescent="0.25">
      <c r="A363" t="s">
        <v>7</v>
      </c>
      <c r="B363">
        <v>37</v>
      </c>
    </row>
    <row r="364" spans="1:2" x14ac:dyDescent="0.25">
      <c r="A364" t="s">
        <v>8</v>
      </c>
      <c r="B364">
        <v>37</v>
      </c>
    </row>
    <row r="365" spans="1:2" x14ac:dyDescent="0.25">
      <c r="A365" t="s">
        <v>768</v>
      </c>
      <c r="B365">
        <v>37</v>
      </c>
    </row>
    <row r="366" spans="1:2" x14ac:dyDescent="0.25">
      <c r="A366" t="s">
        <v>9</v>
      </c>
      <c r="B366">
        <v>37</v>
      </c>
    </row>
    <row r="367" spans="1:2" x14ac:dyDescent="0.25">
      <c r="A367" t="s">
        <v>10</v>
      </c>
      <c r="B367">
        <v>37</v>
      </c>
    </row>
    <row r="368" spans="1:2" x14ac:dyDescent="0.25">
      <c r="A368" t="s">
        <v>11</v>
      </c>
      <c r="B368">
        <v>37</v>
      </c>
    </row>
    <row r="369" spans="1:2" x14ac:dyDescent="0.25">
      <c r="A369" t="s">
        <v>12</v>
      </c>
      <c r="B369">
        <v>37</v>
      </c>
    </row>
    <row r="370" spans="1:2" x14ac:dyDescent="0.25">
      <c r="A370" t="s">
        <v>13</v>
      </c>
      <c r="B370">
        <v>37</v>
      </c>
    </row>
    <row r="371" spans="1:2" x14ac:dyDescent="0.25">
      <c r="A371" t="s">
        <v>14</v>
      </c>
      <c r="B371">
        <v>37</v>
      </c>
    </row>
    <row r="372" spans="1:2" x14ac:dyDescent="0.25">
      <c r="A372" t="s">
        <v>6</v>
      </c>
      <c r="B372">
        <v>38</v>
      </c>
    </row>
    <row r="373" spans="1:2" x14ac:dyDescent="0.25">
      <c r="A373" t="s">
        <v>7</v>
      </c>
      <c r="B373">
        <v>38</v>
      </c>
    </row>
    <row r="374" spans="1:2" x14ac:dyDescent="0.25">
      <c r="A374" t="s">
        <v>8</v>
      </c>
      <c r="B374">
        <v>38</v>
      </c>
    </row>
    <row r="375" spans="1:2" x14ac:dyDescent="0.25">
      <c r="A375" t="s">
        <v>768</v>
      </c>
      <c r="B375">
        <v>38</v>
      </c>
    </row>
    <row r="376" spans="1:2" x14ac:dyDescent="0.25">
      <c r="A376" t="s">
        <v>9</v>
      </c>
      <c r="B376">
        <v>38</v>
      </c>
    </row>
    <row r="377" spans="1:2" x14ac:dyDescent="0.25">
      <c r="A377" t="s">
        <v>10</v>
      </c>
      <c r="B377">
        <v>38</v>
      </c>
    </row>
    <row r="378" spans="1:2" x14ac:dyDescent="0.25">
      <c r="A378" t="s">
        <v>11</v>
      </c>
      <c r="B378">
        <v>38</v>
      </c>
    </row>
    <row r="379" spans="1:2" x14ac:dyDescent="0.25">
      <c r="A379" t="s">
        <v>12</v>
      </c>
      <c r="B379">
        <v>38</v>
      </c>
    </row>
    <row r="380" spans="1:2" x14ac:dyDescent="0.25">
      <c r="A380" t="s">
        <v>13</v>
      </c>
      <c r="B380">
        <v>38</v>
      </c>
    </row>
    <row r="381" spans="1:2" x14ac:dyDescent="0.25">
      <c r="A381" t="s">
        <v>14</v>
      </c>
      <c r="B381">
        <v>38</v>
      </c>
    </row>
  </sheetData>
  <autoFilter ref="A1:E381" xr:uid="{B745F20F-B9ED-450A-9539-721F561DD180}">
    <sortState xmlns:xlrd2="http://schemas.microsoft.com/office/spreadsheetml/2017/richdata2" ref="A2:E381">
      <sortCondition ref="C1:C381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5BDD4-B676-4098-97A4-5938950D939C}">
  <dimension ref="A1:J1321"/>
  <sheetViews>
    <sheetView topLeftCell="A1295" workbookViewId="0">
      <selection activeCell="G1322" sqref="G1322"/>
    </sheetView>
  </sheetViews>
  <sheetFormatPr baseColWidth="10" defaultRowHeight="15" x14ac:dyDescent="0.25"/>
  <cols>
    <col min="2" max="2" width="11.42578125" style="1"/>
    <col min="3" max="3" width="21.7109375" bestFit="1" customWidth="1"/>
    <col min="6" max="6" width="13.85546875" customWidth="1"/>
    <col min="8" max="8" width="11.42578125" style="2"/>
    <col min="9" max="9" width="11.85546875" customWidth="1"/>
    <col min="10" max="10" width="17.5703125" bestFit="1" customWidth="1"/>
  </cols>
  <sheetData>
    <row r="1" spans="1:10" x14ac:dyDescent="0.25">
      <c r="A1" t="s">
        <v>242</v>
      </c>
      <c r="B1" s="1" t="s">
        <v>29</v>
      </c>
      <c r="C1" t="s">
        <v>0</v>
      </c>
      <c r="D1" t="s">
        <v>25</v>
      </c>
      <c r="E1" t="s">
        <v>75</v>
      </c>
      <c r="F1" t="s">
        <v>759</v>
      </c>
      <c r="G1" t="s">
        <v>243</v>
      </c>
      <c r="H1" s="2" t="s">
        <v>244</v>
      </c>
      <c r="I1" t="s">
        <v>760</v>
      </c>
      <c r="J1" t="s">
        <v>757</v>
      </c>
    </row>
    <row r="2" spans="1:10" hidden="1" x14ac:dyDescent="0.25">
      <c r="A2">
        <v>1</v>
      </c>
      <c r="B2" s="1">
        <v>45884</v>
      </c>
      <c r="C2" t="s">
        <v>10</v>
      </c>
      <c r="D2" t="s">
        <v>137</v>
      </c>
      <c r="E2" t="s">
        <v>77</v>
      </c>
      <c r="F2" t="s">
        <v>485</v>
      </c>
      <c r="G2">
        <v>5</v>
      </c>
      <c r="H2" s="2">
        <v>500000</v>
      </c>
      <c r="I2">
        <v>1</v>
      </c>
      <c r="J2" t="s">
        <v>137</v>
      </c>
    </row>
    <row r="3" spans="1:10" hidden="1" x14ac:dyDescent="0.25">
      <c r="A3">
        <v>1</v>
      </c>
      <c r="B3" s="1">
        <v>45884</v>
      </c>
      <c r="C3" t="s">
        <v>10</v>
      </c>
      <c r="D3" t="s">
        <v>233</v>
      </c>
      <c r="E3" t="s">
        <v>219</v>
      </c>
      <c r="F3" t="s">
        <v>458</v>
      </c>
      <c r="G3">
        <v>7</v>
      </c>
      <c r="H3" s="2">
        <v>700000</v>
      </c>
      <c r="I3">
        <v>2</v>
      </c>
      <c r="J3" t="s">
        <v>233</v>
      </c>
    </row>
    <row r="4" spans="1:10" hidden="1" x14ac:dyDescent="0.25">
      <c r="A4">
        <v>1</v>
      </c>
      <c r="B4" s="1">
        <v>45884</v>
      </c>
      <c r="C4" t="s">
        <v>10</v>
      </c>
      <c r="D4" t="s">
        <v>224</v>
      </c>
      <c r="E4" t="s">
        <v>219</v>
      </c>
      <c r="F4" t="s">
        <v>447</v>
      </c>
      <c r="G4">
        <v>7</v>
      </c>
      <c r="H4" s="2">
        <v>700000</v>
      </c>
      <c r="I4">
        <v>2</v>
      </c>
      <c r="J4" t="s">
        <v>367</v>
      </c>
    </row>
    <row r="5" spans="1:10" hidden="1" x14ac:dyDescent="0.25">
      <c r="A5">
        <v>1</v>
      </c>
      <c r="B5" s="1">
        <v>45884</v>
      </c>
      <c r="C5" t="s">
        <v>10</v>
      </c>
      <c r="D5" t="s">
        <v>139</v>
      </c>
      <c r="E5" t="s">
        <v>219</v>
      </c>
      <c r="F5" t="s">
        <v>458</v>
      </c>
      <c r="G5">
        <v>6</v>
      </c>
      <c r="H5" s="2">
        <v>600000</v>
      </c>
      <c r="I5">
        <v>2</v>
      </c>
      <c r="J5" t="s">
        <v>371</v>
      </c>
    </row>
    <row r="6" spans="1:10" hidden="1" x14ac:dyDescent="0.25">
      <c r="A6">
        <v>1</v>
      </c>
      <c r="B6" s="1">
        <v>45884</v>
      </c>
      <c r="C6" t="s">
        <v>10</v>
      </c>
      <c r="D6" t="s">
        <v>140</v>
      </c>
      <c r="E6" t="s">
        <v>219</v>
      </c>
      <c r="F6" t="s">
        <v>455</v>
      </c>
      <c r="G6">
        <v>1</v>
      </c>
      <c r="H6" s="2">
        <v>100000</v>
      </c>
      <c r="I6">
        <v>2</v>
      </c>
      <c r="J6" t="s">
        <v>368</v>
      </c>
    </row>
    <row r="7" spans="1:10" hidden="1" x14ac:dyDescent="0.25">
      <c r="A7">
        <v>1</v>
      </c>
      <c r="B7" s="1">
        <v>45884</v>
      </c>
      <c r="C7" t="s">
        <v>10</v>
      </c>
      <c r="D7" t="s">
        <v>69</v>
      </c>
      <c r="E7" t="s">
        <v>219</v>
      </c>
      <c r="F7" t="s">
        <v>464</v>
      </c>
      <c r="G7">
        <v>1</v>
      </c>
      <c r="H7" s="2">
        <v>100000</v>
      </c>
      <c r="I7">
        <v>2</v>
      </c>
      <c r="J7" t="s">
        <v>69</v>
      </c>
    </row>
    <row r="8" spans="1:10" hidden="1" x14ac:dyDescent="0.25">
      <c r="A8">
        <v>1</v>
      </c>
      <c r="B8" s="1">
        <v>45884</v>
      </c>
      <c r="C8" t="s">
        <v>10</v>
      </c>
      <c r="D8" t="s">
        <v>286</v>
      </c>
      <c r="E8" t="s">
        <v>459</v>
      </c>
      <c r="F8" t="s">
        <v>472</v>
      </c>
      <c r="G8">
        <v>3</v>
      </c>
      <c r="H8" s="2">
        <v>300000</v>
      </c>
      <c r="I8">
        <v>3</v>
      </c>
      <c r="J8" t="s">
        <v>365</v>
      </c>
    </row>
    <row r="9" spans="1:10" hidden="1" x14ac:dyDescent="0.25">
      <c r="A9">
        <v>1</v>
      </c>
      <c r="B9" s="1">
        <v>45884</v>
      </c>
      <c r="C9" t="s">
        <v>10</v>
      </c>
      <c r="D9" t="s">
        <v>144</v>
      </c>
      <c r="E9" t="s">
        <v>459</v>
      </c>
      <c r="F9" t="s">
        <v>453</v>
      </c>
      <c r="G9">
        <v>3</v>
      </c>
      <c r="H9" s="2">
        <v>300000</v>
      </c>
      <c r="I9">
        <v>3</v>
      </c>
      <c r="J9" t="s">
        <v>144</v>
      </c>
    </row>
    <row r="10" spans="1:10" hidden="1" x14ac:dyDescent="0.25">
      <c r="A10">
        <v>1</v>
      </c>
      <c r="B10" s="1">
        <v>45884</v>
      </c>
      <c r="C10" t="s">
        <v>10</v>
      </c>
      <c r="D10" t="s">
        <v>45</v>
      </c>
      <c r="E10" t="s">
        <v>459</v>
      </c>
      <c r="F10" t="s">
        <v>474</v>
      </c>
      <c r="G10">
        <v>15</v>
      </c>
      <c r="H10" s="2">
        <v>1500000</v>
      </c>
      <c r="I10">
        <v>3</v>
      </c>
      <c r="J10" t="s">
        <v>396</v>
      </c>
    </row>
    <row r="11" spans="1:10" hidden="1" x14ac:dyDescent="0.25">
      <c r="A11">
        <v>1</v>
      </c>
      <c r="B11" s="1">
        <v>45884</v>
      </c>
      <c r="C11" t="s">
        <v>10</v>
      </c>
      <c r="D11" t="s">
        <v>142</v>
      </c>
      <c r="E11" t="s">
        <v>459</v>
      </c>
      <c r="F11" t="s">
        <v>455</v>
      </c>
      <c r="G11">
        <v>0</v>
      </c>
      <c r="H11" s="2">
        <v>0</v>
      </c>
      <c r="I11">
        <v>3</v>
      </c>
      <c r="J11" t="s">
        <v>357</v>
      </c>
    </row>
    <row r="12" spans="1:10" hidden="1" x14ac:dyDescent="0.25">
      <c r="A12">
        <v>1</v>
      </c>
      <c r="B12" s="1">
        <v>45884</v>
      </c>
      <c r="C12" t="s">
        <v>10</v>
      </c>
      <c r="D12" t="s">
        <v>148</v>
      </c>
      <c r="E12" t="s">
        <v>89</v>
      </c>
      <c r="F12" t="s">
        <v>474</v>
      </c>
      <c r="G12">
        <v>6</v>
      </c>
      <c r="H12" s="2">
        <v>600000</v>
      </c>
      <c r="I12">
        <v>4</v>
      </c>
      <c r="J12" t="s">
        <v>148</v>
      </c>
    </row>
    <row r="13" spans="1:10" hidden="1" x14ac:dyDescent="0.25">
      <c r="A13">
        <v>1</v>
      </c>
      <c r="B13" s="1">
        <v>45884</v>
      </c>
      <c r="C13" t="s">
        <v>14</v>
      </c>
      <c r="D13" t="s">
        <v>229</v>
      </c>
      <c r="E13" t="s">
        <v>77</v>
      </c>
      <c r="F13" t="s">
        <v>480</v>
      </c>
      <c r="G13">
        <v>3</v>
      </c>
      <c r="H13" s="2">
        <v>300000</v>
      </c>
      <c r="I13">
        <v>1</v>
      </c>
      <c r="J13" t="s">
        <v>738</v>
      </c>
    </row>
    <row r="14" spans="1:10" hidden="1" x14ac:dyDescent="0.25">
      <c r="A14">
        <v>1</v>
      </c>
      <c r="B14" s="1">
        <v>45884</v>
      </c>
      <c r="C14" t="s">
        <v>14</v>
      </c>
      <c r="D14" t="s">
        <v>182</v>
      </c>
      <c r="E14" t="s">
        <v>219</v>
      </c>
      <c r="F14" t="s">
        <v>474</v>
      </c>
      <c r="G14">
        <v>9</v>
      </c>
      <c r="H14" s="2">
        <v>900000</v>
      </c>
      <c r="I14">
        <v>2</v>
      </c>
      <c r="J14" t="s">
        <v>711</v>
      </c>
    </row>
    <row r="15" spans="1:10" hidden="1" x14ac:dyDescent="0.25">
      <c r="A15">
        <v>1</v>
      </c>
      <c r="B15" s="1">
        <v>45884</v>
      </c>
      <c r="C15" t="s">
        <v>14</v>
      </c>
      <c r="D15" t="s">
        <v>180</v>
      </c>
      <c r="E15" t="s">
        <v>219</v>
      </c>
      <c r="F15" t="s">
        <v>465</v>
      </c>
      <c r="G15">
        <v>3</v>
      </c>
      <c r="H15" s="2">
        <v>300000</v>
      </c>
      <c r="I15">
        <v>2</v>
      </c>
      <c r="J15" t="s">
        <v>394</v>
      </c>
    </row>
    <row r="16" spans="1:10" hidden="1" x14ac:dyDescent="0.25">
      <c r="A16">
        <v>1</v>
      </c>
      <c r="B16" s="1">
        <v>45884</v>
      </c>
      <c r="C16" t="s">
        <v>14</v>
      </c>
      <c r="D16" t="s">
        <v>181</v>
      </c>
      <c r="E16" t="s">
        <v>219</v>
      </c>
      <c r="F16" t="s">
        <v>498</v>
      </c>
      <c r="G16">
        <v>2</v>
      </c>
      <c r="H16" s="2">
        <v>200000</v>
      </c>
      <c r="I16">
        <v>2</v>
      </c>
      <c r="J16" t="s">
        <v>406</v>
      </c>
    </row>
    <row r="17" spans="1:10" hidden="1" x14ac:dyDescent="0.25">
      <c r="A17">
        <v>1</v>
      </c>
      <c r="B17" s="1">
        <v>45884</v>
      </c>
      <c r="C17" t="s">
        <v>14</v>
      </c>
      <c r="D17" t="s">
        <v>184</v>
      </c>
      <c r="E17" t="s">
        <v>459</v>
      </c>
      <c r="F17" t="s">
        <v>447</v>
      </c>
      <c r="G17">
        <v>2</v>
      </c>
      <c r="H17" s="2">
        <v>200000</v>
      </c>
      <c r="I17">
        <v>3</v>
      </c>
      <c r="J17" t="s">
        <v>391</v>
      </c>
    </row>
    <row r="18" spans="1:10" hidden="1" x14ac:dyDescent="0.25">
      <c r="A18">
        <v>1</v>
      </c>
      <c r="B18" s="1">
        <v>45884</v>
      </c>
      <c r="C18" t="s">
        <v>14</v>
      </c>
      <c r="D18" t="s">
        <v>231</v>
      </c>
      <c r="E18" t="s">
        <v>459</v>
      </c>
      <c r="F18" t="s">
        <v>464</v>
      </c>
      <c r="G18">
        <v>5</v>
      </c>
      <c r="H18" s="2">
        <v>500000</v>
      </c>
      <c r="I18">
        <v>3</v>
      </c>
      <c r="J18" t="s">
        <v>414</v>
      </c>
    </row>
    <row r="19" spans="1:10" hidden="1" x14ac:dyDescent="0.25">
      <c r="A19">
        <v>1</v>
      </c>
      <c r="B19" s="1">
        <v>45884</v>
      </c>
      <c r="C19" t="s">
        <v>14</v>
      </c>
      <c r="D19" t="s">
        <v>37</v>
      </c>
      <c r="E19" t="s">
        <v>459</v>
      </c>
      <c r="F19" t="s">
        <v>472</v>
      </c>
      <c r="G19">
        <v>3</v>
      </c>
      <c r="H19" s="2">
        <v>300000</v>
      </c>
      <c r="I19">
        <v>3</v>
      </c>
      <c r="J19" t="s">
        <v>703</v>
      </c>
    </row>
    <row r="20" spans="1:10" hidden="1" x14ac:dyDescent="0.25">
      <c r="A20">
        <v>1</v>
      </c>
      <c r="B20" s="1">
        <v>45884</v>
      </c>
      <c r="C20" t="s">
        <v>14</v>
      </c>
      <c r="D20" t="s">
        <v>185</v>
      </c>
      <c r="E20" t="s">
        <v>459</v>
      </c>
      <c r="F20" t="s">
        <v>469</v>
      </c>
      <c r="G20">
        <v>0</v>
      </c>
      <c r="H20" s="2">
        <v>0</v>
      </c>
      <c r="I20">
        <v>3</v>
      </c>
      <c r="J20" t="s">
        <v>185</v>
      </c>
    </row>
    <row r="21" spans="1:10" hidden="1" x14ac:dyDescent="0.25">
      <c r="A21">
        <v>1</v>
      </c>
      <c r="B21" s="1">
        <v>45884</v>
      </c>
      <c r="C21" t="s">
        <v>14</v>
      </c>
      <c r="D21" t="s">
        <v>186</v>
      </c>
      <c r="E21" t="s">
        <v>89</v>
      </c>
      <c r="F21" t="s">
        <v>480</v>
      </c>
      <c r="G21">
        <v>5</v>
      </c>
      <c r="H21" s="2">
        <v>500000</v>
      </c>
      <c r="I21">
        <v>4</v>
      </c>
      <c r="J21" t="s">
        <v>186</v>
      </c>
    </row>
    <row r="22" spans="1:10" hidden="1" x14ac:dyDescent="0.25">
      <c r="A22">
        <v>1</v>
      </c>
      <c r="B22" s="1">
        <v>45884</v>
      </c>
      <c r="C22" t="s">
        <v>14</v>
      </c>
      <c r="D22" t="s">
        <v>195</v>
      </c>
      <c r="E22" t="s">
        <v>89</v>
      </c>
      <c r="F22" t="s">
        <v>472</v>
      </c>
      <c r="G22">
        <v>1</v>
      </c>
      <c r="H22" s="2">
        <v>100000</v>
      </c>
      <c r="I22">
        <v>4</v>
      </c>
      <c r="J22" t="s">
        <v>195</v>
      </c>
    </row>
    <row r="23" spans="1:10" hidden="1" x14ac:dyDescent="0.25">
      <c r="A23">
        <v>1</v>
      </c>
      <c r="B23" s="1">
        <v>45884</v>
      </c>
      <c r="C23" t="s">
        <v>14</v>
      </c>
      <c r="D23" t="s">
        <v>311</v>
      </c>
      <c r="E23" t="s">
        <v>89</v>
      </c>
      <c r="F23" t="s">
        <v>485</v>
      </c>
      <c r="G23">
        <v>3</v>
      </c>
      <c r="H23" s="2">
        <v>300000</v>
      </c>
      <c r="I23">
        <v>4</v>
      </c>
      <c r="J23" t="s">
        <v>377</v>
      </c>
    </row>
    <row r="24" spans="1:10" hidden="1" x14ac:dyDescent="0.25">
      <c r="A24">
        <v>1</v>
      </c>
      <c r="B24" s="1">
        <v>45884</v>
      </c>
      <c r="C24" t="s">
        <v>768</v>
      </c>
      <c r="D24" t="s">
        <v>113</v>
      </c>
      <c r="E24" t="s">
        <v>77</v>
      </c>
      <c r="F24" t="s">
        <v>514</v>
      </c>
      <c r="G24">
        <v>5</v>
      </c>
      <c r="H24" s="2">
        <v>500000</v>
      </c>
      <c r="I24">
        <v>1</v>
      </c>
      <c r="J24" t="s">
        <v>349</v>
      </c>
    </row>
    <row r="25" spans="1:10" hidden="1" x14ac:dyDescent="0.25">
      <c r="A25">
        <v>1</v>
      </c>
      <c r="B25" s="1">
        <v>45884</v>
      </c>
      <c r="C25" t="s">
        <v>768</v>
      </c>
      <c r="D25" t="s">
        <v>34</v>
      </c>
      <c r="E25" t="s">
        <v>219</v>
      </c>
      <c r="F25" t="s">
        <v>480</v>
      </c>
      <c r="G25">
        <v>0</v>
      </c>
      <c r="H25" s="2">
        <v>0</v>
      </c>
      <c r="I25">
        <v>2</v>
      </c>
      <c r="J25" t="s">
        <v>34</v>
      </c>
    </row>
    <row r="26" spans="1:10" hidden="1" x14ac:dyDescent="0.25">
      <c r="A26">
        <v>1</v>
      </c>
      <c r="B26" s="1">
        <v>45884</v>
      </c>
      <c r="C26" t="s">
        <v>768</v>
      </c>
      <c r="D26" t="s">
        <v>115</v>
      </c>
      <c r="E26" t="s">
        <v>219</v>
      </c>
      <c r="F26" t="s">
        <v>472</v>
      </c>
      <c r="G26">
        <v>5</v>
      </c>
      <c r="H26" s="2">
        <v>500000</v>
      </c>
      <c r="I26">
        <v>2</v>
      </c>
      <c r="J26" t="s">
        <v>115</v>
      </c>
    </row>
    <row r="27" spans="1:10" hidden="1" x14ac:dyDescent="0.25">
      <c r="A27">
        <v>1</v>
      </c>
      <c r="B27" s="1">
        <v>45884</v>
      </c>
      <c r="C27" t="s">
        <v>768</v>
      </c>
      <c r="D27" t="s">
        <v>36</v>
      </c>
      <c r="E27" t="s">
        <v>219</v>
      </c>
      <c r="F27" t="s">
        <v>448</v>
      </c>
      <c r="G27">
        <v>7</v>
      </c>
      <c r="H27" s="2">
        <v>700000</v>
      </c>
      <c r="I27">
        <v>2</v>
      </c>
      <c r="J27" t="s">
        <v>379</v>
      </c>
    </row>
    <row r="28" spans="1:10" hidden="1" x14ac:dyDescent="0.25">
      <c r="A28">
        <v>1</v>
      </c>
      <c r="B28" s="1">
        <v>45884</v>
      </c>
      <c r="C28" t="s">
        <v>768</v>
      </c>
      <c r="D28" t="s">
        <v>213</v>
      </c>
      <c r="E28" t="s">
        <v>219</v>
      </c>
      <c r="F28" t="s">
        <v>480</v>
      </c>
      <c r="G28">
        <v>2</v>
      </c>
      <c r="H28" s="2">
        <v>200000</v>
      </c>
      <c r="I28">
        <v>2</v>
      </c>
      <c r="J28" t="s">
        <v>213</v>
      </c>
    </row>
    <row r="29" spans="1:10" hidden="1" x14ac:dyDescent="0.25">
      <c r="A29">
        <v>1</v>
      </c>
      <c r="B29" s="1">
        <v>45884</v>
      </c>
      <c r="C29" t="s">
        <v>768</v>
      </c>
      <c r="D29" t="s">
        <v>114</v>
      </c>
      <c r="E29" t="s">
        <v>219</v>
      </c>
      <c r="F29" t="s">
        <v>469</v>
      </c>
      <c r="G29">
        <v>8</v>
      </c>
      <c r="H29" s="2">
        <v>800000</v>
      </c>
      <c r="I29">
        <v>2</v>
      </c>
      <c r="J29" t="s">
        <v>114</v>
      </c>
    </row>
    <row r="30" spans="1:10" hidden="1" x14ac:dyDescent="0.25">
      <c r="A30">
        <v>1</v>
      </c>
      <c r="B30" s="1">
        <v>45884</v>
      </c>
      <c r="C30" t="s">
        <v>768</v>
      </c>
      <c r="D30" t="s">
        <v>119</v>
      </c>
      <c r="E30" t="s">
        <v>459</v>
      </c>
      <c r="F30" t="s">
        <v>464</v>
      </c>
      <c r="G30">
        <v>17</v>
      </c>
      <c r="H30" s="2">
        <v>1700000</v>
      </c>
      <c r="I30">
        <v>3</v>
      </c>
      <c r="J30" t="s">
        <v>119</v>
      </c>
    </row>
    <row r="31" spans="1:10" hidden="1" x14ac:dyDescent="0.25">
      <c r="A31">
        <v>1</v>
      </c>
      <c r="B31" s="1">
        <v>45884</v>
      </c>
      <c r="C31" t="s">
        <v>768</v>
      </c>
      <c r="D31" t="s">
        <v>120</v>
      </c>
      <c r="E31" t="s">
        <v>459</v>
      </c>
      <c r="F31" t="s">
        <v>451</v>
      </c>
      <c r="G31">
        <v>5</v>
      </c>
      <c r="H31" s="2">
        <v>500000</v>
      </c>
      <c r="I31">
        <v>3</v>
      </c>
      <c r="J31" t="s">
        <v>120</v>
      </c>
    </row>
    <row r="32" spans="1:10" hidden="1" x14ac:dyDescent="0.25">
      <c r="A32">
        <v>1</v>
      </c>
      <c r="B32" s="1">
        <v>45884</v>
      </c>
      <c r="C32" t="s">
        <v>768</v>
      </c>
      <c r="D32" t="s">
        <v>121</v>
      </c>
      <c r="E32" t="s">
        <v>459</v>
      </c>
      <c r="F32" t="s">
        <v>469</v>
      </c>
      <c r="G32">
        <v>0</v>
      </c>
      <c r="H32" s="2">
        <v>0</v>
      </c>
      <c r="I32">
        <v>3</v>
      </c>
      <c r="J32" t="s">
        <v>121</v>
      </c>
    </row>
    <row r="33" spans="1:10" hidden="1" x14ac:dyDescent="0.25">
      <c r="A33">
        <v>1</v>
      </c>
      <c r="B33" s="1">
        <v>45884</v>
      </c>
      <c r="C33" t="s">
        <v>768</v>
      </c>
      <c r="D33" t="s">
        <v>123</v>
      </c>
      <c r="E33" t="s">
        <v>89</v>
      </c>
      <c r="F33" t="s">
        <v>464</v>
      </c>
      <c r="G33">
        <v>13</v>
      </c>
      <c r="H33" s="2">
        <v>1300000</v>
      </c>
      <c r="I33">
        <v>4</v>
      </c>
      <c r="J33" t="s">
        <v>123</v>
      </c>
    </row>
    <row r="34" spans="1:10" hidden="1" x14ac:dyDescent="0.25">
      <c r="A34">
        <v>1</v>
      </c>
      <c r="B34" s="1">
        <v>45884</v>
      </c>
      <c r="C34" t="s">
        <v>768</v>
      </c>
      <c r="D34" t="s">
        <v>122</v>
      </c>
      <c r="E34" t="s">
        <v>89</v>
      </c>
      <c r="F34" t="s">
        <v>474</v>
      </c>
      <c r="G34">
        <v>6</v>
      </c>
      <c r="H34" s="2">
        <v>600000</v>
      </c>
      <c r="I34">
        <v>4</v>
      </c>
      <c r="J34" t="s">
        <v>122</v>
      </c>
    </row>
    <row r="35" spans="1:10" hidden="1" x14ac:dyDescent="0.25">
      <c r="A35">
        <v>1</v>
      </c>
      <c r="B35" s="1">
        <v>45884</v>
      </c>
      <c r="C35" t="s">
        <v>11</v>
      </c>
      <c r="D35" t="s">
        <v>149</v>
      </c>
      <c r="E35" t="s">
        <v>77</v>
      </c>
      <c r="F35" t="s">
        <v>461</v>
      </c>
      <c r="G35">
        <v>1</v>
      </c>
      <c r="H35" s="2">
        <v>100000</v>
      </c>
      <c r="I35">
        <v>1</v>
      </c>
      <c r="J35" t="s">
        <v>149</v>
      </c>
    </row>
    <row r="36" spans="1:10" hidden="1" x14ac:dyDescent="0.25">
      <c r="A36">
        <v>1</v>
      </c>
      <c r="B36" s="1">
        <v>45884</v>
      </c>
      <c r="C36" t="s">
        <v>11</v>
      </c>
      <c r="D36" t="s">
        <v>150</v>
      </c>
      <c r="E36" t="s">
        <v>219</v>
      </c>
      <c r="F36" t="s">
        <v>451</v>
      </c>
      <c r="G36">
        <v>6</v>
      </c>
      <c r="H36" s="2">
        <v>600000</v>
      </c>
      <c r="I36">
        <v>2</v>
      </c>
      <c r="J36" t="s">
        <v>150</v>
      </c>
    </row>
    <row r="37" spans="1:10" hidden="1" x14ac:dyDescent="0.25">
      <c r="A37">
        <v>1</v>
      </c>
      <c r="B37" s="1">
        <v>45884</v>
      </c>
      <c r="C37" t="s">
        <v>11</v>
      </c>
      <c r="D37" t="s">
        <v>208</v>
      </c>
      <c r="E37" t="s">
        <v>219</v>
      </c>
      <c r="F37" t="s">
        <v>451</v>
      </c>
      <c r="G37">
        <v>5</v>
      </c>
      <c r="H37" s="2">
        <v>500000</v>
      </c>
      <c r="I37">
        <v>2</v>
      </c>
      <c r="J37" t="s">
        <v>343</v>
      </c>
    </row>
    <row r="38" spans="1:10" hidden="1" x14ac:dyDescent="0.25">
      <c r="A38">
        <v>1</v>
      </c>
      <c r="B38" s="1">
        <v>45884</v>
      </c>
      <c r="C38" t="s">
        <v>11</v>
      </c>
      <c r="D38" t="s">
        <v>154</v>
      </c>
      <c r="E38" t="s">
        <v>219</v>
      </c>
      <c r="F38" t="s">
        <v>448</v>
      </c>
      <c r="G38">
        <v>0</v>
      </c>
      <c r="H38" s="2">
        <v>0</v>
      </c>
      <c r="I38">
        <v>2</v>
      </c>
      <c r="J38" t="s">
        <v>348</v>
      </c>
    </row>
    <row r="39" spans="1:10" hidden="1" x14ac:dyDescent="0.25">
      <c r="A39">
        <v>1</v>
      </c>
      <c r="B39" s="1">
        <v>45884</v>
      </c>
      <c r="C39" t="s">
        <v>11</v>
      </c>
      <c r="D39" t="s">
        <v>158</v>
      </c>
      <c r="E39" t="s">
        <v>459</v>
      </c>
      <c r="F39" t="s">
        <v>469</v>
      </c>
      <c r="G39">
        <v>8</v>
      </c>
      <c r="H39" s="2">
        <v>800000</v>
      </c>
      <c r="I39">
        <v>3</v>
      </c>
      <c r="J39" t="s">
        <v>374</v>
      </c>
    </row>
    <row r="40" spans="1:10" hidden="1" x14ac:dyDescent="0.25">
      <c r="A40">
        <v>1</v>
      </c>
      <c r="B40" s="1">
        <v>45884</v>
      </c>
      <c r="C40" t="s">
        <v>11</v>
      </c>
      <c r="D40" t="s">
        <v>155</v>
      </c>
      <c r="E40" t="s">
        <v>459</v>
      </c>
      <c r="F40" t="s">
        <v>480</v>
      </c>
      <c r="G40">
        <v>2</v>
      </c>
      <c r="H40" s="2">
        <v>200000</v>
      </c>
      <c r="I40">
        <v>3</v>
      </c>
      <c r="J40" t="s">
        <v>385</v>
      </c>
    </row>
    <row r="41" spans="1:10" hidden="1" x14ac:dyDescent="0.25">
      <c r="A41">
        <v>1</v>
      </c>
      <c r="B41" s="1">
        <v>45884</v>
      </c>
      <c r="C41" t="s">
        <v>11</v>
      </c>
      <c r="D41" t="s">
        <v>326</v>
      </c>
      <c r="E41" t="s">
        <v>459</v>
      </c>
      <c r="F41" t="s">
        <v>456</v>
      </c>
      <c r="G41">
        <v>7</v>
      </c>
      <c r="H41" s="2">
        <v>700000</v>
      </c>
      <c r="I41">
        <v>3</v>
      </c>
      <c r="J41" t="s">
        <v>404</v>
      </c>
    </row>
    <row r="42" spans="1:10" hidden="1" x14ac:dyDescent="0.25">
      <c r="A42">
        <v>1</v>
      </c>
      <c r="B42" s="1">
        <v>45884</v>
      </c>
      <c r="C42" t="s">
        <v>11</v>
      </c>
      <c r="D42" t="s">
        <v>157</v>
      </c>
      <c r="E42" t="s">
        <v>459</v>
      </c>
      <c r="F42" t="s">
        <v>465</v>
      </c>
      <c r="G42">
        <v>5</v>
      </c>
      <c r="H42" s="2">
        <v>500000</v>
      </c>
      <c r="I42">
        <v>3</v>
      </c>
      <c r="J42" t="s">
        <v>157</v>
      </c>
    </row>
    <row r="43" spans="1:10" hidden="1" x14ac:dyDescent="0.25">
      <c r="A43">
        <v>1</v>
      </c>
      <c r="B43" s="1">
        <v>45884</v>
      </c>
      <c r="C43" t="s">
        <v>11</v>
      </c>
      <c r="D43" t="s">
        <v>159</v>
      </c>
      <c r="E43" t="s">
        <v>89</v>
      </c>
      <c r="F43" t="s">
        <v>465</v>
      </c>
      <c r="G43">
        <v>8</v>
      </c>
      <c r="H43" s="2">
        <v>800000</v>
      </c>
      <c r="I43">
        <v>4</v>
      </c>
      <c r="J43" t="s">
        <v>352</v>
      </c>
    </row>
    <row r="44" spans="1:10" hidden="1" x14ac:dyDescent="0.25">
      <c r="A44">
        <v>1</v>
      </c>
      <c r="B44" s="1">
        <v>45884</v>
      </c>
      <c r="C44" t="s">
        <v>11</v>
      </c>
      <c r="D44" t="s">
        <v>161</v>
      </c>
      <c r="E44" t="s">
        <v>89</v>
      </c>
      <c r="F44" t="s">
        <v>447</v>
      </c>
      <c r="G44">
        <v>9</v>
      </c>
      <c r="H44" s="2">
        <v>900000</v>
      </c>
      <c r="I44">
        <v>4</v>
      </c>
      <c r="J44" t="s">
        <v>161</v>
      </c>
    </row>
    <row r="45" spans="1:10" hidden="1" x14ac:dyDescent="0.25">
      <c r="A45">
        <v>1</v>
      </c>
      <c r="B45" s="1">
        <v>45884</v>
      </c>
      <c r="C45" t="s">
        <v>11</v>
      </c>
      <c r="D45" t="s">
        <v>212</v>
      </c>
      <c r="E45" t="s">
        <v>89</v>
      </c>
      <c r="F45" t="s">
        <v>447</v>
      </c>
      <c r="G45">
        <v>9</v>
      </c>
      <c r="H45" s="2">
        <v>900000</v>
      </c>
      <c r="I45">
        <v>4</v>
      </c>
      <c r="J45" t="s">
        <v>212</v>
      </c>
    </row>
    <row r="46" spans="1:10" hidden="1" x14ac:dyDescent="0.25">
      <c r="A46">
        <v>1</v>
      </c>
      <c r="B46" s="1">
        <v>45884</v>
      </c>
      <c r="C46" t="s">
        <v>12</v>
      </c>
      <c r="D46" t="s">
        <v>217</v>
      </c>
      <c r="E46" t="s">
        <v>77</v>
      </c>
      <c r="F46" t="s">
        <v>464</v>
      </c>
      <c r="G46">
        <v>0</v>
      </c>
      <c r="H46" s="2">
        <v>0</v>
      </c>
      <c r="I46">
        <v>1</v>
      </c>
      <c r="J46" t="s">
        <v>539</v>
      </c>
    </row>
    <row r="47" spans="1:10" hidden="1" x14ac:dyDescent="0.25">
      <c r="A47">
        <v>1</v>
      </c>
      <c r="B47" s="1">
        <v>45884</v>
      </c>
      <c r="C47" t="s">
        <v>12</v>
      </c>
      <c r="D47" t="s">
        <v>200</v>
      </c>
      <c r="E47" t="s">
        <v>219</v>
      </c>
      <c r="F47" t="s">
        <v>514</v>
      </c>
      <c r="G47">
        <v>6</v>
      </c>
      <c r="H47" s="2">
        <v>600000</v>
      </c>
      <c r="I47">
        <v>2</v>
      </c>
      <c r="J47" t="s">
        <v>200</v>
      </c>
    </row>
    <row r="48" spans="1:10" hidden="1" x14ac:dyDescent="0.25">
      <c r="A48">
        <v>1</v>
      </c>
      <c r="B48" s="1">
        <v>45884</v>
      </c>
      <c r="C48" t="s">
        <v>12</v>
      </c>
      <c r="D48" t="s">
        <v>234</v>
      </c>
      <c r="E48" t="s">
        <v>219</v>
      </c>
      <c r="F48" t="s">
        <v>474</v>
      </c>
      <c r="G48">
        <v>7</v>
      </c>
      <c r="H48" s="2">
        <v>700000</v>
      </c>
      <c r="I48">
        <v>2</v>
      </c>
      <c r="J48" t="s">
        <v>347</v>
      </c>
    </row>
    <row r="49" spans="1:10" hidden="1" x14ac:dyDescent="0.25">
      <c r="A49">
        <v>1</v>
      </c>
      <c r="B49" s="1">
        <v>45884</v>
      </c>
      <c r="C49" t="s">
        <v>12</v>
      </c>
      <c r="D49" t="s">
        <v>53</v>
      </c>
      <c r="E49" t="s">
        <v>219</v>
      </c>
      <c r="F49" t="s">
        <v>498</v>
      </c>
      <c r="G49">
        <v>0</v>
      </c>
      <c r="H49" s="2">
        <v>0</v>
      </c>
      <c r="I49">
        <v>2</v>
      </c>
      <c r="J49" t="s">
        <v>53</v>
      </c>
    </row>
    <row r="50" spans="1:10" hidden="1" x14ac:dyDescent="0.25">
      <c r="A50">
        <v>1</v>
      </c>
      <c r="B50" s="1">
        <v>45884</v>
      </c>
      <c r="C50" t="s">
        <v>12</v>
      </c>
      <c r="D50" t="s">
        <v>197</v>
      </c>
      <c r="E50" t="s">
        <v>219</v>
      </c>
      <c r="F50" t="s">
        <v>453</v>
      </c>
      <c r="G50">
        <v>2</v>
      </c>
      <c r="H50" s="2">
        <v>200000</v>
      </c>
      <c r="I50">
        <v>2</v>
      </c>
      <c r="J50" t="s">
        <v>197</v>
      </c>
    </row>
    <row r="51" spans="1:10" hidden="1" x14ac:dyDescent="0.25">
      <c r="A51">
        <v>1</v>
      </c>
      <c r="B51" s="1">
        <v>45884</v>
      </c>
      <c r="C51" t="s">
        <v>12</v>
      </c>
      <c r="D51" t="s">
        <v>204</v>
      </c>
      <c r="E51" t="s">
        <v>459</v>
      </c>
      <c r="F51" t="s">
        <v>488</v>
      </c>
      <c r="G51">
        <v>7</v>
      </c>
      <c r="H51" s="2">
        <v>700000</v>
      </c>
      <c r="I51">
        <v>3</v>
      </c>
      <c r="J51" t="s">
        <v>366</v>
      </c>
    </row>
    <row r="52" spans="1:10" hidden="1" x14ac:dyDescent="0.25">
      <c r="A52">
        <v>1</v>
      </c>
      <c r="B52" s="1">
        <v>45884</v>
      </c>
      <c r="C52" t="s">
        <v>12</v>
      </c>
      <c r="D52" t="s">
        <v>38</v>
      </c>
      <c r="E52" t="s">
        <v>459</v>
      </c>
      <c r="F52" t="s">
        <v>448</v>
      </c>
      <c r="G52">
        <v>6</v>
      </c>
      <c r="H52" s="2">
        <v>600000</v>
      </c>
      <c r="I52">
        <v>3</v>
      </c>
      <c r="J52" t="s">
        <v>373</v>
      </c>
    </row>
    <row r="53" spans="1:10" hidden="1" x14ac:dyDescent="0.25">
      <c r="A53">
        <v>1</v>
      </c>
      <c r="B53" s="1">
        <v>45884</v>
      </c>
      <c r="C53" t="s">
        <v>12</v>
      </c>
      <c r="D53" t="s">
        <v>216</v>
      </c>
      <c r="E53" t="s">
        <v>459</v>
      </c>
      <c r="F53" t="s">
        <v>458</v>
      </c>
      <c r="G53">
        <v>4</v>
      </c>
      <c r="H53" s="2">
        <v>400000</v>
      </c>
      <c r="I53">
        <v>3</v>
      </c>
      <c r="J53" t="s">
        <v>216</v>
      </c>
    </row>
    <row r="54" spans="1:10" hidden="1" x14ac:dyDescent="0.25">
      <c r="A54">
        <v>1</v>
      </c>
      <c r="B54" s="1">
        <v>45884</v>
      </c>
      <c r="C54" t="s">
        <v>12</v>
      </c>
      <c r="D54" t="s">
        <v>165</v>
      </c>
      <c r="E54" t="s">
        <v>459</v>
      </c>
      <c r="F54" t="s">
        <v>498</v>
      </c>
      <c r="G54">
        <v>3</v>
      </c>
      <c r="H54" s="2">
        <v>300000</v>
      </c>
      <c r="I54">
        <v>3</v>
      </c>
      <c r="J54" t="s">
        <v>392</v>
      </c>
    </row>
    <row r="55" spans="1:10" hidden="1" x14ac:dyDescent="0.25">
      <c r="A55">
        <v>1</v>
      </c>
      <c r="B55" s="1">
        <v>45884</v>
      </c>
      <c r="C55" t="s">
        <v>12</v>
      </c>
      <c r="D55" t="s">
        <v>168</v>
      </c>
      <c r="E55" t="s">
        <v>89</v>
      </c>
      <c r="F55" t="s">
        <v>455</v>
      </c>
      <c r="G55">
        <v>0</v>
      </c>
      <c r="H55" s="2">
        <v>0</v>
      </c>
      <c r="I55">
        <v>4</v>
      </c>
      <c r="J55" t="s">
        <v>168</v>
      </c>
    </row>
    <row r="56" spans="1:10" hidden="1" x14ac:dyDescent="0.25">
      <c r="A56">
        <v>1</v>
      </c>
      <c r="B56" s="1">
        <v>45884</v>
      </c>
      <c r="C56" t="s">
        <v>12</v>
      </c>
      <c r="D56" t="s">
        <v>170</v>
      </c>
      <c r="E56" t="s">
        <v>89</v>
      </c>
      <c r="F56" t="s">
        <v>469</v>
      </c>
      <c r="G56">
        <v>1</v>
      </c>
      <c r="H56" s="2">
        <v>100000</v>
      </c>
      <c r="I56">
        <v>4</v>
      </c>
      <c r="J56" t="s">
        <v>411</v>
      </c>
    </row>
    <row r="57" spans="1:10" hidden="1" x14ac:dyDescent="0.25">
      <c r="A57">
        <v>1</v>
      </c>
      <c r="B57" s="1">
        <v>45884</v>
      </c>
      <c r="C57" t="s">
        <v>6</v>
      </c>
      <c r="D57" t="s">
        <v>78</v>
      </c>
      <c r="E57" t="s">
        <v>77</v>
      </c>
      <c r="F57" t="s">
        <v>453</v>
      </c>
      <c r="G57">
        <v>5</v>
      </c>
      <c r="H57" s="2">
        <v>500000</v>
      </c>
      <c r="I57">
        <v>1</v>
      </c>
      <c r="J57" t="s">
        <v>350</v>
      </c>
    </row>
    <row r="58" spans="1:10" hidden="1" x14ac:dyDescent="0.25">
      <c r="A58">
        <v>1</v>
      </c>
      <c r="B58" s="1">
        <v>45884</v>
      </c>
      <c r="C58" t="s">
        <v>6</v>
      </c>
      <c r="D58" t="s">
        <v>72</v>
      </c>
      <c r="E58" t="s">
        <v>219</v>
      </c>
      <c r="F58" t="s">
        <v>447</v>
      </c>
      <c r="G58">
        <v>8</v>
      </c>
      <c r="H58" s="2">
        <v>800000</v>
      </c>
      <c r="I58">
        <v>2</v>
      </c>
      <c r="J58" t="s">
        <v>372</v>
      </c>
    </row>
    <row r="59" spans="1:10" hidden="1" x14ac:dyDescent="0.25">
      <c r="A59">
        <v>1</v>
      </c>
      <c r="B59" s="1">
        <v>45884</v>
      </c>
      <c r="C59" t="s">
        <v>6</v>
      </c>
      <c r="D59" t="s">
        <v>210</v>
      </c>
      <c r="E59" t="s">
        <v>219</v>
      </c>
      <c r="F59" t="s">
        <v>464</v>
      </c>
      <c r="G59">
        <v>0</v>
      </c>
      <c r="H59" s="2">
        <v>0</v>
      </c>
      <c r="I59">
        <v>2</v>
      </c>
      <c r="J59" t="s">
        <v>210</v>
      </c>
    </row>
    <row r="60" spans="1:10" hidden="1" x14ac:dyDescent="0.25">
      <c r="A60">
        <v>1</v>
      </c>
      <c r="B60" s="1">
        <v>45884</v>
      </c>
      <c r="C60" t="s">
        <v>6</v>
      </c>
      <c r="D60" t="s">
        <v>80</v>
      </c>
      <c r="E60" t="s">
        <v>219</v>
      </c>
      <c r="F60" t="s">
        <v>455</v>
      </c>
      <c r="G60">
        <v>0</v>
      </c>
      <c r="H60" s="2">
        <v>0</v>
      </c>
      <c r="I60">
        <v>2</v>
      </c>
      <c r="J60" t="s">
        <v>354</v>
      </c>
    </row>
    <row r="61" spans="1:10" hidden="1" x14ac:dyDescent="0.25">
      <c r="A61">
        <v>1</v>
      </c>
      <c r="B61" s="1">
        <v>45884</v>
      </c>
      <c r="C61" t="s">
        <v>6</v>
      </c>
      <c r="D61" t="s">
        <v>32</v>
      </c>
      <c r="E61" t="s">
        <v>219</v>
      </c>
      <c r="F61" t="s">
        <v>488</v>
      </c>
      <c r="G61">
        <v>-1</v>
      </c>
      <c r="H61" s="2">
        <v>-100000</v>
      </c>
      <c r="I61">
        <v>2</v>
      </c>
      <c r="J61" t="s">
        <v>32</v>
      </c>
    </row>
    <row r="62" spans="1:10" hidden="1" x14ac:dyDescent="0.25">
      <c r="A62">
        <v>1</v>
      </c>
      <c r="B62" s="1">
        <v>45884</v>
      </c>
      <c r="C62" t="s">
        <v>6</v>
      </c>
      <c r="D62" t="s">
        <v>66</v>
      </c>
      <c r="E62" t="s">
        <v>459</v>
      </c>
      <c r="F62" t="s">
        <v>447</v>
      </c>
      <c r="G62">
        <v>6</v>
      </c>
      <c r="H62" s="2">
        <v>600000</v>
      </c>
      <c r="I62">
        <v>3</v>
      </c>
      <c r="J62" t="s">
        <v>386</v>
      </c>
    </row>
    <row r="63" spans="1:10" hidden="1" x14ac:dyDescent="0.25">
      <c r="A63">
        <v>1</v>
      </c>
      <c r="B63" s="1">
        <v>45884</v>
      </c>
      <c r="C63" t="s">
        <v>6</v>
      </c>
      <c r="D63" t="s">
        <v>87</v>
      </c>
      <c r="E63" t="s">
        <v>459</v>
      </c>
      <c r="F63" t="s">
        <v>485</v>
      </c>
      <c r="G63">
        <v>2</v>
      </c>
      <c r="H63" s="2">
        <v>200000</v>
      </c>
      <c r="I63">
        <v>3</v>
      </c>
      <c r="J63" t="s">
        <v>87</v>
      </c>
    </row>
    <row r="64" spans="1:10" hidden="1" x14ac:dyDescent="0.25">
      <c r="A64">
        <v>1</v>
      </c>
      <c r="B64" s="1">
        <v>45884</v>
      </c>
      <c r="C64" t="s">
        <v>6</v>
      </c>
      <c r="D64" t="s">
        <v>84</v>
      </c>
      <c r="E64" t="s">
        <v>459</v>
      </c>
      <c r="F64" t="s">
        <v>514</v>
      </c>
      <c r="G64">
        <v>3</v>
      </c>
      <c r="H64" s="2">
        <v>300000</v>
      </c>
      <c r="I64">
        <v>3</v>
      </c>
      <c r="J64" t="s">
        <v>84</v>
      </c>
    </row>
    <row r="65" spans="1:10" hidden="1" x14ac:dyDescent="0.25">
      <c r="A65">
        <v>1</v>
      </c>
      <c r="B65" s="1">
        <v>45884</v>
      </c>
      <c r="C65" t="s">
        <v>6</v>
      </c>
      <c r="D65" t="s">
        <v>223</v>
      </c>
      <c r="E65" t="s">
        <v>459</v>
      </c>
      <c r="F65" t="s">
        <v>474</v>
      </c>
      <c r="G65">
        <v>2</v>
      </c>
      <c r="H65" s="2">
        <v>200000</v>
      </c>
      <c r="I65">
        <v>3</v>
      </c>
      <c r="J65" t="s">
        <v>422</v>
      </c>
    </row>
    <row r="66" spans="1:10" hidden="1" x14ac:dyDescent="0.25">
      <c r="A66">
        <v>1</v>
      </c>
      <c r="B66" s="1">
        <v>45884</v>
      </c>
      <c r="C66" t="s">
        <v>6</v>
      </c>
      <c r="D66" t="s">
        <v>35</v>
      </c>
      <c r="E66" t="s">
        <v>89</v>
      </c>
      <c r="F66" t="s">
        <v>453</v>
      </c>
      <c r="G66">
        <v>-3</v>
      </c>
      <c r="H66" s="2">
        <v>-300000</v>
      </c>
      <c r="I66">
        <v>4</v>
      </c>
      <c r="J66" t="s">
        <v>339</v>
      </c>
    </row>
    <row r="67" spans="1:10" hidden="1" x14ac:dyDescent="0.25">
      <c r="A67">
        <v>1</v>
      </c>
      <c r="B67" s="1">
        <v>45884</v>
      </c>
      <c r="C67" t="s">
        <v>6</v>
      </c>
      <c r="D67" t="s">
        <v>30</v>
      </c>
      <c r="E67" t="s">
        <v>89</v>
      </c>
      <c r="F67" t="s">
        <v>455</v>
      </c>
      <c r="G67">
        <v>0</v>
      </c>
      <c r="H67" s="2">
        <v>0</v>
      </c>
      <c r="I67">
        <v>4</v>
      </c>
      <c r="J67" t="s">
        <v>30</v>
      </c>
    </row>
    <row r="68" spans="1:10" hidden="1" x14ac:dyDescent="0.25">
      <c r="A68">
        <v>1</v>
      </c>
      <c r="B68" s="1">
        <v>45884</v>
      </c>
      <c r="C68" t="s">
        <v>9</v>
      </c>
      <c r="D68" t="s">
        <v>332</v>
      </c>
      <c r="E68" t="s">
        <v>77</v>
      </c>
      <c r="F68" t="s">
        <v>474</v>
      </c>
      <c r="G68">
        <v>13</v>
      </c>
      <c r="H68" s="2">
        <v>1300000</v>
      </c>
      <c r="I68">
        <v>1</v>
      </c>
      <c r="J68" t="s">
        <v>403</v>
      </c>
    </row>
    <row r="69" spans="1:10" hidden="1" x14ac:dyDescent="0.25">
      <c r="A69">
        <v>1</v>
      </c>
      <c r="B69" s="1">
        <v>45884</v>
      </c>
      <c r="C69" t="s">
        <v>9</v>
      </c>
      <c r="D69" t="s">
        <v>127</v>
      </c>
      <c r="E69" t="s">
        <v>219</v>
      </c>
      <c r="F69" t="s">
        <v>464</v>
      </c>
      <c r="G69">
        <v>3</v>
      </c>
      <c r="H69" s="2">
        <v>300000</v>
      </c>
      <c r="I69">
        <v>2</v>
      </c>
      <c r="J69" t="s">
        <v>127</v>
      </c>
    </row>
    <row r="70" spans="1:10" hidden="1" x14ac:dyDescent="0.25">
      <c r="A70">
        <v>1</v>
      </c>
      <c r="B70" s="1">
        <v>45884</v>
      </c>
      <c r="C70" t="s">
        <v>9</v>
      </c>
      <c r="D70" t="s">
        <v>128</v>
      </c>
      <c r="E70" t="s">
        <v>219</v>
      </c>
      <c r="F70" t="s">
        <v>498</v>
      </c>
      <c r="G70">
        <v>5</v>
      </c>
      <c r="H70" s="2">
        <v>500000</v>
      </c>
      <c r="I70">
        <v>2</v>
      </c>
      <c r="J70" t="s">
        <v>128</v>
      </c>
    </row>
    <row r="71" spans="1:10" hidden="1" x14ac:dyDescent="0.25">
      <c r="A71">
        <v>1</v>
      </c>
      <c r="B71" s="1">
        <v>45884</v>
      </c>
      <c r="C71" t="s">
        <v>9</v>
      </c>
      <c r="D71" t="s">
        <v>126</v>
      </c>
      <c r="E71" t="s">
        <v>219</v>
      </c>
      <c r="F71" t="s">
        <v>480</v>
      </c>
      <c r="G71">
        <v>1</v>
      </c>
      <c r="H71" s="2">
        <v>100000</v>
      </c>
      <c r="I71">
        <v>2</v>
      </c>
      <c r="J71" t="s">
        <v>126</v>
      </c>
    </row>
    <row r="72" spans="1:10" hidden="1" x14ac:dyDescent="0.25">
      <c r="A72">
        <v>1</v>
      </c>
      <c r="B72" s="1">
        <v>45884</v>
      </c>
      <c r="C72" t="s">
        <v>9</v>
      </c>
      <c r="D72" t="s">
        <v>225</v>
      </c>
      <c r="E72" t="s">
        <v>459</v>
      </c>
      <c r="F72" t="s">
        <v>488</v>
      </c>
      <c r="G72">
        <v>3</v>
      </c>
      <c r="H72" s="2">
        <v>300000</v>
      </c>
      <c r="I72">
        <v>3</v>
      </c>
      <c r="J72" t="s">
        <v>225</v>
      </c>
    </row>
    <row r="73" spans="1:10" hidden="1" x14ac:dyDescent="0.25">
      <c r="A73">
        <v>1</v>
      </c>
      <c r="B73" s="1">
        <v>45884</v>
      </c>
      <c r="C73" t="s">
        <v>9</v>
      </c>
      <c r="D73" t="s">
        <v>232</v>
      </c>
      <c r="E73" t="s">
        <v>459</v>
      </c>
      <c r="F73" t="s">
        <v>469</v>
      </c>
      <c r="G73">
        <v>9</v>
      </c>
      <c r="H73" s="2">
        <v>900000</v>
      </c>
      <c r="I73">
        <v>3</v>
      </c>
      <c r="J73" t="s">
        <v>232</v>
      </c>
    </row>
    <row r="74" spans="1:10" hidden="1" x14ac:dyDescent="0.25">
      <c r="A74">
        <v>1</v>
      </c>
      <c r="B74" s="1">
        <v>45884</v>
      </c>
      <c r="C74" t="s">
        <v>9</v>
      </c>
      <c r="D74" t="s">
        <v>74</v>
      </c>
      <c r="E74" t="s">
        <v>459</v>
      </c>
      <c r="F74" t="s">
        <v>453</v>
      </c>
      <c r="G74">
        <v>-1</v>
      </c>
      <c r="H74" s="2">
        <v>-100000</v>
      </c>
      <c r="I74">
        <v>3</v>
      </c>
      <c r="J74" t="s">
        <v>74</v>
      </c>
    </row>
    <row r="75" spans="1:10" hidden="1" x14ac:dyDescent="0.25">
      <c r="A75">
        <v>1</v>
      </c>
      <c r="B75" s="1">
        <v>45884</v>
      </c>
      <c r="C75" t="s">
        <v>9</v>
      </c>
      <c r="D75" t="s">
        <v>196</v>
      </c>
      <c r="E75" t="s">
        <v>459</v>
      </c>
      <c r="F75" t="s">
        <v>448</v>
      </c>
      <c r="G75">
        <v>5</v>
      </c>
      <c r="H75" s="2">
        <v>500000</v>
      </c>
      <c r="I75">
        <v>3</v>
      </c>
      <c r="J75" t="s">
        <v>342</v>
      </c>
    </row>
    <row r="76" spans="1:10" hidden="1" x14ac:dyDescent="0.25">
      <c r="A76">
        <v>1</v>
      </c>
      <c r="B76" s="1">
        <v>45884</v>
      </c>
      <c r="C76" t="s">
        <v>9</v>
      </c>
      <c r="D76" t="s">
        <v>135</v>
      </c>
      <c r="E76" t="s">
        <v>89</v>
      </c>
      <c r="F76" t="s">
        <v>464</v>
      </c>
      <c r="G76">
        <v>0</v>
      </c>
      <c r="H76" s="2">
        <v>0</v>
      </c>
      <c r="I76">
        <v>4</v>
      </c>
      <c r="J76" t="s">
        <v>135</v>
      </c>
    </row>
    <row r="77" spans="1:10" hidden="1" x14ac:dyDescent="0.25">
      <c r="A77">
        <v>1</v>
      </c>
      <c r="B77" s="1">
        <v>45884</v>
      </c>
      <c r="C77" t="s">
        <v>9</v>
      </c>
      <c r="D77" t="s">
        <v>134</v>
      </c>
      <c r="E77" t="s">
        <v>89</v>
      </c>
      <c r="F77" t="s">
        <v>465</v>
      </c>
      <c r="G77">
        <v>3</v>
      </c>
      <c r="H77" s="2">
        <v>300000</v>
      </c>
      <c r="I77">
        <v>4</v>
      </c>
      <c r="J77" t="s">
        <v>556</v>
      </c>
    </row>
    <row r="78" spans="1:10" hidden="1" x14ac:dyDescent="0.25">
      <c r="A78">
        <v>1</v>
      </c>
      <c r="B78" s="1">
        <v>45884</v>
      </c>
      <c r="C78" t="s">
        <v>9</v>
      </c>
      <c r="D78" t="s">
        <v>136</v>
      </c>
      <c r="E78" t="s">
        <v>89</v>
      </c>
      <c r="F78" t="s">
        <v>469</v>
      </c>
      <c r="G78">
        <v>5</v>
      </c>
      <c r="H78" s="2">
        <v>500000</v>
      </c>
      <c r="I78">
        <v>4</v>
      </c>
      <c r="J78" t="s">
        <v>136</v>
      </c>
    </row>
    <row r="79" spans="1:10" hidden="1" x14ac:dyDescent="0.25">
      <c r="A79">
        <v>1</v>
      </c>
      <c r="B79" s="1">
        <v>45884</v>
      </c>
      <c r="C79" t="s">
        <v>13</v>
      </c>
      <c r="D79" t="s">
        <v>171</v>
      </c>
      <c r="E79" t="s">
        <v>77</v>
      </c>
      <c r="F79" t="s">
        <v>464</v>
      </c>
      <c r="G79">
        <v>4</v>
      </c>
      <c r="H79" s="2">
        <v>400000</v>
      </c>
      <c r="I79">
        <v>1</v>
      </c>
      <c r="J79" t="s">
        <v>171</v>
      </c>
    </row>
    <row r="80" spans="1:10" hidden="1" x14ac:dyDescent="0.25">
      <c r="A80">
        <v>1</v>
      </c>
      <c r="B80" s="1">
        <v>45884</v>
      </c>
      <c r="C80" t="s">
        <v>13</v>
      </c>
      <c r="D80" t="s">
        <v>175</v>
      </c>
      <c r="E80" t="s">
        <v>219</v>
      </c>
      <c r="F80" t="s">
        <v>472</v>
      </c>
      <c r="G80">
        <v>8</v>
      </c>
      <c r="H80" s="2">
        <v>800000</v>
      </c>
      <c r="I80">
        <v>2</v>
      </c>
      <c r="J80" t="s">
        <v>175</v>
      </c>
    </row>
    <row r="81" spans="1:10" hidden="1" x14ac:dyDescent="0.25">
      <c r="A81">
        <v>1</v>
      </c>
      <c r="B81" s="1">
        <v>45884</v>
      </c>
      <c r="C81" t="s">
        <v>13</v>
      </c>
      <c r="D81" t="s">
        <v>70</v>
      </c>
      <c r="E81" t="s">
        <v>219</v>
      </c>
      <c r="F81" t="s">
        <v>474</v>
      </c>
      <c r="G81">
        <v>10</v>
      </c>
      <c r="H81" s="2">
        <v>1000000</v>
      </c>
      <c r="I81">
        <v>2</v>
      </c>
      <c r="J81" t="s">
        <v>70</v>
      </c>
    </row>
    <row r="82" spans="1:10" hidden="1" x14ac:dyDescent="0.25">
      <c r="A82">
        <v>1</v>
      </c>
      <c r="B82" s="1">
        <v>45884</v>
      </c>
      <c r="C82" t="s">
        <v>13</v>
      </c>
      <c r="D82" t="s">
        <v>202</v>
      </c>
      <c r="E82" t="s">
        <v>219</v>
      </c>
      <c r="F82" t="s">
        <v>465</v>
      </c>
      <c r="G82">
        <v>7</v>
      </c>
      <c r="H82" s="2">
        <v>700000</v>
      </c>
      <c r="I82">
        <v>2</v>
      </c>
      <c r="J82" t="s">
        <v>734</v>
      </c>
    </row>
    <row r="83" spans="1:10" hidden="1" x14ac:dyDescent="0.25">
      <c r="A83">
        <v>1</v>
      </c>
      <c r="B83" s="1">
        <v>45884</v>
      </c>
      <c r="C83" t="s">
        <v>13</v>
      </c>
      <c r="D83" t="s">
        <v>73</v>
      </c>
      <c r="E83" t="s">
        <v>459</v>
      </c>
      <c r="F83" t="s">
        <v>456</v>
      </c>
      <c r="G83">
        <v>9</v>
      </c>
      <c r="H83" s="2">
        <v>900000</v>
      </c>
      <c r="I83">
        <v>3</v>
      </c>
      <c r="J83" t="s">
        <v>73</v>
      </c>
    </row>
    <row r="84" spans="1:10" hidden="1" x14ac:dyDescent="0.25">
      <c r="A84">
        <v>1</v>
      </c>
      <c r="B84" s="1">
        <v>45884</v>
      </c>
      <c r="C84" t="s">
        <v>13</v>
      </c>
      <c r="D84" t="s">
        <v>201</v>
      </c>
      <c r="E84" t="s">
        <v>459</v>
      </c>
      <c r="F84" t="s">
        <v>449</v>
      </c>
      <c r="G84">
        <v>0</v>
      </c>
      <c r="H84" s="2">
        <v>0</v>
      </c>
      <c r="I84">
        <v>3</v>
      </c>
      <c r="J84" t="s">
        <v>201</v>
      </c>
    </row>
    <row r="85" spans="1:10" hidden="1" x14ac:dyDescent="0.25">
      <c r="A85">
        <v>1</v>
      </c>
      <c r="B85" s="1">
        <v>45884</v>
      </c>
      <c r="C85" t="s">
        <v>13</v>
      </c>
      <c r="D85" t="s">
        <v>176</v>
      </c>
      <c r="E85" t="s">
        <v>459</v>
      </c>
      <c r="F85" t="s">
        <v>480</v>
      </c>
      <c r="G85">
        <v>3</v>
      </c>
      <c r="H85" s="2">
        <v>300000</v>
      </c>
      <c r="I85">
        <v>3</v>
      </c>
      <c r="J85" t="s">
        <v>176</v>
      </c>
    </row>
    <row r="86" spans="1:10" hidden="1" x14ac:dyDescent="0.25">
      <c r="A86">
        <v>1</v>
      </c>
      <c r="B86" s="1">
        <v>45884</v>
      </c>
      <c r="C86" t="s">
        <v>13</v>
      </c>
      <c r="D86" t="s">
        <v>272</v>
      </c>
      <c r="E86" t="s">
        <v>459</v>
      </c>
      <c r="F86" t="s">
        <v>488</v>
      </c>
      <c r="G86">
        <v>1</v>
      </c>
      <c r="H86" s="2">
        <v>100000</v>
      </c>
      <c r="I86">
        <v>3</v>
      </c>
      <c r="J86" t="s">
        <v>401</v>
      </c>
    </row>
    <row r="87" spans="1:10" hidden="1" x14ac:dyDescent="0.25">
      <c r="A87">
        <v>1</v>
      </c>
      <c r="B87" s="1">
        <v>45884</v>
      </c>
      <c r="C87" t="s">
        <v>13</v>
      </c>
      <c r="D87" t="s">
        <v>193</v>
      </c>
      <c r="E87" t="s">
        <v>459</v>
      </c>
      <c r="F87" t="s">
        <v>498</v>
      </c>
      <c r="G87">
        <v>0</v>
      </c>
      <c r="H87" s="2">
        <v>0</v>
      </c>
      <c r="I87">
        <v>3</v>
      </c>
      <c r="J87" t="s">
        <v>424</v>
      </c>
    </row>
    <row r="88" spans="1:10" hidden="1" x14ac:dyDescent="0.25">
      <c r="A88">
        <v>1</v>
      </c>
      <c r="B88" s="1">
        <v>45884</v>
      </c>
      <c r="C88" t="s">
        <v>13</v>
      </c>
      <c r="D88" t="s">
        <v>178</v>
      </c>
      <c r="E88" t="s">
        <v>89</v>
      </c>
      <c r="F88" t="s">
        <v>456</v>
      </c>
      <c r="G88">
        <v>0</v>
      </c>
      <c r="H88" s="2">
        <v>0</v>
      </c>
      <c r="I88">
        <v>4</v>
      </c>
      <c r="J88" t="s">
        <v>178</v>
      </c>
    </row>
    <row r="89" spans="1:10" hidden="1" x14ac:dyDescent="0.25">
      <c r="A89">
        <v>1</v>
      </c>
      <c r="B89" s="1">
        <v>45884</v>
      </c>
      <c r="C89" t="s">
        <v>13</v>
      </c>
      <c r="D89" t="s">
        <v>205</v>
      </c>
      <c r="E89" t="s">
        <v>89</v>
      </c>
      <c r="F89" t="s">
        <v>480</v>
      </c>
      <c r="G89">
        <v>18</v>
      </c>
      <c r="H89" s="2">
        <v>1800000</v>
      </c>
      <c r="I89">
        <v>4</v>
      </c>
      <c r="J89" t="s">
        <v>410</v>
      </c>
    </row>
    <row r="90" spans="1:10" hidden="1" x14ac:dyDescent="0.25">
      <c r="A90">
        <v>1</v>
      </c>
      <c r="B90" s="1">
        <v>45884</v>
      </c>
      <c r="C90" t="s">
        <v>8</v>
      </c>
      <c r="D90" t="s">
        <v>106</v>
      </c>
      <c r="E90" t="s">
        <v>77</v>
      </c>
      <c r="F90" t="s">
        <v>472</v>
      </c>
      <c r="G90">
        <v>0</v>
      </c>
      <c r="H90" s="2">
        <v>0</v>
      </c>
      <c r="I90">
        <v>1</v>
      </c>
      <c r="J90" t="s">
        <v>471</v>
      </c>
    </row>
    <row r="91" spans="1:10" hidden="1" x14ac:dyDescent="0.25">
      <c r="A91">
        <v>1</v>
      </c>
      <c r="B91" s="1">
        <v>45884</v>
      </c>
      <c r="C91" t="s">
        <v>8</v>
      </c>
      <c r="D91" t="s">
        <v>67</v>
      </c>
      <c r="E91" t="s">
        <v>219</v>
      </c>
      <c r="F91" t="s">
        <v>472</v>
      </c>
      <c r="G91">
        <v>-1</v>
      </c>
      <c r="H91" s="2">
        <v>-100000</v>
      </c>
      <c r="I91">
        <v>2</v>
      </c>
      <c r="J91" t="s">
        <v>512</v>
      </c>
    </row>
    <row r="92" spans="1:10" hidden="1" x14ac:dyDescent="0.25">
      <c r="A92">
        <v>1</v>
      </c>
      <c r="B92" s="1">
        <v>45884</v>
      </c>
      <c r="C92" t="s">
        <v>8</v>
      </c>
      <c r="D92" t="s">
        <v>107</v>
      </c>
      <c r="E92" t="s">
        <v>219</v>
      </c>
      <c r="F92" t="s">
        <v>488</v>
      </c>
      <c r="G92">
        <v>2</v>
      </c>
      <c r="H92" s="2">
        <v>200000</v>
      </c>
      <c r="I92">
        <v>2</v>
      </c>
      <c r="J92" t="s">
        <v>107</v>
      </c>
    </row>
    <row r="93" spans="1:10" hidden="1" x14ac:dyDescent="0.25">
      <c r="A93">
        <v>1</v>
      </c>
      <c r="B93" s="1">
        <v>45884</v>
      </c>
      <c r="C93" t="s">
        <v>8</v>
      </c>
      <c r="D93" t="s">
        <v>56</v>
      </c>
      <c r="E93" t="s">
        <v>219</v>
      </c>
      <c r="F93" t="s">
        <v>464</v>
      </c>
      <c r="G93">
        <v>2</v>
      </c>
      <c r="H93" s="2">
        <v>200000</v>
      </c>
      <c r="I93">
        <v>2</v>
      </c>
      <c r="J93" t="s">
        <v>564</v>
      </c>
    </row>
    <row r="94" spans="1:10" hidden="1" x14ac:dyDescent="0.25">
      <c r="A94">
        <v>1</v>
      </c>
      <c r="B94" s="1">
        <v>45884</v>
      </c>
      <c r="C94" t="s">
        <v>8</v>
      </c>
      <c r="D94" t="s">
        <v>43</v>
      </c>
      <c r="E94" t="s">
        <v>219</v>
      </c>
      <c r="F94" t="s">
        <v>480</v>
      </c>
      <c r="G94">
        <v>2</v>
      </c>
      <c r="H94" s="2">
        <v>200000</v>
      </c>
      <c r="I94">
        <v>2</v>
      </c>
      <c r="J94" t="s">
        <v>43</v>
      </c>
    </row>
    <row r="95" spans="1:10" hidden="1" x14ac:dyDescent="0.25">
      <c r="A95">
        <v>1</v>
      </c>
      <c r="B95" s="1">
        <v>45884</v>
      </c>
      <c r="C95" t="s">
        <v>8</v>
      </c>
      <c r="D95" t="s">
        <v>68</v>
      </c>
      <c r="E95" t="s">
        <v>459</v>
      </c>
      <c r="F95" t="s">
        <v>461</v>
      </c>
      <c r="G95">
        <v>9</v>
      </c>
      <c r="H95" s="2">
        <v>900000</v>
      </c>
      <c r="I95">
        <v>3</v>
      </c>
      <c r="J95" t="s">
        <v>68</v>
      </c>
    </row>
    <row r="96" spans="1:10" hidden="1" x14ac:dyDescent="0.25">
      <c r="A96">
        <v>1</v>
      </c>
      <c r="B96" s="1">
        <v>45884</v>
      </c>
      <c r="C96" t="s">
        <v>8</v>
      </c>
      <c r="D96" t="s">
        <v>110</v>
      </c>
      <c r="E96" t="s">
        <v>459</v>
      </c>
      <c r="F96" t="s">
        <v>488</v>
      </c>
      <c r="G96">
        <v>8</v>
      </c>
      <c r="H96" s="2">
        <v>800000</v>
      </c>
      <c r="I96">
        <v>3</v>
      </c>
      <c r="J96" t="s">
        <v>110</v>
      </c>
    </row>
    <row r="97" spans="1:10" hidden="1" x14ac:dyDescent="0.25">
      <c r="A97">
        <v>1</v>
      </c>
      <c r="B97" s="1">
        <v>45884</v>
      </c>
      <c r="C97" t="s">
        <v>8</v>
      </c>
      <c r="D97" t="s">
        <v>111</v>
      </c>
      <c r="E97" t="s">
        <v>459</v>
      </c>
      <c r="F97" t="s">
        <v>474</v>
      </c>
      <c r="G97">
        <v>1</v>
      </c>
      <c r="H97" s="2">
        <v>100000</v>
      </c>
      <c r="I97">
        <v>3</v>
      </c>
      <c r="J97" t="s">
        <v>111</v>
      </c>
    </row>
    <row r="98" spans="1:10" hidden="1" x14ac:dyDescent="0.25">
      <c r="A98">
        <v>1</v>
      </c>
      <c r="B98" s="1">
        <v>45884</v>
      </c>
      <c r="C98" t="s">
        <v>8</v>
      </c>
      <c r="D98" t="s">
        <v>40</v>
      </c>
      <c r="E98" t="s">
        <v>459</v>
      </c>
      <c r="F98" t="s">
        <v>474</v>
      </c>
      <c r="G98">
        <v>2</v>
      </c>
      <c r="H98" s="2">
        <v>200000</v>
      </c>
      <c r="I98">
        <v>3</v>
      </c>
      <c r="J98" t="s">
        <v>40</v>
      </c>
    </row>
    <row r="99" spans="1:10" hidden="1" x14ac:dyDescent="0.25">
      <c r="A99">
        <v>1</v>
      </c>
      <c r="B99" s="1">
        <v>45884</v>
      </c>
      <c r="C99" t="s">
        <v>8</v>
      </c>
      <c r="D99" t="s">
        <v>109</v>
      </c>
      <c r="E99" t="s">
        <v>459</v>
      </c>
      <c r="F99" t="s">
        <v>451</v>
      </c>
      <c r="G99">
        <v>13</v>
      </c>
      <c r="H99" s="2">
        <v>1300000</v>
      </c>
      <c r="I99">
        <v>3</v>
      </c>
      <c r="J99" t="s">
        <v>109</v>
      </c>
    </row>
    <row r="100" spans="1:10" hidden="1" x14ac:dyDescent="0.25">
      <c r="A100">
        <v>1</v>
      </c>
      <c r="B100" s="1">
        <v>45884</v>
      </c>
      <c r="C100" t="s">
        <v>8</v>
      </c>
      <c r="D100" t="s">
        <v>112</v>
      </c>
      <c r="E100" t="s">
        <v>89</v>
      </c>
      <c r="F100" t="s">
        <v>465</v>
      </c>
      <c r="G100">
        <v>10</v>
      </c>
      <c r="H100" s="2">
        <v>1000000</v>
      </c>
      <c r="I100">
        <v>4</v>
      </c>
      <c r="J100" t="s">
        <v>112</v>
      </c>
    </row>
    <row r="101" spans="1:10" hidden="1" x14ac:dyDescent="0.25">
      <c r="A101">
        <v>1</v>
      </c>
      <c r="B101" s="1">
        <v>45884</v>
      </c>
      <c r="C101" t="s">
        <v>7</v>
      </c>
      <c r="D101" t="s">
        <v>54</v>
      </c>
      <c r="E101" t="s">
        <v>77</v>
      </c>
      <c r="F101" t="s">
        <v>488</v>
      </c>
      <c r="G101">
        <v>2</v>
      </c>
      <c r="H101" s="2">
        <v>200000</v>
      </c>
      <c r="I101">
        <v>1</v>
      </c>
      <c r="J101" t="s">
        <v>54</v>
      </c>
    </row>
    <row r="102" spans="1:10" hidden="1" x14ac:dyDescent="0.25">
      <c r="A102">
        <v>1</v>
      </c>
      <c r="B102" s="1">
        <v>45884</v>
      </c>
      <c r="C102" t="s">
        <v>7</v>
      </c>
      <c r="D102" t="s">
        <v>99</v>
      </c>
      <c r="E102" t="s">
        <v>219</v>
      </c>
      <c r="F102" t="s">
        <v>474</v>
      </c>
      <c r="G102">
        <v>7</v>
      </c>
      <c r="H102" s="2">
        <v>700000</v>
      </c>
      <c r="I102">
        <v>2</v>
      </c>
      <c r="J102" t="s">
        <v>99</v>
      </c>
    </row>
    <row r="103" spans="1:10" hidden="1" x14ac:dyDescent="0.25">
      <c r="A103">
        <v>1</v>
      </c>
      <c r="B103" s="1">
        <v>45884</v>
      </c>
      <c r="C103" t="s">
        <v>7</v>
      </c>
      <c r="D103" t="s">
        <v>227</v>
      </c>
      <c r="E103" t="s">
        <v>219</v>
      </c>
      <c r="F103" t="s">
        <v>447</v>
      </c>
      <c r="G103">
        <v>2</v>
      </c>
      <c r="H103" s="2">
        <v>200000</v>
      </c>
      <c r="I103">
        <v>2</v>
      </c>
      <c r="J103" t="s">
        <v>617</v>
      </c>
    </row>
    <row r="104" spans="1:10" hidden="1" x14ac:dyDescent="0.25">
      <c r="A104">
        <v>1</v>
      </c>
      <c r="B104" s="1">
        <v>45884</v>
      </c>
      <c r="C104" t="s">
        <v>7</v>
      </c>
      <c r="D104" t="s">
        <v>98</v>
      </c>
      <c r="E104" t="s">
        <v>219</v>
      </c>
      <c r="F104" t="s">
        <v>455</v>
      </c>
      <c r="G104">
        <v>1</v>
      </c>
      <c r="H104" s="2">
        <v>100000</v>
      </c>
      <c r="I104">
        <v>2</v>
      </c>
      <c r="J104" t="s">
        <v>98</v>
      </c>
    </row>
    <row r="105" spans="1:10" hidden="1" x14ac:dyDescent="0.25">
      <c r="A105">
        <v>1</v>
      </c>
      <c r="B105" s="1">
        <v>45884</v>
      </c>
      <c r="C105" t="s">
        <v>7</v>
      </c>
      <c r="D105" t="s">
        <v>100</v>
      </c>
      <c r="E105" t="s">
        <v>219</v>
      </c>
      <c r="F105" t="s">
        <v>488</v>
      </c>
      <c r="G105">
        <v>4</v>
      </c>
      <c r="H105" s="2">
        <v>400000</v>
      </c>
      <c r="I105">
        <v>2</v>
      </c>
      <c r="J105" t="s">
        <v>100</v>
      </c>
    </row>
    <row r="106" spans="1:10" hidden="1" x14ac:dyDescent="0.25">
      <c r="A106">
        <v>1</v>
      </c>
      <c r="B106" s="1">
        <v>45884</v>
      </c>
      <c r="C106" t="s">
        <v>7</v>
      </c>
      <c r="D106" t="s">
        <v>103</v>
      </c>
      <c r="E106" t="s">
        <v>459</v>
      </c>
      <c r="F106" t="s">
        <v>485</v>
      </c>
      <c r="G106">
        <v>7</v>
      </c>
      <c r="H106" s="2">
        <v>700000</v>
      </c>
      <c r="I106">
        <v>3</v>
      </c>
      <c r="J106" t="s">
        <v>103</v>
      </c>
    </row>
    <row r="107" spans="1:10" hidden="1" x14ac:dyDescent="0.25">
      <c r="A107">
        <v>1</v>
      </c>
      <c r="B107" s="1">
        <v>45884</v>
      </c>
      <c r="C107" t="s">
        <v>7</v>
      </c>
      <c r="D107" t="s">
        <v>104</v>
      </c>
      <c r="E107" t="s">
        <v>459</v>
      </c>
      <c r="F107" t="s">
        <v>465</v>
      </c>
      <c r="G107">
        <v>6</v>
      </c>
      <c r="H107" s="2">
        <v>600000</v>
      </c>
      <c r="I107">
        <v>3</v>
      </c>
      <c r="J107" t="s">
        <v>104</v>
      </c>
    </row>
    <row r="108" spans="1:10" hidden="1" x14ac:dyDescent="0.25">
      <c r="A108">
        <v>1</v>
      </c>
      <c r="B108" s="1">
        <v>45884</v>
      </c>
      <c r="C108" t="s">
        <v>7</v>
      </c>
      <c r="D108" t="s">
        <v>101</v>
      </c>
      <c r="E108" t="s">
        <v>459</v>
      </c>
      <c r="F108" t="s">
        <v>465</v>
      </c>
      <c r="G108">
        <v>3</v>
      </c>
      <c r="H108" s="2">
        <v>300000</v>
      </c>
      <c r="I108">
        <v>3</v>
      </c>
      <c r="J108" t="s">
        <v>101</v>
      </c>
    </row>
    <row r="109" spans="1:10" hidden="1" x14ac:dyDescent="0.25">
      <c r="A109">
        <v>1</v>
      </c>
      <c r="B109" s="1">
        <v>45884</v>
      </c>
      <c r="C109" t="s">
        <v>7</v>
      </c>
      <c r="D109" t="s">
        <v>303</v>
      </c>
      <c r="E109" t="s">
        <v>89</v>
      </c>
      <c r="F109" t="s">
        <v>488</v>
      </c>
      <c r="G109">
        <v>6</v>
      </c>
      <c r="H109" s="2">
        <v>600000</v>
      </c>
      <c r="I109">
        <v>4</v>
      </c>
      <c r="J109" t="s">
        <v>303</v>
      </c>
    </row>
    <row r="110" spans="1:10" hidden="1" x14ac:dyDescent="0.25">
      <c r="A110">
        <v>1</v>
      </c>
      <c r="B110" s="1">
        <v>45884</v>
      </c>
      <c r="C110" t="s">
        <v>7</v>
      </c>
      <c r="D110" t="s">
        <v>105</v>
      </c>
      <c r="E110" t="s">
        <v>89</v>
      </c>
      <c r="F110" t="s">
        <v>474</v>
      </c>
      <c r="G110">
        <v>13</v>
      </c>
      <c r="H110" s="2">
        <v>1300000</v>
      </c>
      <c r="I110">
        <v>4</v>
      </c>
      <c r="J110" t="s">
        <v>415</v>
      </c>
    </row>
    <row r="111" spans="1:10" hidden="1" x14ac:dyDescent="0.25">
      <c r="A111">
        <v>1</v>
      </c>
      <c r="B111" s="1">
        <v>45884</v>
      </c>
      <c r="C111" t="s">
        <v>7</v>
      </c>
      <c r="D111" t="s">
        <v>199</v>
      </c>
      <c r="E111" t="s">
        <v>89</v>
      </c>
      <c r="F111" t="s">
        <v>455</v>
      </c>
      <c r="G111">
        <v>2</v>
      </c>
      <c r="H111" s="2">
        <v>200000</v>
      </c>
      <c r="I111">
        <v>4</v>
      </c>
      <c r="J111" t="s">
        <v>199</v>
      </c>
    </row>
    <row r="112" spans="1:10" hidden="1" x14ac:dyDescent="0.25">
      <c r="A112">
        <v>2</v>
      </c>
      <c r="B112" s="1">
        <v>45891</v>
      </c>
      <c r="C112" t="s">
        <v>10</v>
      </c>
      <c r="D112" t="s">
        <v>253</v>
      </c>
      <c r="E112" t="s">
        <v>77</v>
      </c>
      <c r="F112" t="s">
        <v>465</v>
      </c>
      <c r="G112">
        <v>7</v>
      </c>
      <c r="H112" s="2">
        <v>700000</v>
      </c>
      <c r="I112">
        <v>1</v>
      </c>
      <c r="J112" t="s">
        <v>253</v>
      </c>
    </row>
    <row r="113" spans="1:10" hidden="1" x14ac:dyDescent="0.25">
      <c r="A113">
        <v>2</v>
      </c>
      <c r="B113" s="1">
        <v>45891</v>
      </c>
      <c r="C113" t="s">
        <v>10</v>
      </c>
      <c r="D113" t="s">
        <v>224</v>
      </c>
      <c r="E113" t="s">
        <v>219</v>
      </c>
      <c r="F113" t="s">
        <v>447</v>
      </c>
      <c r="G113">
        <v>-2</v>
      </c>
      <c r="H113" s="2">
        <v>-200000</v>
      </c>
      <c r="I113">
        <v>2</v>
      </c>
      <c r="J113" t="s">
        <v>367</v>
      </c>
    </row>
    <row r="114" spans="1:10" hidden="1" x14ac:dyDescent="0.25">
      <c r="A114">
        <v>2</v>
      </c>
      <c r="B114" s="1">
        <v>45891</v>
      </c>
      <c r="C114" t="s">
        <v>10</v>
      </c>
      <c r="D114" t="s">
        <v>140</v>
      </c>
      <c r="E114" t="s">
        <v>219</v>
      </c>
      <c r="F114" t="s">
        <v>455</v>
      </c>
      <c r="G114">
        <v>-2</v>
      </c>
      <c r="H114" s="2">
        <v>-200000</v>
      </c>
      <c r="I114">
        <v>2</v>
      </c>
      <c r="J114" t="s">
        <v>368</v>
      </c>
    </row>
    <row r="115" spans="1:10" hidden="1" x14ac:dyDescent="0.25">
      <c r="A115">
        <v>2</v>
      </c>
      <c r="B115" s="1">
        <v>45891</v>
      </c>
      <c r="C115" t="s">
        <v>10</v>
      </c>
      <c r="D115" t="s">
        <v>69</v>
      </c>
      <c r="E115" t="s">
        <v>219</v>
      </c>
      <c r="F115" t="s">
        <v>464</v>
      </c>
      <c r="G115">
        <v>5</v>
      </c>
      <c r="H115" s="2">
        <v>500000</v>
      </c>
      <c r="I115">
        <v>2</v>
      </c>
      <c r="J115" t="s">
        <v>69</v>
      </c>
    </row>
    <row r="116" spans="1:10" hidden="1" x14ac:dyDescent="0.25">
      <c r="A116">
        <v>2</v>
      </c>
      <c r="B116" s="1">
        <v>45891</v>
      </c>
      <c r="C116" t="s">
        <v>10</v>
      </c>
      <c r="D116" t="s">
        <v>141</v>
      </c>
      <c r="E116" t="s">
        <v>219</v>
      </c>
      <c r="F116" t="s">
        <v>453</v>
      </c>
      <c r="G116">
        <v>6</v>
      </c>
      <c r="H116" s="2">
        <v>600000</v>
      </c>
      <c r="I116">
        <v>2</v>
      </c>
      <c r="J116" t="s">
        <v>417</v>
      </c>
    </row>
    <row r="117" spans="1:10" hidden="1" x14ac:dyDescent="0.25">
      <c r="A117">
        <v>2</v>
      </c>
      <c r="B117" s="1">
        <v>45891</v>
      </c>
      <c r="C117" t="s">
        <v>10</v>
      </c>
      <c r="D117" t="s">
        <v>286</v>
      </c>
      <c r="E117" t="s">
        <v>459</v>
      </c>
      <c r="F117" t="s">
        <v>472</v>
      </c>
      <c r="G117">
        <v>8</v>
      </c>
      <c r="H117" s="2">
        <v>800000</v>
      </c>
      <c r="I117">
        <v>3</v>
      </c>
      <c r="J117" t="s">
        <v>365</v>
      </c>
    </row>
    <row r="118" spans="1:10" hidden="1" x14ac:dyDescent="0.25">
      <c r="A118">
        <v>2</v>
      </c>
      <c r="B118" s="1">
        <v>45891</v>
      </c>
      <c r="C118" t="s">
        <v>10</v>
      </c>
      <c r="D118" t="s">
        <v>143</v>
      </c>
      <c r="E118" t="s">
        <v>459</v>
      </c>
      <c r="F118" t="s">
        <v>453</v>
      </c>
      <c r="G118">
        <v>2</v>
      </c>
      <c r="H118" s="2">
        <v>200000</v>
      </c>
      <c r="I118">
        <v>3</v>
      </c>
      <c r="J118" t="s">
        <v>384</v>
      </c>
    </row>
    <row r="119" spans="1:10" hidden="1" x14ac:dyDescent="0.25">
      <c r="A119">
        <v>2</v>
      </c>
      <c r="B119" s="1">
        <v>45891</v>
      </c>
      <c r="C119" t="s">
        <v>10</v>
      </c>
      <c r="D119" t="s">
        <v>144</v>
      </c>
      <c r="E119" t="s">
        <v>459</v>
      </c>
      <c r="F119" t="s">
        <v>453</v>
      </c>
      <c r="G119">
        <v>7</v>
      </c>
      <c r="H119" s="2">
        <v>700000</v>
      </c>
      <c r="I119">
        <v>3</v>
      </c>
      <c r="J119" t="s">
        <v>144</v>
      </c>
    </row>
    <row r="120" spans="1:10" hidden="1" x14ac:dyDescent="0.25">
      <c r="A120">
        <v>2</v>
      </c>
      <c r="B120" s="1">
        <v>45891</v>
      </c>
      <c r="C120" t="s">
        <v>10</v>
      </c>
      <c r="D120" t="s">
        <v>45</v>
      </c>
      <c r="E120" t="s">
        <v>459</v>
      </c>
      <c r="F120" t="s">
        <v>474</v>
      </c>
      <c r="G120">
        <v>7</v>
      </c>
      <c r="H120" s="2">
        <v>700000</v>
      </c>
      <c r="I120">
        <v>3</v>
      </c>
      <c r="J120" t="s">
        <v>396</v>
      </c>
    </row>
    <row r="121" spans="1:10" hidden="1" x14ac:dyDescent="0.25">
      <c r="A121">
        <v>2</v>
      </c>
      <c r="B121" s="1">
        <v>45891</v>
      </c>
      <c r="C121" t="s">
        <v>10</v>
      </c>
      <c r="D121" t="s">
        <v>230</v>
      </c>
      <c r="E121" t="s">
        <v>459</v>
      </c>
      <c r="F121" t="s">
        <v>480</v>
      </c>
      <c r="G121">
        <v>0</v>
      </c>
      <c r="H121" s="2">
        <v>0</v>
      </c>
      <c r="I121">
        <v>3</v>
      </c>
      <c r="J121" t="s">
        <v>230</v>
      </c>
    </row>
    <row r="122" spans="1:10" hidden="1" x14ac:dyDescent="0.25">
      <c r="A122">
        <v>2</v>
      </c>
      <c r="B122" s="1">
        <v>45891</v>
      </c>
      <c r="C122" t="s">
        <v>10</v>
      </c>
      <c r="D122" t="s">
        <v>146</v>
      </c>
      <c r="E122" t="s">
        <v>89</v>
      </c>
      <c r="F122" t="s">
        <v>480</v>
      </c>
      <c r="G122">
        <v>2</v>
      </c>
      <c r="H122" s="2">
        <v>200000</v>
      </c>
      <c r="I122">
        <v>4</v>
      </c>
      <c r="J122" t="s">
        <v>146</v>
      </c>
    </row>
    <row r="123" spans="1:10" hidden="1" x14ac:dyDescent="0.25">
      <c r="A123">
        <v>2</v>
      </c>
      <c r="B123" s="1">
        <v>45891</v>
      </c>
      <c r="C123" t="s">
        <v>14</v>
      </c>
      <c r="D123" t="s">
        <v>229</v>
      </c>
      <c r="E123" t="s">
        <v>77</v>
      </c>
      <c r="F123" t="s">
        <v>480</v>
      </c>
      <c r="G123">
        <v>8</v>
      </c>
      <c r="H123" s="2">
        <v>800000</v>
      </c>
      <c r="I123">
        <v>1</v>
      </c>
      <c r="J123" t="s">
        <v>738</v>
      </c>
    </row>
    <row r="124" spans="1:10" hidden="1" x14ac:dyDescent="0.25">
      <c r="A124">
        <v>2</v>
      </c>
      <c r="B124" s="1">
        <v>45891</v>
      </c>
      <c r="C124" t="s">
        <v>14</v>
      </c>
      <c r="D124" t="s">
        <v>139</v>
      </c>
      <c r="E124" t="s">
        <v>219</v>
      </c>
      <c r="F124" t="s">
        <v>458</v>
      </c>
      <c r="G124">
        <v>5</v>
      </c>
      <c r="H124" s="2">
        <v>500000</v>
      </c>
      <c r="I124">
        <v>2</v>
      </c>
      <c r="J124" t="s">
        <v>371</v>
      </c>
    </row>
    <row r="125" spans="1:10" hidden="1" x14ac:dyDescent="0.25">
      <c r="A125">
        <v>2</v>
      </c>
      <c r="B125" s="1">
        <v>45891</v>
      </c>
      <c r="C125" t="s">
        <v>14</v>
      </c>
      <c r="D125" t="s">
        <v>182</v>
      </c>
      <c r="E125" t="s">
        <v>219</v>
      </c>
      <c r="F125" t="s">
        <v>474</v>
      </c>
      <c r="G125">
        <v>12</v>
      </c>
      <c r="H125" s="2">
        <v>1200000</v>
      </c>
      <c r="I125">
        <v>2</v>
      </c>
      <c r="J125" t="s">
        <v>711</v>
      </c>
    </row>
    <row r="126" spans="1:10" hidden="1" x14ac:dyDescent="0.25">
      <c r="A126">
        <v>2</v>
      </c>
      <c r="B126" s="1">
        <v>45891</v>
      </c>
      <c r="C126" t="s">
        <v>14</v>
      </c>
      <c r="D126" t="s">
        <v>180</v>
      </c>
      <c r="E126" t="s">
        <v>219</v>
      </c>
      <c r="F126" t="s">
        <v>465</v>
      </c>
      <c r="G126">
        <v>-2</v>
      </c>
      <c r="H126" s="2">
        <v>-200000</v>
      </c>
      <c r="I126">
        <v>2</v>
      </c>
      <c r="J126" t="s">
        <v>394</v>
      </c>
    </row>
    <row r="127" spans="1:10" hidden="1" x14ac:dyDescent="0.25">
      <c r="A127">
        <v>2</v>
      </c>
      <c r="B127" s="1">
        <v>45891</v>
      </c>
      <c r="C127" t="s">
        <v>14</v>
      </c>
      <c r="D127" t="s">
        <v>181</v>
      </c>
      <c r="E127" t="s">
        <v>219</v>
      </c>
      <c r="F127" t="s">
        <v>498</v>
      </c>
      <c r="G127">
        <v>6</v>
      </c>
      <c r="H127" s="2">
        <v>600000</v>
      </c>
      <c r="I127">
        <v>2</v>
      </c>
      <c r="J127" t="s">
        <v>406</v>
      </c>
    </row>
    <row r="128" spans="1:10" hidden="1" x14ac:dyDescent="0.25">
      <c r="A128">
        <v>2</v>
      </c>
      <c r="B128" s="1">
        <v>45891</v>
      </c>
      <c r="C128" t="s">
        <v>14</v>
      </c>
      <c r="D128" t="s">
        <v>47</v>
      </c>
      <c r="E128" t="s">
        <v>459</v>
      </c>
      <c r="F128" t="s">
        <v>469</v>
      </c>
      <c r="G128">
        <v>11</v>
      </c>
      <c r="H128" s="2">
        <v>1100000</v>
      </c>
      <c r="I128">
        <v>3</v>
      </c>
      <c r="J128" t="s">
        <v>47</v>
      </c>
    </row>
    <row r="129" spans="1:10" hidden="1" x14ac:dyDescent="0.25">
      <c r="A129">
        <v>2</v>
      </c>
      <c r="B129" s="1">
        <v>45891</v>
      </c>
      <c r="C129" t="s">
        <v>14</v>
      </c>
      <c r="D129" t="s">
        <v>231</v>
      </c>
      <c r="E129" t="s">
        <v>459</v>
      </c>
      <c r="F129" t="s">
        <v>464</v>
      </c>
      <c r="G129">
        <v>5</v>
      </c>
      <c r="H129" s="2">
        <v>500000</v>
      </c>
      <c r="I129">
        <v>3</v>
      </c>
      <c r="J129" t="s">
        <v>414</v>
      </c>
    </row>
    <row r="130" spans="1:10" hidden="1" x14ac:dyDescent="0.25">
      <c r="A130">
        <v>2</v>
      </c>
      <c r="B130" s="1">
        <v>45891</v>
      </c>
      <c r="C130" t="s">
        <v>14</v>
      </c>
      <c r="D130" t="s">
        <v>37</v>
      </c>
      <c r="E130" t="s">
        <v>459</v>
      </c>
      <c r="F130" t="s">
        <v>472</v>
      </c>
      <c r="G130">
        <v>2</v>
      </c>
      <c r="H130" s="2">
        <v>200000</v>
      </c>
      <c r="I130">
        <v>3</v>
      </c>
      <c r="J130" t="s">
        <v>703</v>
      </c>
    </row>
    <row r="131" spans="1:10" hidden="1" x14ac:dyDescent="0.25">
      <c r="A131">
        <v>2</v>
      </c>
      <c r="B131" s="1">
        <v>45891</v>
      </c>
      <c r="C131" t="s">
        <v>14</v>
      </c>
      <c r="D131" t="s">
        <v>186</v>
      </c>
      <c r="E131" t="s">
        <v>89</v>
      </c>
      <c r="F131" t="s">
        <v>480</v>
      </c>
      <c r="G131">
        <v>6</v>
      </c>
      <c r="H131" s="2">
        <v>600000</v>
      </c>
      <c r="I131">
        <v>4</v>
      </c>
      <c r="J131" t="s">
        <v>186</v>
      </c>
    </row>
    <row r="132" spans="1:10" hidden="1" x14ac:dyDescent="0.25">
      <c r="A132">
        <v>2</v>
      </c>
      <c r="B132" s="1">
        <v>45891</v>
      </c>
      <c r="C132" t="s">
        <v>14</v>
      </c>
      <c r="D132" t="s">
        <v>195</v>
      </c>
      <c r="E132" t="s">
        <v>89</v>
      </c>
      <c r="F132" t="s">
        <v>472</v>
      </c>
      <c r="G132">
        <v>11</v>
      </c>
      <c r="H132" s="2">
        <v>1100000</v>
      </c>
      <c r="I132">
        <v>4</v>
      </c>
      <c r="J132" t="s">
        <v>195</v>
      </c>
    </row>
    <row r="133" spans="1:10" hidden="1" x14ac:dyDescent="0.25">
      <c r="A133">
        <v>2</v>
      </c>
      <c r="B133" s="1">
        <v>45891</v>
      </c>
      <c r="C133" t="s">
        <v>14</v>
      </c>
      <c r="D133" t="s">
        <v>311</v>
      </c>
      <c r="E133" t="s">
        <v>89</v>
      </c>
      <c r="F133" t="s">
        <v>485</v>
      </c>
      <c r="G133">
        <v>4</v>
      </c>
      <c r="H133" s="2">
        <v>400000</v>
      </c>
      <c r="I133">
        <v>4</v>
      </c>
      <c r="J133" t="s">
        <v>377</v>
      </c>
    </row>
    <row r="134" spans="1:10" hidden="1" x14ac:dyDescent="0.25">
      <c r="A134">
        <v>2</v>
      </c>
      <c r="B134" s="1">
        <v>45891</v>
      </c>
      <c r="C134" t="s">
        <v>768</v>
      </c>
      <c r="D134" t="s">
        <v>137</v>
      </c>
      <c r="E134" t="s">
        <v>77</v>
      </c>
      <c r="F134" t="s">
        <v>485</v>
      </c>
      <c r="G134">
        <v>7</v>
      </c>
      <c r="H134" s="2">
        <v>700000</v>
      </c>
      <c r="I134">
        <v>1</v>
      </c>
      <c r="J134" t="s">
        <v>137</v>
      </c>
    </row>
    <row r="135" spans="1:10" hidden="1" x14ac:dyDescent="0.25">
      <c r="A135">
        <v>2</v>
      </c>
      <c r="B135" s="1">
        <v>45891</v>
      </c>
      <c r="C135" t="s">
        <v>768</v>
      </c>
      <c r="D135" t="s">
        <v>36</v>
      </c>
      <c r="E135" t="s">
        <v>219</v>
      </c>
      <c r="F135" t="s">
        <v>448</v>
      </c>
      <c r="G135">
        <v>9</v>
      </c>
      <c r="H135" s="2">
        <v>900000</v>
      </c>
      <c r="I135">
        <v>2</v>
      </c>
      <c r="J135" t="s">
        <v>379</v>
      </c>
    </row>
    <row r="136" spans="1:10" hidden="1" x14ac:dyDescent="0.25">
      <c r="A136">
        <v>2</v>
      </c>
      <c r="B136" s="1">
        <v>45891</v>
      </c>
      <c r="C136" t="s">
        <v>768</v>
      </c>
      <c r="D136" t="s">
        <v>118</v>
      </c>
      <c r="E136" t="s">
        <v>219</v>
      </c>
      <c r="F136" t="s">
        <v>451</v>
      </c>
      <c r="G136">
        <v>9</v>
      </c>
      <c r="H136" s="2">
        <v>900000</v>
      </c>
      <c r="I136">
        <v>2</v>
      </c>
      <c r="J136" t="s">
        <v>118</v>
      </c>
    </row>
    <row r="137" spans="1:10" hidden="1" x14ac:dyDescent="0.25">
      <c r="A137">
        <v>2</v>
      </c>
      <c r="B137" s="1">
        <v>45891</v>
      </c>
      <c r="C137" t="s">
        <v>768</v>
      </c>
      <c r="D137" t="s">
        <v>213</v>
      </c>
      <c r="E137" t="s">
        <v>219</v>
      </c>
      <c r="F137" t="s">
        <v>480</v>
      </c>
      <c r="G137">
        <v>10</v>
      </c>
      <c r="H137" s="2">
        <v>1000000</v>
      </c>
      <c r="I137">
        <v>2</v>
      </c>
      <c r="J137" t="s">
        <v>213</v>
      </c>
    </row>
    <row r="138" spans="1:10" hidden="1" x14ac:dyDescent="0.25">
      <c r="A138">
        <v>2</v>
      </c>
      <c r="B138" s="1">
        <v>45891</v>
      </c>
      <c r="C138" t="s">
        <v>768</v>
      </c>
      <c r="D138" t="s">
        <v>114</v>
      </c>
      <c r="E138" t="s">
        <v>219</v>
      </c>
      <c r="F138" t="s">
        <v>469</v>
      </c>
      <c r="G138">
        <v>5</v>
      </c>
      <c r="H138" s="2">
        <v>500000</v>
      </c>
      <c r="I138">
        <v>2</v>
      </c>
      <c r="J138" t="s">
        <v>114</v>
      </c>
    </row>
    <row r="139" spans="1:10" hidden="1" x14ac:dyDescent="0.25">
      <c r="A139">
        <v>2</v>
      </c>
      <c r="B139" s="1">
        <v>45891</v>
      </c>
      <c r="C139" t="s">
        <v>768</v>
      </c>
      <c r="D139" t="s">
        <v>103</v>
      </c>
      <c r="E139" t="s">
        <v>459</v>
      </c>
      <c r="F139" t="s">
        <v>485</v>
      </c>
      <c r="G139">
        <v>3</v>
      </c>
      <c r="H139" s="2">
        <v>300000</v>
      </c>
      <c r="I139">
        <v>3</v>
      </c>
      <c r="J139" t="s">
        <v>103</v>
      </c>
    </row>
    <row r="140" spans="1:10" hidden="1" x14ac:dyDescent="0.25">
      <c r="A140">
        <v>2</v>
      </c>
      <c r="B140" s="1">
        <v>45891</v>
      </c>
      <c r="C140" t="s">
        <v>768</v>
      </c>
      <c r="D140" t="s">
        <v>120</v>
      </c>
      <c r="E140" t="s">
        <v>459</v>
      </c>
      <c r="F140" t="s">
        <v>451</v>
      </c>
      <c r="G140">
        <v>7</v>
      </c>
      <c r="H140" s="2">
        <v>700000</v>
      </c>
      <c r="I140">
        <v>3</v>
      </c>
      <c r="J140" t="s">
        <v>120</v>
      </c>
    </row>
    <row r="141" spans="1:10" hidden="1" x14ac:dyDescent="0.25">
      <c r="A141">
        <v>2</v>
      </c>
      <c r="B141" s="1">
        <v>45891</v>
      </c>
      <c r="C141" t="s">
        <v>768</v>
      </c>
      <c r="D141" t="s">
        <v>326</v>
      </c>
      <c r="E141" t="s">
        <v>459</v>
      </c>
      <c r="F141" t="s">
        <v>456</v>
      </c>
      <c r="G141">
        <v>15</v>
      </c>
      <c r="H141" s="2">
        <v>1500000</v>
      </c>
      <c r="I141">
        <v>3</v>
      </c>
      <c r="J141" t="s">
        <v>404</v>
      </c>
    </row>
    <row r="142" spans="1:10" hidden="1" x14ac:dyDescent="0.25">
      <c r="A142">
        <v>2</v>
      </c>
      <c r="B142" s="1">
        <v>45891</v>
      </c>
      <c r="C142" t="s">
        <v>768</v>
      </c>
      <c r="D142" t="s">
        <v>84</v>
      </c>
      <c r="E142" t="s">
        <v>459</v>
      </c>
      <c r="F142" t="s">
        <v>514</v>
      </c>
      <c r="G142">
        <v>2</v>
      </c>
      <c r="H142" s="2">
        <v>200000</v>
      </c>
      <c r="I142">
        <v>3</v>
      </c>
      <c r="J142" t="s">
        <v>84</v>
      </c>
    </row>
    <row r="143" spans="1:10" hidden="1" x14ac:dyDescent="0.25">
      <c r="A143">
        <v>2</v>
      </c>
      <c r="B143" s="1">
        <v>45891</v>
      </c>
      <c r="C143" t="s">
        <v>768</v>
      </c>
      <c r="D143" t="s">
        <v>123</v>
      </c>
      <c r="E143" t="s">
        <v>89</v>
      </c>
      <c r="F143" t="s">
        <v>464</v>
      </c>
      <c r="G143">
        <v>2</v>
      </c>
      <c r="H143" s="2">
        <v>200000</v>
      </c>
      <c r="I143">
        <v>4</v>
      </c>
      <c r="J143" t="s">
        <v>123</v>
      </c>
    </row>
    <row r="144" spans="1:10" hidden="1" x14ac:dyDescent="0.25">
      <c r="A144">
        <v>2</v>
      </c>
      <c r="B144" s="1">
        <v>45891</v>
      </c>
      <c r="C144" t="s">
        <v>768</v>
      </c>
      <c r="D144" t="s">
        <v>122</v>
      </c>
      <c r="E144" t="s">
        <v>89</v>
      </c>
      <c r="F144" t="s">
        <v>474</v>
      </c>
      <c r="G144">
        <v>8</v>
      </c>
      <c r="H144" s="2">
        <v>800000</v>
      </c>
      <c r="I144">
        <v>4</v>
      </c>
      <c r="J144" t="s">
        <v>122</v>
      </c>
    </row>
    <row r="145" spans="1:10" hidden="1" x14ac:dyDescent="0.25">
      <c r="A145">
        <v>2</v>
      </c>
      <c r="B145" s="1">
        <v>45891</v>
      </c>
      <c r="C145" t="s">
        <v>11</v>
      </c>
      <c r="D145" t="s">
        <v>78</v>
      </c>
      <c r="E145" t="s">
        <v>77</v>
      </c>
      <c r="F145" t="s">
        <v>453</v>
      </c>
      <c r="G145">
        <v>3</v>
      </c>
      <c r="H145" s="2">
        <v>300000</v>
      </c>
      <c r="I145">
        <v>1</v>
      </c>
      <c r="J145" t="s">
        <v>350</v>
      </c>
    </row>
    <row r="146" spans="1:10" hidden="1" x14ac:dyDescent="0.25">
      <c r="A146">
        <v>2</v>
      </c>
      <c r="B146" s="1">
        <v>45891</v>
      </c>
      <c r="C146" t="s">
        <v>11</v>
      </c>
      <c r="D146" t="s">
        <v>150</v>
      </c>
      <c r="E146" t="s">
        <v>219</v>
      </c>
      <c r="F146" t="s">
        <v>451</v>
      </c>
      <c r="G146">
        <v>10</v>
      </c>
      <c r="H146" s="2">
        <v>1000000</v>
      </c>
      <c r="I146">
        <v>2</v>
      </c>
      <c r="J146" t="s">
        <v>150</v>
      </c>
    </row>
    <row r="147" spans="1:10" hidden="1" x14ac:dyDescent="0.25">
      <c r="A147">
        <v>2</v>
      </c>
      <c r="B147" s="1">
        <v>45891</v>
      </c>
      <c r="C147" t="s">
        <v>11</v>
      </c>
      <c r="D147" t="s">
        <v>115</v>
      </c>
      <c r="E147" t="s">
        <v>219</v>
      </c>
      <c r="F147" t="s">
        <v>472</v>
      </c>
      <c r="G147">
        <v>8</v>
      </c>
      <c r="H147" s="2">
        <v>800000</v>
      </c>
      <c r="I147">
        <v>2</v>
      </c>
      <c r="J147" t="s">
        <v>115</v>
      </c>
    </row>
    <row r="148" spans="1:10" hidden="1" x14ac:dyDescent="0.25">
      <c r="A148">
        <v>2</v>
      </c>
      <c r="B148" s="1">
        <v>45891</v>
      </c>
      <c r="C148" t="s">
        <v>11</v>
      </c>
      <c r="D148" t="s">
        <v>164</v>
      </c>
      <c r="E148" t="s">
        <v>219</v>
      </c>
      <c r="F148" t="s">
        <v>448</v>
      </c>
      <c r="G148">
        <v>0</v>
      </c>
      <c r="H148" s="2">
        <v>0</v>
      </c>
      <c r="I148">
        <v>2</v>
      </c>
      <c r="J148" t="s">
        <v>409</v>
      </c>
    </row>
    <row r="149" spans="1:10" hidden="1" x14ac:dyDescent="0.25">
      <c r="A149">
        <v>2</v>
      </c>
      <c r="B149" s="1">
        <v>45891</v>
      </c>
      <c r="C149" t="s">
        <v>11</v>
      </c>
      <c r="D149" t="s">
        <v>173</v>
      </c>
      <c r="E149" t="s">
        <v>219</v>
      </c>
      <c r="F149" t="s">
        <v>453</v>
      </c>
      <c r="G149">
        <v>3</v>
      </c>
      <c r="H149" s="2">
        <v>300000</v>
      </c>
      <c r="I149">
        <v>2</v>
      </c>
      <c r="J149" t="s">
        <v>173</v>
      </c>
    </row>
    <row r="150" spans="1:10" hidden="1" x14ac:dyDescent="0.25">
      <c r="A150">
        <v>2</v>
      </c>
      <c r="B150" s="1">
        <v>45891</v>
      </c>
      <c r="C150" t="s">
        <v>11</v>
      </c>
      <c r="D150" t="s">
        <v>198</v>
      </c>
      <c r="E150" t="s">
        <v>459</v>
      </c>
      <c r="F150" t="s">
        <v>485</v>
      </c>
      <c r="G150">
        <v>5</v>
      </c>
      <c r="H150" s="2">
        <v>500000</v>
      </c>
      <c r="I150">
        <v>3</v>
      </c>
      <c r="J150" t="s">
        <v>341</v>
      </c>
    </row>
    <row r="151" spans="1:10" hidden="1" x14ac:dyDescent="0.25">
      <c r="A151">
        <v>2</v>
      </c>
      <c r="B151" s="1">
        <v>45891</v>
      </c>
      <c r="C151" t="s">
        <v>11</v>
      </c>
      <c r="D151" t="s">
        <v>110</v>
      </c>
      <c r="E151" t="s">
        <v>459</v>
      </c>
      <c r="F151" t="s">
        <v>488</v>
      </c>
      <c r="G151">
        <v>5</v>
      </c>
      <c r="H151" s="2">
        <v>500000</v>
      </c>
      <c r="I151">
        <v>3</v>
      </c>
      <c r="J151" t="s">
        <v>110</v>
      </c>
    </row>
    <row r="152" spans="1:10" hidden="1" x14ac:dyDescent="0.25">
      <c r="A152">
        <v>2</v>
      </c>
      <c r="B152" s="1">
        <v>45891</v>
      </c>
      <c r="C152" t="s">
        <v>11</v>
      </c>
      <c r="D152" t="s">
        <v>119</v>
      </c>
      <c r="E152" t="s">
        <v>459</v>
      </c>
      <c r="F152" t="s">
        <v>464</v>
      </c>
      <c r="G152">
        <v>2</v>
      </c>
      <c r="H152" s="2">
        <v>200000</v>
      </c>
      <c r="I152">
        <v>3</v>
      </c>
      <c r="J152" t="s">
        <v>119</v>
      </c>
    </row>
    <row r="153" spans="1:10" hidden="1" x14ac:dyDescent="0.25">
      <c r="A153">
        <v>2</v>
      </c>
      <c r="B153" s="1">
        <v>45891</v>
      </c>
      <c r="C153" t="s">
        <v>11</v>
      </c>
      <c r="D153" t="s">
        <v>157</v>
      </c>
      <c r="E153" t="s">
        <v>459</v>
      </c>
      <c r="F153" t="s">
        <v>465</v>
      </c>
      <c r="G153">
        <v>1</v>
      </c>
      <c r="H153" s="2">
        <v>100000</v>
      </c>
      <c r="I153">
        <v>3</v>
      </c>
      <c r="J153" t="s">
        <v>157</v>
      </c>
    </row>
    <row r="154" spans="1:10" hidden="1" x14ac:dyDescent="0.25">
      <c r="A154">
        <v>2</v>
      </c>
      <c r="B154" s="1">
        <v>45891</v>
      </c>
      <c r="C154" t="s">
        <v>11</v>
      </c>
      <c r="D154" t="s">
        <v>159</v>
      </c>
      <c r="E154" t="s">
        <v>89</v>
      </c>
      <c r="F154" t="s">
        <v>465</v>
      </c>
      <c r="G154">
        <v>5</v>
      </c>
      <c r="H154" s="2">
        <v>500000</v>
      </c>
      <c r="I154">
        <v>4</v>
      </c>
      <c r="J154" t="s">
        <v>352</v>
      </c>
    </row>
    <row r="155" spans="1:10" hidden="1" x14ac:dyDescent="0.25">
      <c r="A155">
        <v>2</v>
      </c>
      <c r="B155" s="1">
        <v>45891</v>
      </c>
      <c r="C155" t="s">
        <v>11</v>
      </c>
      <c r="D155" t="s">
        <v>212</v>
      </c>
      <c r="E155" t="s">
        <v>89</v>
      </c>
      <c r="F155" t="s">
        <v>447</v>
      </c>
      <c r="G155">
        <v>10</v>
      </c>
      <c r="H155" s="2">
        <v>1000000</v>
      </c>
      <c r="I155">
        <v>4</v>
      </c>
      <c r="J155" t="s">
        <v>212</v>
      </c>
    </row>
    <row r="156" spans="1:10" hidden="1" x14ac:dyDescent="0.25">
      <c r="A156">
        <v>2</v>
      </c>
      <c r="B156" s="1">
        <v>45891</v>
      </c>
      <c r="C156" t="s">
        <v>12</v>
      </c>
      <c r="D156" t="s">
        <v>332</v>
      </c>
      <c r="E156" t="s">
        <v>77</v>
      </c>
      <c r="F156" t="s">
        <v>474</v>
      </c>
      <c r="G156">
        <v>11</v>
      </c>
      <c r="H156" s="2">
        <v>1100000</v>
      </c>
      <c r="I156">
        <v>1</v>
      </c>
      <c r="J156" t="s">
        <v>403</v>
      </c>
    </row>
    <row r="157" spans="1:10" hidden="1" x14ac:dyDescent="0.25">
      <c r="A157">
        <v>2</v>
      </c>
      <c r="B157" s="1">
        <v>45891</v>
      </c>
      <c r="C157" t="s">
        <v>12</v>
      </c>
      <c r="D157" t="s">
        <v>241</v>
      </c>
      <c r="E157" t="s">
        <v>219</v>
      </c>
      <c r="F157" t="s">
        <v>469</v>
      </c>
      <c r="G157">
        <v>1</v>
      </c>
      <c r="H157" s="2">
        <v>100000</v>
      </c>
      <c r="I157">
        <v>2</v>
      </c>
      <c r="J157" t="s">
        <v>241</v>
      </c>
    </row>
    <row r="158" spans="1:10" hidden="1" x14ac:dyDescent="0.25">
      <c r="A158">
        <v>2</v>
      </c>
      <c r="B158" s="1">
        <v>45891</v>
      </c>
      <c r="C158" t="s">
        <v>12</v>
      </c>
      <c r="D158" t="s">
        <v>200</v>
      </c>
      <c r="E158" t="s">
        <v>219</v>
      </c>
      <c r="F158" t="s">
        <v>514</v>
      </c>
      <c r="G158">
        <v>2</v>
      </c>
      <c r="H158" s="2">
        <v>200000</v>
      </c>
      <c r="I158">
        <v>2</v>
      </c>
      <c r="J158" t="s">
        <v>200</v>
      </c>
    </row>
    <row r="159" spans="1:10" hidden="1" x14ac:dyDescent="0.25">
      <c r="A159">
        <v>2</v>
      </c>
      <c r="B159" s="1">
        <v>45891</v>
      </c>
      <c r="C159" t="s">
        <v>12</v>
      </c>
      <c r="D159" t="s">
        <v>234</v>
      </c>
      <c r="E159" t="s">
        <v>219</v>
      </c>
      <c r="F159" t="s">
        <v>474</v>
      </c>
      <c r="G159">
        <v>15</v>
      </c>
      <c r="H159" s="2">
        <v>1500000</v>
      </c>
      <c r="I159">
        <v>2</v>
      </c>
      <c r="J159" t="s">
        <v>347</v>
      </c>
    </row>
    <row r="160" spans="1:10" hidden="1" x14ac:dyDescent="0.25">
      <c r="A160">
        <v>2</v>
      </c>
      <c r="B160" s="1">
        <v>45891</v>
      </c>
      <c r="C160" t="s">
        <v>12</v>
      </c>
      <c r="D160" t="s">
        <v>197</v>
      </c>
      <c r="E160" t="s">
        <v>219</v>
      </c>
      <c r="F160" t="s">
        <v>453</v>
      </c>
      <c r="G160">
        <v>6</v>
      </c>
      <c r="H160" s="2">
        <v>600000</v>
      </c>
      <c r="I160">
        <v>2</v>
      </c>
      <c r="J160" t="s">
        <v>197</v>
      </c>
    </row>
    <row r="161" spans="1:10" hidden="1" x14ac:dyDescent="0.25">
      <c r="A161">
        <v>2</v>
      </c>
      <c r="B161" s="1">
        <v>45891</v>
      </c>
      <c r="C161" t="s">
        <v>12</v>
      </c>
      <c r="D161" t="s">
        <v>38</v>
      </c>
      <c r="E161" t="s">
        <v>459</v>
      </c>
      <c r="F161" t="s">
        <v>448</v>
      </c>
      <c r="G161">
        <v>10</v>
      </c>
      <c r="H161" s="2">
        <v>1000000</v>
      </c>
      <c r="I161">
        <v>3</v>
      </c>
      <c r="J161" t="s">
        <v>373</v>
      </c>
    </row>
    <row r="162" spans="1:10" hidden="1" x14ac:dyDescent="0.25">
      <c r="A162">
        <v>2</v>
      </c>
      <c r="B162" s="1">
        <v>45891</v>
      </c>
      <c r="C162" t="s">
        <v>12</v>
      </c>
      <c r="D162" t="s">
        <v>216</v>
      </c>
      <c r="E162" t="s">
        <v>459</v>
      </c>
      <c r="F162" t="s">
        <v>458</v>
      </c>
      <c r="G162">
        <v>1</v>
      </c>
      <c r="H162" s="2">
        <v>100000</v>
      </c>
      <c r="I162">
        <v>3</v>
      </c>
      <c r="J162" t="s">
        <v>216</v>
      </c>
    </row>
    <row r="163" spans="1:10" hidden="1" x14ac:dyDescent="0.25">
      <c r="A163">
        <v>2</v>
      </c>
      <c r="B163" s="1">
        <v>45891</v>
      </c>
      <c r="C163" t="s">
        <v>12</v>
      </c>
      <c r="D163" t="s">
        <v>248</v>
      </c>
      <c r="E163" t="s">
        <v>459</v>
      </c>
      <c r="F163" t="s">
        <v>464</v>
      </c>
      <c r="G163">
        <v>1</v>
      </c>
      <c r="H163" s="2">
        <v>100000</v>
      </c>
      <c r="I163">
        <v>3</v>
      </c>
      <c r="J163" t="s">
        <v>432</v>
      </c>
    </row>
    <row r="164" spans="1:10" hidden="1" x14ac:dyDescent="0.25">
      <c r="A164">
        <v>2</v>
      </c>
      <c r="B164" s="1">
        <v>45891</v>
      </c>
      <c r="C164" t="s">
        <v>12</v>
      </c>
      <c r="D164" t="s">
        <v>109</v>
      </c>
      <c r="E164" t="s">
        <v>459</v>
      </c>
      <c r="F164" t="s">
        <v>451</v>
      </c>
      <c r="G164">
        <v>2</v>
      </c>
      <c r="H164" s="2">
        <v>200000</v>
      </c>
      <c r="I164">
        <v>3</v>
      </c>
      <c r="J164" t="s">
        <v>109</v>
      </c>
    </row>
    <row r="165" spans="1:10" hidden="1" x14ac:dyDescent="0.25">
      <c r="A165">
        <v>2</v>
      </c>
      <c r="B165" s="1">
        <v>45891</v>
      </c>
      <c r="C165" t="s">
        <v>12</v>
      </c>
      <c r="D165" t="s">
        <v>333</v>
      </c>
      <c r="E165" t="s">
        <v>459</v>
      </c>
      <c r="F165" t="s">
        <v>456</v>
      </c>
      <c r="G165">
        <v>2</v>
      </c>
      <c r="H165" s="2">
        <v>200000</v>
      </c>
      <c r="I165">
        <v>3</v>
      </c>
      <c r="J165" t="s">
        <v>333</v>
      </c>
    </row>
    <row r="166" spans="1:10" hidden="1" x14ac:dyDescent="0.25">
      <c r="A166">
        <v>2</v>
      </c>
      <c r="B166" s="1">
        <v>45891</v>
      </c>
      <c r="C166" t="s">
        <v>12</v>
      </c>
      <c r="D166" t="s">
        <v>168</v>
      </c>
      <c r="E166" t="s">
        <v>89</v>
      </c>
      <c r="F166" t="s">
        <v>455</v>
      </c>
      <c r="G166">
        <v>2</v>
      </c>
      <c r="H166" s="2">
        <v>200000</v>
      </c>
      <c r="I166">
        <v>4</v>
      </c>
      <c r="J166" t="s">
        <v>168</v>
      </c>
    </row>
    <row r="167" spans="1:10" hidden="1" x14ac:dyDescent="0.25">
      <c r="A167">
        <v>2</v>
      </c>
      <c r="B167" s="1">
        <v>45891</v>
      </c>
      <c r="C167" t="s">
        <v>6</v>
      </c>
      <c r="D167" t="s">
        <v>113</v>
      </c>
      <c r="E167" t="s">
        <v>77</v>
      </c>
      <c r="F167" t="s">
        <v>514</v>
      </c>
      <c r="G167">
        <v>4</v>
      </c>
      <c r="H167" s="2">
        <v>400000</v>
      </c>
      <c r="I167">
        <v>1</v>
      </c>
      <c r="J167" t="s">
        <v>349</v>
      </c>
    </row>
    <row r="168" spans="1:10" hidden="1" x14ac:dyDescent="0.25">
      <c r="A168">
        <v>2</v>
      </c>
      <c r="B168" s="1">
        <v>45891</v>
      </c>
      <c r="C168" t="s">
        <v>6</v>
      </c>
      <c r="D168" t="s">
        <v>72</v>
      </c>
      <c r="E168" t="s">
        <v>219</v>
      </c>
      <c r="F168" t="s">
        <v>447</v>
      </c>
      <c r="G168">
        <v>0</v>
      </c>
      <c r="H168" s="2">
        <v>0</v>
      </c>
      <c r="I168">
        <v>2</v>
      </c>
      <c r="J168" t="s">
        <v>372</v>
      </c>
    </row>
    <row r="169" spans="1:10" hidden="1" x14ac:dyDescent="0.25">
      <c r="A169">
        <v>2</v>
      </c>
      <c r="B169" s="1">
        <v>45891</v>
      </c>
      <c r="C169" t="s">
        <v>6</v>
      </c>
      <c r="D169" t="s">
        <v>80</v>
      </c>
      <c r="E169" t="s">
        <v>219</v>
      </c>
      <c r="F169" t="s">
        <v>455</v>
      </c>
      <c r="G169">
        <v>3</v>
      </c>
      <c r="H169" s="2">
        <v>300000</v>
      </c>
      <c r="I169">
        <v>2</v>
      </c>
      <c r="J169" t="s">
        <v>354</v>
      </c>
    </row>
    <row r="170" spans="1:10" hidden="1" x14ac:dyDescent="0.25">
      <c r="A170">
        <v>2</v>
      </c>
      <c r="B170" s="1">
        <v>45891</v>
      </c>
      <c r="C170" t="s">
        <v>6</v>
      </c>
      <c r="D170" t="s">
        <v>247</v>
      </c>
      <c r="E170" t="s">
        <v>219</v>
      </c>
      <c r="F170" t="s">
        <v>461</v>
      </c>
      <c r="G170">
        <v>4</v>
      </c>
      <c r="H170" s="2">
        <v>400000</v>
      </c>
      <c r="I170">
        <v>2</v>
      </c>
      <c r="J170" t="s">
        <v>247</v>
      </c>
    </row>
    <row r="171" spans="1:10" hidden="1" x14ac:dyDescent="0.25">
      <c r="A171">
        <v>2</v>
      </c>
      <c r="B171" s="1">
        <v>45891</v>
      </c>
      <c r="C171" t="s">
        <v>6</v>
      </c>
      <c r="D171" t="s">
        <v>32</v>
      </c>
      <c r="E171" t="s">
        <v>219</v>
      </c>
      <c r="F171" t="s">
        <v>488</v>
      </c>
      <c r="G171">
        <v>6</v>
      </c>
      <c r="H171" s="2">
        <v>600000</v>
      </c>
      <c r="I171">
        <v>2</v>
      </c>
      <c r="J171" t="s">
        <v>32</v>
      </c>
    </row>
    <row r="172" spans="1:10" hidden="1" x14ac:dyDescent="0.25">
      <c r="A172">
        <v>2</v>
      </c>
      <c r="B172" s="1">
        <v>45891</v>
      </c>
      <c r="C172" t="s">
        <v>6</v>
      </c>
      <c r="D172" t="s">
        <v>87</v>
      </c>
      <c r="E172" t="s">
        <v>459</v>
      </c>
      <c r="F172" t="s">
        <v>485</v>
      </c>
      <c r="G172">
        <v>4</v>
      </c>
      <c r="H172" s="2">
        <v>400000</v>
      </c>
      <c r="I172">
        <v>3</v>
      </c>
      <c r="J172" t="s">
        <v>87</v>
      </c>
    </row>
    <row r="173" spans="1:10" hidden="1" x14ac:dyDescent="0.25">
      <c r="A173">
        <v>2</v>
      </c>
      <c r="B173" s="1">
        <v>45891</v>
      </c>
      <c r="C173" t="s">
        <v>6</v>
      </c>
      <c r="D173" t="s">
        <v>251</v>
      </c>
      <c r="E173" t="s">
        <v>459</v>
      </c>
      <c r="F173" t="s">
        <v>456</v>
      </c>
      <c r="G173">
        <v>17</v>
      </c>
      <c r="H173" s="2">
        <v>1700000</v>
      </c>
      <c r="I173">
        <v>3</v>
      </c>
      <c r="J173" t="s">
        <v>251</v>
      </c>
    </row>
    <row r="174" spans="1:10" hidden="1" x14ac:dyDescent="0.25">
      <c r="A174">
        <v>2</v>
      </c>
      <c r="B174" s="1">
        <v>45891</v>
      </c>
      <c r="C174" t="s">
        <v>6</v>
      </c>
      <c r="D174" t="s">
        <v>86</v>
      </c>
      <c r="E174" t="s">
        <v>459</v>
      </c>
      <c r="F174" t="s">
        <v>472</v>
      </c>
      <c r="G174">
        <v>3</v>
      </c>
      <c r="H174" s="2">
        <v>300000</v>
      </c>
      <c r="I174">
        <v>3</v>
      </c>
      <c r="J174" t="s">
        <v>732</v>
      </c>
    </row>
    <row r="175" spans="1:10" hidden="1" x14ac:dyDescent="0.25">
      <c r="A175">
        <v>2</v>
      </c>
      <c r="B175" s="1">
        <v>45891</v>
      </c>
      <c r="C175" t="s">
        <v>6</v>
      </c>
      <c r="D175" t="s">
        <v>90</v>
      </c>
      <c r="E175" t="s">
        <v>89</v>
      </c>
      <c r="F175" t="s">
        <v>453</v>
      </c>
      <c r="G175">
        <v>1</v>
      </c>
      <c r="H175" s="2">
        <v>100000</v>
      </c>
      <c r="I175">
        <v>4</v>
      </c>
      <c r="J175" t="s">
        <v>90</v>
      </c>
    </row>
    <row r="176" spans="1:10" hidden="1" x14ac:dyDescent="0.25">
      <c r="A176">
        <v>2</v>
      </c>
      <c r="B176" s="1">
        <v>45891</v>
      </c>
      <c r="C176" t="s">
        <v>6</v>
      </c>
      <c r="D176" t="s">
        <v>161</v>
      </c>
      <c r="E176" t="s">
        <v>89</v>
      </c>
      <c r="F176" t="s">
        <v>447</v>
      </c>
      <c r="G176">
        <v>8</v>
      </c>
      <c r="H176" s="2">
        <v>800000</v>
      </c>
      <c r="I176">
        <v>4</v>
      </c>
      <c r="J176" t="s">
        <v>161</v>
      </c>
    </row>
    <row r="177" spans="1:10" hidden="1" x14ac:dyDescent="0.25">
      <c r="A177">
        <v>2</v>
      </c>
      <c r="B177" s="1">
        <v>45891</v>
      </c>
      <c r="C177" t="s">
        <v>6</v>
      </c>
      <c r="D177" t="s">
        <v>30</v>
      </c>
      <c r="E177" t="s">
        <v>89</v>
      </c>
      <c r="F177" t="s">
        <v>455</v>
      </c>
      <c r="G177">
        <v>0</v>
      </c>
      <c r="H177" s="2">
        <v>0</v>
      </c>
      <c r="I177">
        <v>4</v>
      </c>
      <c r="J177" t="s">
        <v>30</v>
      </c>
    </row>
    <row r="178" spans="1:10" hidden="1" x14ac:dyDescent="0.25">
      <c r="A178">
        <v>2</v>
      </c>
      <c r="B178" s="1">
        <v>45891</v>
      </c>
      <c r="C178" t="s">
        <v>9</v>
      </c>
      <c r="D178" t="s">
        <v>250</v>
      </c>
      <c r="E178" t="s">
        <v>77</v>
      </c>
      <c r="F178" t="s">
        <v>449</v>
      </c>
      <c r="G178">
        <v>0</v>
      </c>
      <c r="H178" s="2">
        <v>0</v>
      </c>
      <c r="I178">
        <v>1</v>
      </c>
      <c r="J178" t="s">
        <v>250</v>
      </c>
    </row>
    <row r="179" spans="1:10" hidden="1" x14ac:dyDescent="0.25">
      <c r="A179">
        <v>2</v>
      </c>
      <c r="B179" s="1">
        <v>45891</v>
      </c>
      <c r="C179" t="s">
        <v>9</v>
      </c>
      <c r="D179" t="s">
        <v>127</v>
      </c>
      <c r="E179" t="s">
        <v>219</v>
      </c>
      <c r="F179" t="s">
        <v>464</v>
      </c>
      <c r="G179">
        <v>5</v>
      </c>
      <c r="H179" s="2">
        <v>500000</v>
      </c>
      <c r="I179">
        <v>2</v>
      </c>
      <c r="J179" t="s">
        <v>127</v>
      </c>
    </row>
    <row r="180" spans="1:10" hidden="1" x14ac:dyDescent="0.25">
      <c r="A180">
        <v>2</v>
      </c>
      <c r="B180" s="1">
        <v>45891</v>
      </c>
      <c r="C180" t="s">
        <v>9</v>
      </c>
      <c r="D180" t="s">
        <v>128</v>
      </c>
      <c r="E180" t="s">
        <v>219</v>
      </c>
      <c r="F180" t="s">
        <v>498</v>
      </c>
      <c r="G180">
        <v>0</v>
      </c>
      <c r="H180" s="2">
        <v>0</v>
      </c>
      <c r="I180">
        <v>2</v>
      </c>
      <c r="J180" t="s">
        <v>128</v>
      </c>
    </row>
    <row r="181" spans="1:10" hidden="1" x14ac:dyDescent="0.25">
      <c r="A181">
        <v>2</v>
      </c>
      <c r="B181" s="1">
        <v>45891</v>
      </c>
      <c r="C181" t="s">
        <v>9</v>
      </c>
      <c r="D181" t="s">
        <v>214</v>
      </c>
      <c r="E181" t="s">
        <v>219</v>
      </c>
      <c r="F181" t="s">
        <v>455</v>
      </c>
      <c r="G181">
        <v>-2</v>
      </c>
      <c r="H181" s="2">
        <v>-200000</v>
      </c>
      <c r="I181">
        <v>2</v>
      </c>
      <c r="J181" t="s">
        <v>435</v>
      </c>
    </row>
    <row r="182" spans="1:10" hidden="1" x14ac:dyDescent="0.25">
      <c r="A182">
        <v>2</v>
      </c>
      <c r="B182" s="1">
        <v>45891</v>
      </c>
      <c r="C182" t="s">
        <v>9</v>
      </c>
      <c r="D182" t="s">
        <v>225</v>
      </c>
      <c r="E182" t="s">
        <v>459</v>
      </c>
      <c r="F182" t="s">
        <v>488</v>
      </c>
      <c r="G182">
        <v>5</v>
      </c>
      <c r="H182" s="2">
        <v>500000</v>
      </c>
      <c r="I182">
        <v>3</v>
      </c>
      <c r="J182" t="s">
        <v>225</v>
      </c>
    </row>
    <row r="183" spans="1:10" hidden="1" x14ac:dyDescent="0.25">
      <c r="A183">
        <v>2</v>
      </c>
      <c r="B183" s="1">
        <v>45891</v>
      </c>
      <c r="C183" t="s">
        <v>9</v>
      </c>
      <c r="D183" t="s">
        <v>232</v>
      </c>
      <c r="E183" t="s">
        <v>459</v>
      </c>
      <c r="F183" t="s">
        <v>469</v>
      </c>
      <c r="G183">
        <v>5</v>
      </c>
      <c r="H183" s="2">
        <v>500000</v>
      </c>
      <c r="I183">
        <v>3</v>
      </c>
      <c r="J183" t="s">
        <v>232</v>
      </c>
    </row>
    <row r="184" spans="1:10" hidden="1" x14ac:dyDescent="0.25">
      <c r="A184">
        <v>2</v>
      </c>
      <c r="B184" s="1">
        <v>45891</v>
      </c>
      <c r="C184" t="s">
        <v>9</v>
      </c>
      <c r="D184" t="s">
        <v>74</v>
      </c>
      <c r="E184" t="s">
        <v>459</v>
      </c>
      <c r="F184" t="s">
        <v>453</v>
      </c>
      <c r="G184">
        <v>4</v>
      </c>
      <c r="H184" s="2">
        <v>400000</v>
      </c>
      <c r="I184">
        <v>3</v>
      </c>
      <c r="J184" t="s">
        <v>74</v>
      </c>
    </row>
    <row r="185" spans="1:10" hidden="1" x14ac:dyDescent="0.25">
      <c r="A185">
        <v>2</v>
      </c>
      <c r="B185" s="1">
        <v>45891</v>
      </c>
      <c r="C185" t="s">
        <v>9</v>
      </c>
      <c r="D185" t="s">
        <v>196</v>
      </c>
      <c r="E185" t="s">
        <v>459</v>
      </c>
      <c r="F185" t="s">
        <v>448</v>
      </c>
      <c r="G185">
        <v>9</v>
      </c>
      <c r="H185" s="2">
        <v>900000</v>
      </c>
      <c r="I185">
        <v>3</v>
      </c>
      <c r="J185" t="s">
        <v>342</v>
      </c>
    </row>
    <row r="186" spans="1:10" hidden="1" x14ac:dyDescent="0.25">
      <c r="A186">
        <v>2</v>
      </c>
      <c r="B186" s="1">
        <v>45891</v>
      </c>
      <c r="C186" t="s">
        <v>9</v>
      </c>
      <c r="D186" t="s">
        <v>134</v>
      </c>
      <c r="E186" t="s">
        <v>89</v>
      </c>
      <c r="F186" t="s">
        <v>465</v>
      </c>
      <c r="G186">
        <v>2</v>
      </c>
      <c r="H186" s="2">
        <v>200000</v>
      </c>
      <c r="I186">
        <v>4</v>
      </c>
      <c r="J186" t="s">
        <v>556</v>
      </c>
    </row>
    <row r="187" spans="1:10" hidden="1" x14ac:dyDescent="0.25">
      <c r="A187">
        <v>2</v>
      </c>
      <c r="B187" s="1">
        <v>45891</v>
      </c>
      <c r="C187" t="s">
        <v>9</v>
      </c>
      <c r="D187" t="s">
        <v>194</v>
      </c>
      <c r="E187" t="s">
        <v>89</v>
      </c>
      <c r="F187" t="s">
        <v>480</v>
      </c>
      <c r="G187">
        <v>2</v>
      </c>
      <c r="H187" s="2">
        <v>200000</v>
      </c>
      <c r="I187">
        <v>4</v>
      </c>
      <c r="J187" t="s">
        <v>407</v>
      </c>
    </row>
    <row r="188" spans="1:10" hidden="1" x14ac:dyDescent="0.25">
      <c r="A188">
        <v>2</v>
      </c>
      <c r="B188" s="1">
        <v>45891</v>
      </c>
      <c r="C188" t="s">
        <v>9</v>
      </c>
      <c r="D188" t="s">
        <v>136</v>
      </c>
      <c r="E188" t="s">
        <v>89</v>
      </c>
      <c r="F188" t="s">
        <v>469</v>
      </c>
      <c r="G188">
        <v>7</v>
      </c>
      <c r="H188" s="2">
        <v>700000</v>
      </c>
      <c r="I188">
        <v>4</v>
      </c>
      <c r="J188" t="s">
        <v>136</v>
      </c>
    </row>
    <row r="189" spans="1:10" hidden="1" x14ac:dyDescent="0.25">
      <c r="A189">
        <v>2</v>
      </c>
      <c r="B189" s="1">
        <v>45891</v>
      </c>
      <c r="C189" t="s">
        <v>13</v>
      </c>
      <c r="D189" t="s">
        <v>171</v>
      </c>
      <c r="E189" t="s">
        <v>77</v>
      </c>
      <c r="F189" t="s">
        <v>464</v>
      </c>
      <c r="G189">
        <v>7</v>
      </c>
      <c r="H189" s="2">
        <v>700000</v>
      </c>
      <c r="I189">
        <v>1</v>
      </c>
      <c r="J189" t="s">
        <v>171</v>
      </c>
    </row>
    <row r="190" spans="1:10" hidden="1" x14ac:dyDescent="0.25">
      <c r="A190">
        <v>2</v>
      </c>
      <c r="B190" s="1">
        <v>45891</v>
      </c>
      <c r="C190" t="s">
        <v>13</v>
      </c>
      <c r="D190" t="s">
        <v>175</v>
      </c>
      <c r="E190" t="s">
        <v>219</v>
      </c>
      <c r="F190" t="s">
        <v>472</v>
      </c>
      <c r="G190">
        <v>8</v>
      </c>
      <c r="H190" s="2">
        <v>800000</v>
      </c>
      <c r="I190">
        <v>2</v>
      </c>
      <c r="J190" t="s">
        <v>175</v>
      </c>
    </row>
    <row r="191" spans="1:10" hidden="1" x14ac:dyDescent="0.25">
      <c r="A191">
        <v>2</v>
      </c>
      <c r="B191" s="1">
        <v>45891</v>
      </c>
      <c r="C191" t="s">
        <v>13</v>
      </c>
      <c r="D191" t="s">
        <v>70</v>
      </c>
      <c r="E191" t="s">
        <v>219</v>
      </c>
      <c r="F191" t="s">
        <v>474</v>
      </c>
      <c r="G191">
        <v>13</v>
      </c>
      <c r="H191" s="2">
        <v>1300000</v>
      </c>
      <c r="I191">
        <v>2</v>
      </c>
      <c r="J191" t="s">
        <v>70</v>
      </c>
    </row>
    <row r="192" spans="1:10" hidden="1" x14ac:dyDescent="0.25">
      <c r="A192">
        <v>2</v>
      </c>
      <c r="B192" s="1">
        <v>45891</v>
      </c>
      <c r="C192" t="s">
        <v>13</v>
      </c>
      <c r="D192" t="s">
        <v>240</v>
      </c>
      <c r="E192" t="s">
        <v>219</v>
      </c>
      <c r="F192" t="s">
        <v>472</v>
      </c>
      <c r="G192">
        <v>12</v>
      </c>
      <c r="H192" s="2">
        <v>1200000</v>
      </c>
      <c r="I192">
        <v>2</v>
      </c>
      <c r="J192" t="s">
        <v>240</v>
      </c>
    </row>
    <row r="193" spans="1:10" hidden="1" x14ac:dyDescent="0.25">
      <c r="A193">
        <v>2</v>
      </c>
      <c r="B193" s="1">
        <v>45891</v>
      </c>
      <c r="C193" t="s">
        <v>13</v>
      </c>
      <c r="D193" t="s">
        <v>202</v>
      </c>
      <c r="E193" t="s">
        <v>219</v>
      </c>
      <c r="F193" t="s">
        <v>465</v>
      </c>
      <c r="G193">
        <v>3</v>
      </c>
      <c r="H193" s="2">
        <v>300000</v>
      </c>
      <c r="I193">
        <v>2</v>
      </c>
      <c r="J193" t="s">
        <v>734</v>
      </c>
    </row>
    <row r="194" spans="1:10" hidden="1" x14ac:dyDescent="0.25">
      <c r="A194">
        <v>2</v>
      </c>
      <c r="B194" s="1">
        <v>45891</v>
      </c>
      <c r="C194" t="s">
        <v>13</v>
      </c>
      <c r="D194" t="s">
        <v>73</v>
      </c>
      <c r="E194" t="s">
        <v>459</v>
      </c>
      <c r="F194" t="s">
        <v>456</v>
      </c>
      <c r="G194">
        <v>2</v>
      </c>
      <c r="H194" s="2">
        <v>200000</v>
      </c>
      <c r="I194">
        <v>3</v>
      </c>
      <c r="J194" t="s">
        <v>73</v>
      </c>
    </row>
    <row r="195" spans="1:10" hidden="1" x14ac:dyDescent="0.25">
      <c r="A195">
        <v>2</v>
      </c>
      <c r="B195" s="1">
        <v>45891</v>
      </c>
      <c r="C195" t="s">
        <v>13</v>
      </c>
      <c r="D195" t="s">
        <v>52</v>
      </c>
      <c r="E195" t="s">
        <v>459</v>
      </c>
      <c r="F195" t="s">
        <v>461</v>
      </c>
      <c r="G195">
        <v>3</v>
      </c>
      <c r="H195" s="2">
        <v>300000</v>
      </c>
      <c r="I195">
        <v>3</v>
      </c>
      <c r="J195" t="s">
        <v>52</v>
      </c>
    </row>
    <row r="196" spans="1:10" hidden="1" x14ac:dyDescent="0.25">
      <c r="A196">
        <v>2</v>
      </c>
      <c r="B196" s="1">
        <v>45891</v>
      </c>
      <c r="C196" t="s">
        <v>13</v>
      </c>
      <c r="D196" t="s">
        <v>176</v>
      </c>
      <c r="E196" t="s">
        <v>459</v>
      </c>
      <c r="F196" t="s">
        <v>480</v>
      </c>
      <c r="G196">
        <v>6</v>
      </c>
      <c r="H196" s="2">
        <v>600000</v>
      </c>
      <c r="I196">
        <v>3</v>
      </c>
      <c r="J196" t="s">
        <v>176</v>
      </c>
    </row>
    <row r="197" spans="1:10" hidden="1" x14ac:dyDescent="0.25">
      <c r="A197">
        <v>2</v>
      </c>
      <c r="B197" s="1">
        <v>45891</v>
      </c>
      <c r="C197" t="s">
        <v>13</v>
      </c>
      <c r="D197" t="s">
        <v>272</v>
      </c>
      <c r="E197" t="s">
        <v>459</v>
      </c>
      <c r="F197" t="s">
        <v>488</v>
      </c>
      <c r="G197">
        <v>6</v>
      </c>
      <c r="H197" s="2">
        <v>600000</v>
      </c>
      <c r="I197">
        <v>3</v>
      </c>
      <c r="J197" t="s">
        <v>401</v>
      </c>
    </row>
    <row r="198" spans="1:10" hidden="1" x14ac:dyDescent="0.25">
      <c r="A198">
        <v>2</v>
      </c>
      <c r="B198" s="1">
        <v>45891</v>
      </c>
      <c r="C198" t="s">
        <v>13</v>
      </c>
      <c r="D198" t="s">
        <v>205</v>
      </c>
      <c r="E198" t="s">
        <v>89</v>
      </c>
      <c r="F198" t="s">
        <v>480</v>
      </c>
      <c r="G198">
        <v>11</v>
      </c>
      <c r="H198" s="2">
        <v>1100000</v>
      </c>
      <c r="I198">
        <v>4</v>
      </c>
      <c r="J198" t="s">
        <v>410</v>
      </c>
    </row>
    <row r="199" spans="1:10" hidden="1" x14ac:dyDescent="0.25">
      <c r="A199">
        <v>2</v>
      </c>
      <c r="B199" s="1">
        <v>45891</v>
      </c>
      <c r="C199" t="s">
        <v>13</v>
      </c>
      <c r="D199" t="s">
        <v>105</v>
      </c>
      <c r="E199" t="s">
        <v>89</v>
      </c>
      <c r="F199" t="s">
        <v>474</v>
      </c>
      <c r="G199">
        <v>14</v>
      </c>
      <c r="H199" s="2">
        <v>1400000</v>
      </c>
      <c r="I199">
        <v>4</v>
      </c>
      <c r="J199" t="s">
        <v>415</v>
      </c>
    </row>
    <row r="200" spans="1:10" hidden="1" x14ac:dyDescent="0.25">
      <c r="A200">
        <v>2</v>
      </c>
      <c r="B200" s="1">
        <v>45891</v>
      </c>
      <c r="C200" t="s">
        <v>8</v>
      </c>
      <c r="D200" t="s">
        <v>106</v>
      </c>
      <c r="E200" t="s">
        <v>77</v>
      </c>
      <c r="F200" t="s">
        <v>472</v>
      </c>
      <c r="G200">
        <v>0</v>
      </c>
      <c r="H200" s="2">
        <v>0</v>
      </c>
      <c r="I200">
        <v>1</v>
      </c>
      <c r="J200" t="s">
        <v>471</v>
      </c>
    </row>
    <row r="201" spans="1:10" hidden="1" x14ac:dyDescent="0.25">
      <c r="A201">
        <v>2</v>
      </c>
      <c r="B201" s="1">
        <v>45891</v>
      </c>
      <c r="C201" t="s">
        <v>8</v>
      </c>
      <c r="D201" t="s">
        <v>107</v>
      </c>
      <c r="E201" t="s">
        <v>219</v>
      </c>
      <c r="F201" t="s">
        <v>488</v>
      </c>
      <c r="G201">
        <v>10</v>
      </c>
      <c r="H201" s="2">
        <v>1000000</v>
      </c>
      <c r="I201">
        <v>2</v>
      </c>
      <c r="J201" t="s">
        <v>107</v>
      </c>
    </row>
    <row r="202" spans="1:10" hidden="1" x14ac:dyDescent="0.25">
      <c r="A202">
        <v>2</v>
      </c>
      <c r="B202" s="1">
        <v>45891</v>
      </c>
      <c r="C202" t="s">
        <v>8</v>
      </c>
      <c r="D202" t="s">
        <v>215</v>
      </c>
      <c r="E202" t="s">
        <v>219</v>
      </c>
      <c r="F202" t="s">
        <v>456</v>
      </c>
      <c r="G202">
        <v>0</v>
      </c>
      <c r="H202" s="2">
        <v>0</v>
      </c>
      <c r="I202">
        <v>2</v>
      </c>
      <c r="J202" t="s">
        <v>402</v>
      </c>
    </row>
    <row r="203" spans="1:10" hidden="1" x14ac:dyDescent="0.25">
      <c r="A203">
        <v>2</v>
      </c>
      <c r="B203" s="1">
        <v>45891</v>
      </c>
      <c r="C203" t="s">
        <v>8</v>
      </c>
      <c r="D203" t="s">
        <v>249</v>
      </c>
      <c r="E203" t="s">
        <v>219</v>
      </c>
      <c r="F203" t="s">
        <v>449</v>
      </c>
      <c r="G203">
        <v>1</v>
      </c>
      <c r="H203" s="2">
        <v>100000</v>
      </c>
      <c r="I203">
        <v>2</v>
      </c>
      <c r="J203" t="s">
        <v>249</v>
      </c>
    </row>
    <row r="204" spans="1:10" hidden="1" x14ac:dyDescent="0.25">
      <c r="A204">
        <v>2</v>
      </c>
      <c r="B204" s="1">
        <v>45891</v>
      </c>
      <c r="C204" t="s">
        <v>8</v>
      </c>
      <c r="D204" t="s">
        <v>43</v>
      </c>
      <c r="E204" t="s">
        <v>219</v>
      </c>
      <c r="F204" t="s">
        <v>480</v>
      </c>
      <c r="G204">
        <v>10</v>
      </c>
      <c r="H204" s="2">
        <v>1000000</v>
      </c>
      <c r="I204">
        <v>2</v>
      </c>
      <c r="J204" t="s">
        <v>43</v>
      </c>
    </row>
    <row r="205" spans="1:10" hidden="1" x14ac:dyDescent="0.25">
      <c r="A205">
        <v>2</v>
      </c>
      <c r="B205" s="1">
        <v>45891</v>
      </c>
      <c r="C205" t="s">
        <v>8</v>
      </c>
      <c r="D205" t="s">
        <v>68</v>
      </c>
      <c r="E205" t="s">
        <v>459</v>
      </c>
      <c r="F205" t="s">
        <v>461</v>
      </c>
      <c r="G205">
        <v>3</v>
      </c>
      <c r="H205" s="2">
        <v>300000</v>
      </c>
      <c r="I205">
        <v>3</v>
      </c>
      <c r="J205" t="s">
        <v>68</v>
      </c>
    </row>
    <row r="206" spans="1:10" hidden="1" x14ac:dyDescent="0.25">
      <c r="A206">
        <v>2</v>
      </c>
      <c r="B206" s="1">
        <v>45891</v>
      </c>
      <c r="C206" t="s">
        <v>8</v>
      </c>
      <c r="D206" t="s">
        <v>41</v>
      </c>
      <c r="E206" t="s">
        <v>459</v>
      </c>
      <c r="F206" t="s">
        <v>465</v>
      </c>
      <c r="G206">
        <v>0</v>
      </c>
      <c r="H206" s="2">
        <v>0</v>
      </c>
      <c r="I206">
        <v>3</v>
      </c>
      <c r="J206" t="s">
        <v>41</v>
      </c>
    </row>
    <row r="207" spans="1:10" hidden="1" x14ac:dyDescent="0.25">
      <c r="A207">
        <v>2</v>
      </c>
      <c r="B207" s="1">
        <v>45891</v>
      </c>
      <c r="C207" t="s">
        <v>8</v>
      </c>
      <c r="D207" t="s">
        <v>111</v>
      </c>
      <c r="E207" t="s">
        <v>459</v>
      </c>
      <c r="F207" t="s">
        <v>474</v>
      </c>
      <c r="G207">
        <v>3</v>
      </c>
      <c r="H207" s="2">
        <v>300000</v>
      </c>
      <c r="I207">
        <v>3</v>
      </c>
      <c r="J207" t="s">
        <v>111</v>
      </c>
    </row>
    <row r="208" spans="1:10" hidden="1" x14ac:dyDescent="0.25">
      <c r="A208">
        <v>2</v>
      </c>
      <c r="B208" s="1">
        <v>45891</v>
      </c>
      <c r="C208" t="s">
        <v>8</v>
      </c>
      <c r="D208" t="s">
        <v>40</v>
      </c>
      <c r="E208" t="s">
        <v>459</v>
      </c>
      <c r="F208" t="s">
        <v>474</v>
      </c>
      <c r="G208">
        <v>2</v>
      </c>
      <c r="H208" s="2">
        <v>200000</v>
      </c>
      <c r="I208">
        <v>3</v>
      </c>
      <c r="J208" t="s">
        <v>40</v>
      </c>
    </row>
    <row r="209" spans="1:10" hidden="1" x14ac:dyDescent="0.25">
      <c r="A209">
        <v>2</v>
      </c>
      <c r="B209" s="1">
        <v>45891</v>
      </c>
      <c r="C209" t="s">
        <v>8</v>
      </c>
      <c r="D209" t="s">
        <v>92</v>
      </c>
      <c r="E209" t="s">
        <v>89</v>
      </c>
      <c r="F209" t="s">
        <v>461</v>
      </c>
      <c r="G209">
        <v>6</v>
      </c>
      <c r="H209" s="2">
        <v>600000</v>
      </c>
      <c r="I209">
        <v>4</v>
      </c>
      <c r="J209" t="s">
        <v>92</v>
      </c>
    </row>
    <row r="210" spans="1:10" hidden="1" x14ac:dyDescent="0.25">
      <c r="A210">
        <v>2</v>
      </c>
      <c r="B210" s="1">
        <v>45891</v>
      </c>
      <c r="C210" t="s">
        <v>8</v>
      </c>
      <c r="D210" t="s">
        <v>71</v>
      </c>
      <c r="E210" t="s">
        <v>89</v>
      </c>
      <c r="F210" t="s">
        <v>472</v>
      </c>
      <c r="G210">
        <v>2</v>
      </c>
      <c r="H210" s="2">
        <v>200000</v>
      </c>
      <c r="I210">
        <v>4</v>
      </c>
      <c r="J210" t="s">
        <v>693</v>
      </c>
    </row>
    <row r="211" spans="1:10" hidden="1" x14ac:dyDescent="0.25">
      <c r="A211">
        <v>2</v>
      </c>
      <c r="B211" s="1">
        <v>45891</v>
      </c>
      <c r="C211" t="s">
        <v>7</v>
      </c>
      <c r="D211" t="s">
        <v>54</v>
      </c>
      <c r="E211" t="s">
        <v>77</v>
      </c>
      <c r="F211" t="s">
        <v>488</v>
      </c>
      <c r="G211">
        <v>3</v>
      </c>
      <c r="H211" s="2">
        <v>300000</v>
      </c>
      <c r="I211">
        <v>1</v>
      </c>
      <c r="J211" t="s">
        <v>54</v>
      </c>
    </row>
    <row r="212" spans="1:10" hidden="1" x14ac:dyDescent="0.25">
      <c r="A212">
        <v>2</v>
      </c>
      <c r="B212" s="1">
        <v>45891</v>
      </c>
      <c r="C212" t="s">
        <v>7</v>
      </c>
      <c r="D212" t="s">
        <v>99</v>
      </c>
      <c r="E212" t="s">
        <v>219</v>
      </c>
      <c r="F212" t="s">
        <v>474</v>
      </c>
      <c r="G212">
        <v>4</v>
      </c>
      <c r="H212" s="2">
        <v>400000</v>
      </c>
      <c r="I212">
        <v>2</v>
      </c>
      <c r="J212" t="s">
        <v>99</v>
      </c>
    </row>
    <row r="213" spans="1:10" hidden="1" x14ac:dyDescent="0.25">
      <c r="A213">
        <v>2</v>
      </c>
      <c r="B213" s="1">
        <v>45891</v>
      </c>
      <c r="C213" t="s">
        <v>7</v>
      </c>
      <c r="D213" t="s">
        <v>55</v>
      </c>
      <c r="E213" t="s">
        <v>219</v>
      </c>
      <c r="F213" t="s">
        <v>480</v>
      </c>
      <c r="G213">
        <v>0</v>
      </c>
      <c r="H213" s="2">
        <v>0</v>
      </c>
      <c r="I213">
        <v>2</v>
      </c>
      <c r="J213" t="s">
        <v>55</v>
      </c>
    </row>
    <row r="214" spans="1:10" hidden="1" x14ac:dyDescent="0.25">
      <c r="A214">
        <v>2</v>
      </c>
      <c r="B214" s="1">
        <v>45891</v>
      </c>
      <c r="C214" t="s">
        <v>7</v>
      </c>
      <c r="D214" t="s">
        <v>227</v>
      </c>
      <c r="E214" t="s">
        <v>219</v>
      </c>
      <c r="F214" t="s">
        <v>447</v>
      </c>
      <c r="G214">
        <v>2</v>
      </c>
      <c r="H214" s="2">
        <v>200000</v>
      </c>
      <c r="I214">
        <v>2</v>
      </c>
      <c r="J214" t="s">
        <v>617</v>
      </c>
    </row>
    <row r="215" spans="1:10" hidden="1" x14ac:dyDescent="0.25">
      <c r="A215">
        <v>2</v>
      </c>
      <c r="B215" s="1">
        <v>45891</v>
      </c>
      <c r="C215" t="s">
        <v>7</v>
      </c>
      <c r="D215" t="s">
        <v>100</v>
      </c>
      <c r="E215" t="s">
        <v>219</v>
      </c>
      <c r="F215" t="s">
        <v>488</v>
      </c>
      <c r="G215">
        <v>4</v>
      </c>
      <c r="H215" s="2">
        <v>400000</v>
      </c>
      <c r="I215">
        <v>2</v>
      </c>
      <c r="J215" t="s">
        <v>100</v>
      </c>
    </row>
    <row r="216" spans="1:10" hidden="1" x14ac:dyDescent="0.25">
      <c r="A216">
        <v>2</v>
      </c>
      <c r="B216" s="1">
        <v>45891</v>
      </c>
      <c r="C216" t="s">
        <v>7</v>
      </c>
      <c r="D216" t="s">
        <v>239</v>
      </c>
      <c r="E216" t="s">
        <v>459</v>
      </c>
      <c r="F216" t="s">
        <v>474</v>
      </c>
      <c r="G216">
        <v>26</v>
      </c>
      <c r="H216" s="2">
        <v>2600000</v>
      </c>
      <c r="I216">
        <v>3</v>
      </c>
      <c r="J216" t="s">
        <v>239</v>
      </c>
    </row>
    <row r="217" spans="1:10" hidden="1" x14ac:dyDescent="0.25">
      <c r="A217">
        <v>2</v>
      </c>
      <c r="B217" s="1">
        <v>45891</v>
      </c>
      <c r="C217" t="s">
        <v>7</v>
      </c>
      <c r="D217" t="s">
        <v>104</v>
      </c>
      <c r="E217" t="s">
        <v>459</v>
      </c>
      <c r="F217" t="s">
        <v>465</v>
      </c>
      <c r="G217">
        <v>2</v>
      </c>
      <c r="H217" s="2">
        <v>200000</v>
      </c>
      <c r="I217">
        <v>3</v>
      </c>
      <c r="J217" t="s">
        <v>104</v>
      </c>
    </row>
    <row r="218" spans="1:10" hidden="1" x14ac:dyDescent="0.25">
      <c r="A218">
        <v>2</v>
      </c>
      <c r="B218" s="1">
        <v>45891</v>
      </c>
      <c r="C218" t="s">
        <v>7</v>
      </c>
      <c r="D218" t="s">
        <v>101</v>
      </c>
      <c r="E218" t="s">
        <v>459</v>
      </c>
      <c r="F218" t="s">
        <v>465</v>
      </c>
      <c r="G218">
        <v>3</v>
      </c>
      <c r="H218" s="2">
        <v>300000</v>
      </c>
      <c r="I218">
        <v>3</v>
      </c>
      <c r="J218" t="s">
        <v>101</v>
      </c>
    </row>
    <row r="219" spans="1:10" hidden="1" x14ac:dyDescent="0.25">
      <c r="A219">
        <v>2</v>
      </c>
      <c r="B219" s="1">
        <v>45891</v>
      </c>
      <c r="C219" t="s">
        <v>7</v>
      </c>
      <c r="D219" t="s">
        <v>303</v>
      </c>
      <c r="E219" t="s">
        <v>89</v>
      </c>
      <c r="F219" t="s">
        <v>488</v>
      </c>
      <c r="G219">
        <v>4</v>
      </c>
      <c r="H219" s="2">
        <v>400000</v>
      </c>
      <c r="I219">
        <v>4</v>
      </c>
      <c r="J219" t="s">
        <v>303</v>
      </c>
    </row>
    <row r="220" spans="1:10" hidden="1" x14ac:dyDescent="0.25">
      <c r="A220">
        <v>2</v>
      </c>
      <c r="B220" s="1">
        <v>45891</v>
      </c>
      <c r="C220" t="s">
        <v>7</v>
      </c>
      <c r="D220" t="s">
        <v>246</v>
      </c>
      <c r="E220" t="s">
        <v>89</v>
      </c>
      <c r="F220" t="s">
        <v>485</v>
      </c>
      <c r="G220">
        <v>2</v>
      </c>
      <c r="H220" s="2">
        <v>200000</v>
      </c>
      <c r="I220">
        <v>4</v>
      </c>
      <c r="J220" t="s">
        <v>246</v>
      </c>
    </row>
    <row r="221" spans="1:10" hidden="1" x14ac:dyDescent="0.25">
      <c r="A221">
        <v>2</v>
      </c>
      <c r="B221" s="1">
        <v>45891</v>
      </c>
      <c r="C221" t="s">
        <v>7</v>
      </c>
      <c r="D221" t="s">
        <v>199</v>
      </c>
      <c r="E221" t="s">
        <v>89</v>
      </c>
      <c r="F221" t="s">
        <v>455</v>
      </c>
      <c r="G221">
        <v>0</v>
      </c>
      <c r="H221" s="2">
        <v>0</v>
      </c>
      <c r="I221">
        <v>4</v>
      </c>
      <c r="J221" t="s">
        <v>199</v>
      </c>
    </row>
    <row r="222" spans="1:10" hidden="1" x14ac:dyDescent="0.25">
      <c r="A222">
        <v>3</v>
      </c>
      <c r="B222" s="1">
        <v>45898</v>
      </c>
      <c r="C222" t="s">
        <v>10</v>
      </c>
      <c r="D222" t="s">
        <v>253</v>
      </c>
      <c r="E222" t="s">
        <v>77</v>
      </c>
      <c r="F222" t="s">
        <v>465</v>
      </c>
      <c r="G222">
        <v>8</v>
      </c>
      <c r="H222" s="2">
        <v>800000</v>
      </c>
      <c r="I222">
        <v>1</v>
      </c>
      <c r="J222" t="s">
        <v>253</v>
      </c>
    </row>
    <row r="223" spans="1:10" hidden="1" x14ac:dyDescent="0.25">
      <c r="A223">
        <v>3</v>
      </c>
      <c r="B223" s="1">
        <v>45898</v>
      </c>
      <c r="C223" t="s">
        <v>10</v>
      </c>
      <c r="D223" t="s">
        <v>233</v>
      </c>
      <c r="E223" t="s">
        <v>219</v>
      </c>
      <c r="F223" t="s">
        <v>458</v>
      </c>
      <c r="G223">
        <v>9</v>
      </c>
      <c r="H223" s="2">
        <v>900000</v>
      </c>
      <c r="I223">
        <v>2</v>
      </c>
      <c r="J223" t="s">
        <v>233</v>
      </c>
    </row>
    <row r="224" spans="1:10" hidden="1" x14ac:dyDescent="0.25">
      <c r="A224">
        <v>3</v>
      </c>
      <c r="B224" s="1">
        <v>45898</v>
      </c>
      <c r="C224" t="s">
        <v>10</v>
      </c>
      <c r="D224" t="s">
        <v>152</v>
      </c>
      <c r="E224" t="s">
        <v>219</v>
      </c>
      <c r="F224" t="s">
        <v>447</v>
      </c>
      <c r="G224">
        <v>4</v>
      </c>
      <c r="H224" s="2">
        <v>400000</v>
      </c>
      <c r="I224">
        <v>2</v>
      </c>
      <c r="J224" t="s">
        <v>390</v>
      </c>
    </row>
    <row r="225" spans="1:10" hidden="1" x14ac:dyDescent="0.25">
      <c r="A225">
        <v>3</v>
      </c>
      <c r="B225" s="1">
        <v>45898</v>
      </c>
      <c r="C225" t="s">
        <v>10</v>
      </c>
      <c r="D225" t="s">
        <v>69</v>
      </c>
      <c r="E225" t="s">
        <v>219</v>
      </c>
      <c r="F225" t="s">
        <v>464</v>
      </c>
      <c r="G225">
        <v>3</v>
      </c>
      <c r="H225" s="2">
        <v>300000</v>
      </c>
      <c r="I225">
        <v>2</v>
      </c>
      <c r="J225" t="s">
        <v>69</v>
      </c>
    </row>
    <row r="226" spans="1:10" hidden="1" x14ac:dyDescent="0.25">
      <c r="A226">
        <v>3</v>
      </c>
      <c r="B226" s="1">
        <v>45898</v>
      </c>
      <c r="C226" t="s">
        <v>10</v>
      </c>
      <c r="D226" t="s">
        <v>286</v>
      </c>
      <c r="E226" t="s">
        <v>459</v>
      </c>
      <c r="F226" t="s">
        <v>472</v>
      </c>
      <c r="G226">
        <v>3</v>
      </c>
      <c r="H226" s="2">
        <v>300000</v>
      </c>
      <c r="I226">
        <v>3</v>
      </c>
      <c r="J226" t="s">
        <v>365</v>
      </c>
    </row>
    <row r="227" spans="1:10" hidden="1" x14ac:dyDescent="0.25">
      <c r="A227">
        <v>3</v>
      </c>
      <c r="B227" s="1">
        <v>45898</v>
      </c>
      <c r="C227" t="s">
        <v>10</v>
      </c>
      <c r="D227" t="s">
        <v>38</v>
      </c>
      <c r="E227" t="s">
        <v>459</v>
      </c>
      <c r="F227" t="s">
        <v>448</v>
      </c>
      <c r="G227">
        <v>11</v>
      </c>
      <c r="H227" s="2">
        <v>1100000</v>
      </c>
      <c r="I227">
        <v>3</v>
      </c>
      <c r="J227" t="s">
        <v>373</v>
      </c>
    </row>
    <row r="228" spans="1:10" hidden="1" x14ac:dyDescent="0.25">
      <c r="A228">
        <v>3</v>
      </c>
      <c r="B228" s="1">
        <v>45898</v>
      </c>
      <c r="C228" t="s">
        <v>10</v>
      </c>
      <c r="D228" t="s">
        <v>271</v>
      </c>
      <c r="E228" t="s">
        <v>459</v>
      </c>
      <c r="F228" t="s">
        <v>514</v>
      </c>
      <c r="G228">
        <v>7</v>
      </c>
      <c r="H228" s="2">
        <v>700000</v>
      </c>
      <c r="I228">
        <v>3</v>
      </c>
      <c r="J228" t="s">
        <v>558</v>
      </c>
    </row>
    <row r="229" spans="1:10" hidden="1" x14ac:dyDescent="0.25">
      <c r="A229">
        <v>3</v>
      </c>
      <c r="B229" s="1">
        <v>45898</v>
      </c>
      <c r="C229" t="s">
        <v>10</v>
      </c>
      <c r="D229" t="s">
        <v>45</v>
      </c>
      <c r="E229" t="s">
        <v>459</v>
      </c>
      <c r="F229" t="s">
        <v>474</v>
      </c>
      <c r="G229">
        <v>5</v>
      </c>
      <c r="H229" s="2">
        <v>500000</v>
      </c>
      <c r="I229">
        <v>3</v>
      </c>
      <c r="J229" t="s">
        <v>396</v>
      </c>
    </row>
    <row r="230" spans="1:10" hidden="1" x14ac:dyDescent="0.25">
      <c r="A230">
        <v>3</v>
      </c>
      <c r="B230" s="1">
        <v>45898</v>
      </c>
      <c r="C230" t="s">
        <v>10</v>
      </c>
      <c r="D230" t="s">
        <v>102</v>
      </c>
      <c r="E230" t="s">
        <v>459</v>
      </c>
      <c r="F230" t="s">
        <v>472</v>
      </c>
      <c r="G230">
        <v>4</v>
      </c>
      <c r="H230" s="2">
        <v>400000</v>
      </c>
      <c r="I230">
        <v>3</v>
      </c>
      <c r="J230" t="s">
        <v>346</v>
      </c>
    </row>
    <row r="231" spans="1:10" hidden="1" x14ac:dyDescent="0.25">
      <c r="A231">
        <v>3</v>
      </c>
      <c r="B231" s="1">
        <v>45898</v>
      </c>
      <c r="C231" t="s">
        <v>10</v>
      </c>
      <c r="D231" t="s">
        <v>281</v>
      </c>
      <c r="E231" t="s">
        <v>89</v>
      </c>
      <c r="F231" t="s">
        <v>496</v>
      </c>
      <c r="G231">
        <v>2</v>
      </c>
      <c r="H231" s="2">
        <v>200000</v>
      </c>
      <c r="I231">
        <v>4</v>
      </c>
      <c r="J231" t="s">
        <v>397</v>
      </c>
    </row>
    <row r="232" spans="1:10" hidden="1" x14ac:dyDescent="0.25">
      <c r="A232">
        <v>3</v>
      </c>
      <c r="B232" s="1">
        <v>45898</v>
      </c>
      <c r="C232" t="s">
        <v>10</v>
      </c>
      <c r="D232" t="s">
        <v>270</v>
      </c>
      <c r="E232" t="s">
        <v>89</v>
      </c>
      <c r="F232" t="s">
        <v>472</v>
      </c>
      <c r="G232">
        <v>1</v>
      </c>
      <c r="H232" s="2">
        <v>100000</v>
      </c>
      <c r="I232">
        <v>4</v>
      </c>
      <c r="J232" t="s">
        <v>423</v>
      </c>
    </row>
    <row r="233" spans="1:10" hidden="1" x14ac:dyDescent="0.25">
      <c r="A233">
        <v>3</v>
      </c>
      <c r="B233" s="1">
        <v>45898</v>
      </c>
      <c r="C233" t="s">
        <v>14</v>
      </c>
      <c r="D233" t="s">
        <v>229</v>
      </c>
      <c r="E233" t="s">
        <v>77</v>
      </c>
      <c r="F233" t="s">
        <v>480</v>
      </c>
      <c r="G233">
        <v>2</v>
      </c>
      <c r="H233" s="2">
        <v>200000</v>
      </c>
      <c r="I233">
        <v>1</v>
      </c>
      <c r="J233" t="s">
        <v>738</v>
      </c>
    </row>
    <row r="234" spans="1:10" hidden="1" x14ac:dyDescent="0.25">
      <c r="A234">
        <v>3</v>
      </c>
      <c r="B234" s="1">
        <v>45898</v>
      </c>
      <c r="C234" t="s">
        <v>14</v>
      </c>
      <c r="D234" t="s">
        <v>139</v>
      </c>
      <c r="E234" t="s">
        <v>219</v>
      </c>
      <c r="F234" t="s">
        <v>458</v>
      </c>
      <c r="G234">
        <v>8</v>
      </c>
      <c r="H234" s="2">
        <v>800000</v>
      </c>
      <c r="I234">
        <v>2</v>
      </c>
      <c r="J234" t="s">
        <v>371</v>
      </c>
    </row>
    <row r="235" spans="1:10" hidden="1" x14ac:dyDescent="0.25">
      <c r="A235">
        <v>3</v>
      </c>
      <c r="B235" s="1">
        <v>45898</v>
      </c>
      <c r="C235" t="s">
        <v>14</v>
      </c>
      <c r="D235" t="s">
        <v>256</v>
      </c>
      <c r="E235" t="s">
        <v>219</v>
      </c>
      <c r="F235" t="s">
        <v>496</v>
      </c>
      <c r="G235">
        <v>0</v>
      </c>
      <c r="H235" s="2">
        <v>0</v>
      </c>
      <c r="I235">
        <v>2</v>
      </c>
      <c r="J235" t="s">
        <v>606</v>
      </c>
    </row>
    <row r="236" spans="1:10" hidden="1" x14ac:dyDescent="0.25">
      <c r="A236">
        <v>3</v>
      </c>
      <c r="B236" s="1">
        <v>45898</v>
      </c>
      <c r="C236" t="s">
        <v>14</v>
      </c>
      <c r="D236" t="s">
        <v>182</v>
      </c>
      <c r="E236" t="s">
        <v>219</v>
      </c>
      <c r="F236" t="s">
        <v>474</v>
      </c>
      <c r="G236">
        <v>3</v>
      </c>
      <c r="H236" s="2">
        <v>300000</v>
      </c>
      <c r="I236">
        <v>2</v>
      </c>
      <c r="J236" t="s">
        <v>711</v>
      </c>
    </row>
    <row r="237" spans="1:10" hidden="1" x14ac:dyDescent="0.25">
      <c r="A237">
        <v>3</v>
      </c>
      <c r="B237" s="1">
        <v>45898</v>
      </c>
      <c r="C237" t="s">
        <v>14</v>
      </c>
      <c r="D237" t="s">
        <v>70</v>
      </c>
      <c r="E237" t="s">
        <v>219</v>
      </c>
      <c r="F237" t="s">
        <v>474</v>
      </c>
      <c r="G237">
        <v>1</v>
      </c>
      <c r="H237" s="2">
        <v>100000</v>
      </c>
      <c r="I237">
        <v>2</v>
      </c>
      <c r="J237" t="s">
        <v>70</v>
      </c>
    </row>
    <row r="238" spans="1:10" hidden="1" x14ac:dyDescent="0.25">
      <c r="A238">
        <v>3</v>
      </c>
      <c r="B238" s="1">
        <v>45898</v>
      </c>
      <c r="C238" t="s">
        <v>14</v>
      </c>
      <c r="D238" t="s">
        <v>144</v>
      </c>
      <c r="E238" t="s">
        <v>459</v>
      </c>
      <c r="F238" t="s">
        <v>453</v>
      </c>
      <c r="G238">
        <v>2</v>
      </c>
      <c r="H238" s="2">
        <v>200000</v>
      </c>
      <c r="I238">
        <v>3</v>
      </c>
      <c r="J238" t="s">
        <v>144</v>
      </c>
    </row>
    <row r="239" spans="1:10" hidden="1" x14ac:dyDescent="0.25">
      <c r="A239">
        <v>3</v>
      </c>
      <c r="B239" s="1">
        <v>45898</v>
      </c>
      <c r="C239" t="s">
        <v>14</v>
      </c>
      <c r="D239" t="s">
        <v>263</v>
      </c>
      <c r="E239" t="s">
        <v>459</v>
      </c>
      <c r="F239" t="s">
        <v>496</v>
      </c>
      <c r="G239">
        <v>1</v>
      </c>
      <c r="H239" s="2">
        <v>100000</v>
      </c>
      <c r="I239">
        <v>3</v>
      </c>
      <c r="J239" t="s">
        <v>412</v>
      </c>
    </row>
    <row r="240" spans="1:10" hidden="1" x14ac:dyDescent="0.25">
      <c r="A240">
        <v>3</v>
      </c>
      <c r="B240" s="1">
        <v>45898</v>
      </c>
      <c r="C240" t="s">
        <v>14</v>
      </c>
      <c r="D240" t="s">
        <v>37</v>
      </c>
      <c r="E240" t="s">
        <v>459</v>
      </c>
      <c r="F240" t="s">
        <v>472</v>
      </c>
      <c r="G240">
        <v>4</v>
      </c>
      <c r="H240" s="2">
        <v>400000</v>
      </c>
      <c r="I240">
        <v>3</v>
      </c>
      <c r="J240" t="s">
        <v>703</v>
      </c>
    </row>
    <row r="241" spans="1:10" hidden="1" x14ac:dyDescent="0.25">
      <c r="A241">
        <v>3</v>
      </c>
      <c r="B241" s="1">
        <v>45898</v>
      </c>
      <c r="C241" t="s">
        <v>14</v>
      </c>
      <c r="D241" t="s">
        <v>186</v>
      </c>
      <c r="E241" t="s">
        <v>89</v>
      </c>
      <c r="F241" t="s">
        <v>480</v>
      </c>
      <c r="G241">
        <v>6</v>
      </c>
      <c r="H241" s="2">
        <v>600000</v>
      </c>
      <c r="I241">
        <v>4</v>
      </c>
      <c r="J241" t="s">
        <v>186</v>
      </c>
    </row>
    <row r="242" spans="1:10" hidden="1" x14ac:dyDescent="0.25">
      <c r="A242">
        <v>3</v>
      </c>
      <c r="B242" s="1">
        <v>45898</v>
      </c>
      <c r="C242" t="s">
        <v>14</v>
      </c>
      <c r="D242" t="s">
        <v>195</v>
      </c>
      <c r="E242" t="s">
        <v>89</v>
      </c>
      <c r="F242" t="s">
        <v>472</v>
      </c>
      <c r="G242">
        <v>4</v>
      </c>
      <c r="H242" s="2">
        <v>400000</v>
      </c>
      <c r="I242">
        <v>4</v>
      </c>
      <c r="J242" t="s">
        <v>195</v>
      </c>
    </row>
    <row r="243" spans="1:10" hidden="1" x14ac:dyDescent="0.25">
      <c r="A243">
        <v>3</v>
      </c>
      <c r="B243" s="1">
        <v>45898</v>
      </c>
      <c r="C243" t="s">
        <v>14</v>
      </c>
      <c r="D243" t="s">
        <v>311</v>
      </c>
      <c r="E243" t="s">
        <v>89</v>
      </c>
      <c r="F243" t="s">
        <v>485</v>
      </c>
      <c r="G243">
        <v>10</v>
      </c>
      <c r="H243" s="2">
        <v>1000000</v>
      </c>
      <c r="I243">
        <v>4</v>
      </c>
      <c r="J243" t="s">
        <v>377</v>
      </c>
    </row>
    <row r="244" spans="1:10" hidden="1" x14ac:dyDescent="0.25">
      <c r="A244">
        <v>3</v>
      </c>
      <c r="B244" s="1">
        <v>45898</v>
      </c>
      <c r="C244" t="s">
        <v>768</v>
      </c>
      <c r="D244" t="s">
        <v>137</v>
      </c>
      <c r="E244" t="s">
        <v>77</v>
      </c>
      <c r="F244" t="s">
        <v>485</v>
      </c>
      <c r="G244">
        <v>7</v>
      </c>
      <c r="H244" s="2">
        <v>700000</v>
      </c>
      <c r="I244">
        <v>1</v>
      </c>
      <c r="J244" t="s">
        <v>137</v>
      </c>
    </row>
    <row r="245" spans="1:10" hidden="1" x14ac:dyDescent="0.25">
      <c r="A245">
        <v>3</v>
      </c>
      <c r="B245" s="1">
        <v>45898</v>
      </c>
      <c r="C245" t="s">
        <v>768</v>
      </c>
      <c r="D245" t="s">
        <v>150</v>
      </c>
      <c r="E245" t="s">
        <v>219</v>
      </c>
      <c r="F245" t="s">
        <v>451</v>
      </c>
      <c r="G245">
        <v>1</v>
      </c>
      <c r="H245" s="2">
        <v>100000</v>
      </c>
      <c r="I245">
        <v>2</v>
      </c>
      <c r="J245" t="s">
        <v>150</v>
      </c>
    </row>
    <row r="246" spans="1:10" hidden="1" x14ac:dyDescent="0.25">
      <c r="A246">
        <v>3</v>
      </c>
      <c r="B246" s="1">
        <v>45898</v>
      </c>
      <c r="C246" t="s">
        <v>768</v>
      </c>
      <c r="D246" t="s">
        <v>107</v>
      </c>
      <c r="E246" t="s">
        <v>219</v>
      </c>
      <c r="F246" t="s">
        <v>488</v>
      </c>
      <c r="G246">
        <v>3</v>
      </c>
      <c r="H246" s="2">
        <v>300000</v>
      </c>
      <c r="I246">
        <v>2</v>
      </c>
      <c r="J246" t="s">
        <v>107</v>
      </c>
    </row>
    <row r="247" spans="1:10" hidden="1" x14ac:dyDescent="0.25">
      <c r="A247">
        <v>3</v>
      </c>
      <c r="B247" s="1">
        <v>45898</v>
      </c>
      <c r="C247" t="s">
        <v>768</v>
      </c>
      <c r="D247" t="s">
        <v>118</v>
      </c>
      <c r="E247" t="s">
        <v>219</v>
      </c>
      <c r="F247" t="s">
        <v>451</v>
      </c>
      <c r="G247">
        <v>0</v>
      </c>
      <c r="H247" s="2">
        <v>0</v>
      </c>
      <c r="I247">
        <v>2</v>
      </c>
      <c r="J247" t="s">
        <v>118</v>
      </c>
    </row>
    <row r="248" spans="1:10" hidden="1" x14ac:dyDescent="0.25">
      <c r="A248">
        <v>3</v>
      </c>
      <c r="B248" s="1">
        <v>45898</v>
      </c>
      <c r="C248" t="s">
        <v>768</v>
      </c>
      <c r="D248" t="s">
        <v>213</v>
      </c>
      <c r="E248" t="s">
        <v>219</v>
      </c>
      <c r="F248" t="s">
        <v>480</v>
      </c>
      <c r="G248">
        <v>4</v>
      </c>
      <c r="H248" s="2">
        <v>400000</v>
      </c>
      <c r="I248">
        <v>2</v>
      </c>
      <c r="J248" t="s">
        <v>213</v>
      </c>
    </row>
    <row r="249" spans="1:10" hidden="1" x14ac:dyDescent="0.25">
      <c r="A249">
        <v>3</v>
      </c>
      <c r="B249" s="1">
        <v>45898</v>
      </c>
      <c r="C249" t="s">
        <v>768</v>
      </c>
      <c r="D249" t="s">
        <v>114</v>
      </c>
      <c r="E249" t="s">
        <v>219</v>
      </c>
      <c r="F249" t="s">
        <v>469</v>
      </c>
      <c r="G249">
        <v>4</v>
      </c>
      <c r="H249" s="2">
        <v>400000</v>
      </c>
      <c r="I249">
        <v>2</v>
      </c>
      <c r="J249" t="s">
        <v>114</v>
      </c>
    </row>
    <row r="250" spans="1:10" hidden="1" x14ac:dyDescent="0.25">
      <c r="A250">
        <v>3</v>
      </c>
      <c r="B250" s="1">
        <v>45898</v>
      </c>
      <c r="C250" t="s">
        <v>768</v>
      </c>
      <c r="D250" t="s">
        <v>68</v>
      </c>
      <c r="E250" t="s">
        <v>459</v>
      </c>
      <c r="F250" t="s">
        <v>461</v>
      </c>
      <c r="G250">
        <v>7</v>
      </c>
      <c r="H250" s="2">
        <v>700000</v>
      </c>
      <c r="I250">
        <v>3</v>
      </c>
      <c r="J250" t="s">
        <v>68</v>
      </c>
    </row>
    <row r="251" spans="1:10" hidden="1" x14ac:dyDescent="0.25">
      <c r="A251">
        <v>3</v>
      </c>
      <c r="B251" s="1">
        <v>45898</v>
      </c>
      <c r="C251" t="s">
        <v>768</v>
      </c>
      <c r="D251" t="s">
        <v>158</v>
      </c>
      <c r="E251" t="s">
        <v>459</v>
      </c>
      <c r="F251" t="s">
        <v>469</v>
      </c>
      <c r="G251">
        <v>2</v>
      </c>
      <c r="H251" s="2">
        <v>200000</v>
      </c>
      <c r="I251">
        <v>3</v>
      </c>
      <c r="J251" t="s">
        <v>374</v>
      </c>
    </row>
    <row r="252" spans="1:10" hidden="1" x14ac:dyDescent="0.25">
      <c r="A252">
        <v>3</v>
      </c>
      <c r="B252" s="1">
        <v>45898</v>
      </c>
      <c r="C252" t="s">
        <v>768</v>
      </c>
      <c r="D252" t="s">
        <v>326</v>
      </c>
      <c r="E252" t="s">
        <v>459</v>
      </c>
      <c r="F252" t="s">
        <v>456</v>
      </c>
      <c r="G252">
        <v>4</v>
      </c>
      <c r="H252" s="2">
        <v>400000</v>
      </c>
      <c r="I252">
        <v>3</v>
      </c>
      <c r="J252" t="s">
        <v>404</v>
      </c>
    </row>
    <row r="253" spans="1:10" hidden="1" x14ac:dyDescent="0.25">
      <c r="A253">
        <v>3</v>
      </c>
      <c r="B253" s="1">
        <v>45898</v>
      </c>
      <c r="C253" t="s">
        <v>768</v>
      </c>
      <c r="D253" t="s">
        <v>84</v>
      </c>
      <c r="E253" t="s">
        <v>459</v>
      </c>
      <c r="F253" t="s">
        <v>514</v>
      </c>
      <c r="G253">
        <v>2</v>
      </c>
      <c r="H253" s="2">
        <v>200000</v>
      </c>
      <c r="I253">
        <v>3</v>
      </c>
      <c r="J253" t="s">
        <v>84</v>
      </c>
    </row>
    <row r="254" spans="1:10" hidden="1" x14ac:dyDescent="0.25">
      <c r="A254">
        <v>3</v>
      </c>
      <c r="B254" s="1">
        <v>45898</v>
      </c>
      <c r="C254" t="s">
        <v>768</v>
      </c>
      <c r="D254" t="s">
        <v>122</v>
      </c>
      <c r="E254" t="s">
        <v>89</v>
      </c>
      <c r="F254" t="s">
        <v>474</v>
      </c>
      <c r="G254">
        <v>0</v>
      </c>
      <c r="H254" s="2">
        <v>0</v>
      </c>
      <c r="I254">
        <v>4</v>
      </c>
      <c r="J254" t="s">
        <v>122</v>
      </c>
    </row>
    <row r="255" spans="1:10" hidden="1" x14ac:dyDescent="0.25">
      <c r="A255">
        <v>3</v>
      </c>
      <c r="B255" s="1">
        <v>45898</v>
      </c>
      <c r="C255" t="s">
        <v>11</v>
      </c>
      <c r="D255" t="s">
        <v>78</v>
      </c>
      <c r="E255" t="s">
        <v>77</v>
      </c>
      <c r="F255" t="s">
        <v>453</v>
      </c>
      <c r="G255">
        <v>3</v>
      </c>
      <c r="H255" s="2">
        <v>300000</v>
      </c>
      <c r="I255">
        <v>1</v>
      </c>
      <c r="J255" t="s">
        <v>350</v>
      </c>
    </row>
    <row r="256" spans="1:10" hidden="1" x14ac:dyDescent="0.25">
      <c r="A256">
        <v>3</v>
      </c>
      <c r="B256" s="1">
        <v>45898</v>
      </c>
      <c r="C256" t="s">
        <v>11</v>
      </c>
      <c r="D256" t="s">
        <v>115</v>
      </c>
      <c r="E256" t="s">
        <v>219</v>
      </c>
      <c r="F256" t="s">
        <v>472</v>
      </c>
      <c r="G256">
        <v>6</v>
      </c>
      <c r="H256" s="2">
        <v>600000</v>
      </c>
      <c r="I256">
        <v>2</v>
      </c>
      <c r="J256" t="s">
        <v>115</v>
      </c>
    </row>
    <row r="257" spans="1:10" hidden="1" x14ac:dyDescent="0.25">
      <c r="A257">
        <v>3</v>
      </c>
      <c r="B257" s="1">
        <v>45898</v>
      </c>
      <c r="C257" t="s">
        <v>11</v>
      </c>
      <c r="D257" t="s">
        <v>36</v>
      </c>
      <c r="E257" t="s">
        <v>219</v>
      </c>
      <c r="F257" t="s">
        <v>448</v>
      </c>
      <c r="G257">
        <v>3</v>
      </c>
      <c r="H257" s="2">
        <v>300000</v>
      </c>
      <c r="I257">
        <v>2</v>
      </c>
      <c r="J257" t="s">
        <v>379</v>
      </c>
    </row>
    <row r="258" spans="1:10" hidden="1" x14ac:dyDescent="0.25">
      <c r="A258">
        <v>3</v>
      </c>
      <c r="B258" s="1">
        <v>45898</v>
      </c>
      <c r="C258" t="s">
        <v>11</v>
      </c>
      <c r="D258" t="s">
        <v>215</v>
      </c>
      <c r="E258" t="s">
        <v>219</v>
      </c>
      <c r="F258" t="s">
        <v>456</v>
      </c>
      <c r="G258">
        <v>0</v>
      </c>
      <c r="H258" s="2">
        <v>0</v>
      </c>
      <c r="I258">
        <v>2</v>
      </c>
      <c r="J258" t="s">
        <v>402</v>
      </c>
    </row>
    <row r="259" spans="1:10" hidden="1" x14ac:dyDescent="0.25">
      <c r="A259">
        <v>3</v>
      </c>
      <c r="B259" s="1">
        <v>45898</v>
      </c>
      <c r="C259" t="s">
        <v>11</v>
      </c>
      <c r="D259" t="s">
        <v>173</v>
      </c>
      <c r="E259" t="s">
        <v>219</v>
      </c>
      <c r="F259" t="s">
        <v>453</v>
      </c>
      <c r="G259">
        <v>2</v>
      </c>
      <c r="H259" s="2">
        <v>200000</v>
      </c>
      <c r="I259">
        <v>2</v>
      </c>
      <c r="J259" t="s">
        <v>173</v>
      </c>
    </row>
    <row r="260" spans="1:10" hidden="1" x14ac:dyDescent="0.25">
      <c r="A260">
        <v>3</v>
      </c>
      <c r="B260" s="1">
        <v>45898</v>
      </c>
      <c r="C260" t="s">
        <v>11</v>
      </c>
      <c r="D260" t="s">
        <v>110</v>
      </c>
      <c r="E260" t="s">
        <v>459</v>
      </c>
      <c r="F260" t="s">
        <v>488</v>
      </c>
      <c r="G260">
        <v>6</v>
      </c>
      <c r="H260" s="2">
        <v>600000</v>
      </c>
      <c r="I260">
        <v>3</v>
      </c>
      <c r="J260" t="s">
        <v>110</v>
      </c>
    </row>
    <row r="261" spans="1:10" hidden="1" x14ac:dyDescent="0.25">
      <c r="A261">
        <v>3</v>
      </c>
      <c r="B261" s="1">
        <v>45898</v>
      </c>
      <c r="C261" t="s">
        <v>11</v>
      </c>
      <c r="D261" t="s">
        <v>119</v>
      </c>
      <c r="E261" t="s">
        <v>459</v>
      </c>
      <c r="F261" t="s">
        <v>464</v>
      </c>
      <c r="G261">
        <v>2</v>
      </c>
      <c r="H261" s="2">
        <v>200000</v>
      </c>
      <c r="I261">
        <v>3</v>
      </c>
      <c r="J261" t="s">
        <v>119</v>
      </c>
    </row>
    <row r="262" spans="1:10" hidden="1" x14ac:dyDescent="0.25">
      <c r="A262">
        <v>3</v>
      </c>
      <c r="B262" s="1">
        <v>45898</v>
      </c>
      <c r="C262" t="s">
        <v>11</v>
      </c>
      <c r="D262" t="s">
        <v>155</v>
      </c>
      <c r="E262" t="s">
        <v>459</v>
      </c>
      <c r="F262" t="s">
        <v>480</v>
      </c>
      <c r="G262">
        <v>0</v>
      </c>
      <c r="H262" s="2">
        <v>0</v>
      </c>
      <c r="I262">
        <v>3</v>
      </c>
      <c r="J262" t="s">
        <v>385</v>
      </c>
    </row>
    <row r="263" spans="1:10" hidden="1" x14ac:dyDescent="0.25">
      <c r="A263">
        <v>3</v>
      </c>
      <c r="B263" s="1">
        <v>45898</v>
      </c>
      <c r="C263" t="s">
        <v>11</v>
      </c>
      <c r="D263" t="s">
        <v>218</v>
      </c>
      <c r="E263" t="s">
        <v>459</v>
      </c>
      <c r="F263" t="s">
        <v>514</v>
      </c>
      <c r="G263">
        <v>5</v>
      </c>
      <c r="H263" s="2">
        <v>500000</v>
      </c>
      <c r="I263">
        <v>3</v>
      </c>
      <c r="J263" t="s">
        <v>416</v>
      </c>
    </row>
    <row r="264" spans="1:10" hidden="1" x14ac:dyDescent="0.25">
      <c r="A264">
        <v>3</v>
      </c>
      <c r="B264" s="1">
        <v>45898</v>
      </c>
      <c r="C264" t="s">
        <v>11</v>
      </c>
      <c r="D264" t="s">
        <v>196</v>
      </c>
      <c r="E264" t="s">
        <v>459</v>
      </c>
      <c r="F264" t="s">
        <v>448</v>
      </c>
      <c r="G264">
        <v>4</v>
      </c>
      <c r="H264" s="2">
        <v>400000</v>
      </c>
      <c r="I264">
        <v>3</v>
      </c>
      <c r="J264" t="s">
        <v>342</v>
      </c>
    </row>
    <row r="265" spans="1:10" hidden="1" x14ac:dyDescent="0.25">
      <c r="A265">
        <v>3</v>
      </c>
      <c r="B265" s="1">
        <v>45898</v>
      </c>
      <c r="C265" t="s">
        <v>11</v>
      </c>
      <c r="D265" t="s">
        <v>205</v>
      </c>
      <c r="E265" t="s">
        <v>89</v>
      </c>
      <c r="F265" t="s">
        <v>480</v>
      </c>
      <c r="G265">
        <v>7</v>
      </c>
      <c r="H265" s="2">
        <v>700000</v>
      </c>
      <c r="I265">
        <v>4</v>
      </c>
      <c r="J265" t="s">
        <v>410</v>
      </c>
    </row>
    <row r="266" spans="1:10" hidden="1" x14ac:dyDescent="0.25">
      <c r="A266">
        <v>3</v>
      </c>
      <c r="B266" s="1">
        <v>45898</v>
      </c>
      <c r="C266" t="s">
        <v>12</v>
      </c>
      <c r="D266" t="s">
        <v>332</v>
      </c>
      <c r="E266" t="s">
        <v>77</v>
      </c>
      <c r="F266" t="s">
        <v>474</v>
      </c>
      <c r="G266">
        <v>3</v>
      </c>
      <c r="H266" s="2">
        <v>300000</v>
      </c>
      <c r="I266">
        <v>1</v>
      </c>
      <c r="J266" t="s">
        <v>403</v>
      </c>
    </row>
    <row r="267" spans="1:10" hidden="1" x14ac:dyDescent="0.25">
      <c r="A267">
        <v>3</v>
      </c>
      <c r="B267" s="1">
        <v>45898</v>
      </c>
      <c r="C267" t="s">
        <v>12</v>
      </c>
      <c r="D267" t="s">
        <v>200</v>
      </c>
      <c r="E267" t="s">
        <v>219</v>
      </c>
      <c r="F267" t="s">
        <v>514</v>
      </c>
      <c r="G267">
        <v>9</v>
      </c>
      <c r="H267" s="2">
        <v>900000</v>
      </c>
      <c r="I267">
        <v>2</v>
      </c>
      <c r="J267" t="s">
        <v>200</v>
      </c>
    </row>
    <row r="268" spans="1:10" hidden="1" x14ac:dyDescent="0.25">
      <c r="A268">
        <v>3</v>
      </c>
      <c r="B268" s="1">
        <v>45898</v>
      </c>
      <c r="C268" t="s">
        <v>12</v>
      </c>
      <c r="D268" t="s">
        <v>81</v>
      </c>
      <c r="E268" t="s">
        <v>219</v>
      </c>
      <c r="F268" t="s">
        <v>448</v>
      </c>
      <c r="G268">
        <v>2</v>
      </c>
      <c r="H268" s="2">
        <v>200000</v>
      </c>
      <c r="I268">
        <v>2</v>
      </c>
      <c r="J268" t="s">
        <v>81</v>
      </c>
    </row>
    <row r="269" spans="1:10" hidden="1" x14ac:dyDescent="0.25">
      <c r="A269">
        <v>3</v>
      </c>
      <c r="B269" s="1">
        <v>45898</v>
      </c>
      <c r="C269" t="s">
        <v>12</v>
      </c>
      <c r="D269" t="s">
        <v>268</v>
      </c>
      <c r="E269" t="s">
        <v>219</v>
      </c>
      <c r="F269" t="s">
        <v>465</v>
      </c>
      <c r="G269">
        <v>2</v>
      </c>
      <c r="H269" s="2">
        <v>200000</v>
      </c>
      <c r="I269">
        <v>2</v>
      </c>
      <c r="J269" t="s">
        <v>268</v>
      </c>
    </row>
    <row r="270" spans="1:10" hidden="1" x14ac:dyDescent="0.25">
      <c r="A270">
        <v>3</v>
      </c>
      <c r="B270" s="1">
        <v>45898</v>
      </c>
      <c r="C270" t="s">
        <v>12</v>
      </c>
      <c r="D270" t="s">
        <v>234</v>
      </c>
      <c r="E270" t="s">
        <v>219</v>
      </c>
      <c r="F270" t="s">
        <v>474</v>
      </c>
      <c r="G270">
        <v>6</v>
      </c>
      <c r="H270" s="2">
        <v>600000</v>
      </c>
      <c r="I270">
        <v>2</v>
      </c>
      <c r="J270" t="s">
        <v>347</v>
      </c>
    </row>
    <row r="271" spans="1:10" hidden="1" x14ac:dyDescent="0.25">
      <c r="A271">
        <v>3</v>
      </c>
      <c r="B271" s="1">
        <v>45898</v>
      </c>
      <c r="C271" t="s">
        <v>12</v>
      </c>
      <c r="D271" t="s">
        <v>62</v>
      </c>
      <c r="E271" t="s">
        <v>459</v>
      </c>
      <c r="F271" t="s">
        <v>448</v>
      </c>
      <c r="G271">
        <v>3</v>
      </c>
      <c r="H271" s="2">
        <v>300000</v>
      </c>
      <c r="I271">
        <v>3</v>
      </c>
      <c r="J271" t="s">
        <v>62</v>
      </c>
    </row>
    <row r="272" spans="1:10" hidden="1" x14ac:dyDescent="0.25">
      <c r="A272">
        <v>3</v>
      </c>
      <c r="B272" s="1">
        <v>45898</v>
      </c>
      <c r="C272" t="s">
        <v>12</v>
      </c>
      <c r="D272" t="s">
        <v>216</v>
      </c>
      <c r="E272" t="s">
        <v>459</v>
      </c>
      <c r="F272" t="s">
        <v>458</v>
      </c>
      <c r="G272">
        <v>8</v>
      </c>
      <c r="H272" s="2">
        <v>800000</v>
      </c>
      <c r="I272">
        <v>3</v>
      </c>
      <c r="J272" t="s">
        <v>216</v>
      </c>
    </row>
    <row r="273" spans="1:10" hidden="1" x14ac:dyDescent="0.25">
      <c r="A273">
        <v>3</v>
      </c>
      <c r="B273" s="1">
        <v>45898</v>
      </c>
      <c r="C273" t="s">
        <v>12</v>
      </c>
      <c r="D273" t="s">
        <v>109</v>
      </c>
      <c r="E273" t="s">
        <v>459</v>
      </c>
      <c r="F273" t="s">
        <v>451</v>
      </c>
      <c r="G273">
        <v>4</v>
      </c>
      <c r="H273" s="2">
        <v>400000</v>
      </c>
      <c r="I273">
        <v>3</v>
      </c>
      <c r="J273" t="s">
        <v>109</v>
      </c>
    </row>
    <row r="274" spans="1:10" hidden="1" x14ac:dyDescent="0.25">
      <c r="A274">
        <v>3</v>
      </c>
      <c r="B274" s="1">
        <v>45898</v>
      </c>
      <c r="C274" t="s">
        <v>12</v>
      </c>
      <c r="D274" t="s">
        <v>333</v>
      </c>
      <c r="E274" t="s">
        <v>459</v>
      </c>
      <c r="F274" t="s">
        <v>456</v>
      </c>
      <c r="G274">
        <v>2</v>
      </c>
      <c r="H274" s="2">
        <v>200000</v>
      </c>
      <c r="I274">
        <v>3</v>
      </c>
      <c r="J274" t="s">
        <v>333</v>
      </c>
    </row>
    <row r="275" spans="1:10" hidden="1" x14ac:dyDescent="0.25">
      <c r="A275">
        <v>3</v>
      </c>
      <c r="B275" s="1">
        <v>45898</v>
      </c>
      <c r="C275" t="s">
        <v>12</v>
      </c>
      <c r="D275" t="s">
        <v>92</v>
      </c>
      <c r="E275" t="s">
        <v>89</v>
      </c>
      <c r="F275" t="s">
        <v>461</v>
      </c>
      <c r="G275">
        <v>2</v>
      </c>
      <c r="H275" s="2">
        <v>200000</v>
      </c>
      <c r="I275">
        <v>4</v>
      </c>
      <c r="J275" t="s">
        <v>92</v>
      </c>
    </row>
    <row r="276" spans="1:10" hidden="1" x14ac:dyDescent="0.25">
      <c r="A276">
        <v>3</v>
      </c>
      <c r="B276" s="1">
        <v>45898</v>
      </c>
      <c r="C276" t="s">
        <v>12</v>
      </c>
      <c r="D276" t="s">
        <v>112</v>
      </c>
      <c r="E276" t="s">
        <v>89</v>
      </c>
      <c r="F276" t="s">
        <v>465</v>
      </c>
      <c r="G276">
        <v>1</v>
      </c>
      <c r="H276" s="2">
        <v>100000</v>
      </c>
      <c r="I276">
        <v>4</v>
      </c>
      <c r="J276" t="s">
        <v>112</v>
      </c>
    </row>
    <row r="277" spans="1:10" hidden="1" x14ac:dyDescent="0.25">
      <c r="A277">
        <v>3</v>
      </c>
      <c r="B277" s="1">
        <v>45898</v>
      </c>
      <c r="C277" t="s">
        <v>6</v>
      </c>
      <c r="D277" t="s">
        <v>113</v>
      </c>
      <c r="E277" t="s">
        <v>77</v>
      </c>
      <c r="F277" t="s">
        <v>514</v>
      </c>
      <c r="G277">
        <v>10</v>
      </c>
      <c r="H277" s="2">
        <v>1000000</v>
      </c>
      <c r="I277">
        <v>1</v>
      </c>
      <c r="J277" t="s">
        <v>349</v>
      </c>
    </row>
    <row r="278" spans="1:10" hidden="1" x14ac:dyDescent="0.25">
      <c r="A278">
        <v>3</v>
      </c>
      <c r="B278" s="1">
        <v>45898</v>
      </c>
      <c r="C278" t="s">
        <v>6</v>
      </c>
      <c r="D278" t="s">
        <v>72</v>
      </c>
      <c r="E278" t="s">
        <v>219</v>
      </c>
      <c r="F278" t="s">
        <v>447</v>
      </c>
      <c r="G278">
        <v>0</v>
      </c>
      <c r="H278" s="2">
        <v>0</v>
      </c>
      <c r="I278">
        <v>2</v>
      </c>
      <c r="J278" t="s">
        <v>372</v>
      </c>
    </row>
    <row r="279" spans="1:10" hidden="1" x14ac:dyDescent="0.25">
      <c r="A279">
        <v>3</v>
      </c>
      <c r="B279" s="1">
        <v>45898</v>
      </c>
      <c r="C279" t="s">
        <v>6</v>
      </c>
      <c r="D279" t="s">
        <v>247</v>
      </c>
      <c r="E279" t="s">
        <v>219</v>
      </c>
      <c r="F279" t="s">
        <v>461</v>
      </c>
      <c r="G279">
        <v>11</v>
      </c>
      <c r="H279" s="2">
        <v>1100000</v>
      </c>
      <c r="I279">
        <v>2</v>
      </c>
      <c r="J279" t="s">
        <v>247</v>
      </c>
    </row>
    <row r="280" spans="1:10" hidden="1" x14ac:dyDescent="0.25">
      <c r="A280">
        <v>3</v>
      </c>
      <c r="B280" s="1">
        <v>45898</v>
      </c>
      <c r="C280" t="s">
        <v>6</v>
      </c>
      <c r="D280" t="s">
        <v>32</v>
      </c>
      <c r="E280" t="s">
        <v>219</v>
      </c>
      <c r="F280" t="s">
        <v>488</v>
      </c>
      <c r="G280">
        <v>3</v>
      </c>
      <c r="H280" s="2">
        <v>300000</v>
      </c>
      <c r="I280">
        <v>2</v>
      </c>
      <c r="J280" t="s">
        <v>32</v>
      </c>
    </row>
    <row r="281" spans="1:10" hidden="1" x14ac:dyDescent="0.25">
      <c r="A281">
        <v>3</v>
      </c>
      <c r="B281" s="1">
        <v>45898</v>
      </c>
      <c r="C281" t="s">
        <v>6</v>
      </c>
      <c r="D281" t="s">
        <v>47</v>
      </c>
      <c r="E281" t="s">
        <v>459</v>
      </c>
      <c r="F281" t="s">
        <v>469</v>
      </c>
      <c r="G281">
        <v>7</v>
      </c>
      <c r="H281" s="2">
        <v>700000</v>
      </c>
      <c r="I281">
        <v>3</v>
      </c>
      <c r="J281" t="s">
        <v>47</v>
      </c>
    </row>
    <row r="282" spans="1:10" hidden="1" x14ac:dyDescent="0.25">
      <c r="A282">
        <v>3</v>
      </c>
      <c r="B282" s="1">
        <v>45898</v>
      </c>
      <c r="C282" t="s">
        <v>6</v>
      </c>
      <c r="D282" t="s">
        <v>66</v>
      </c>
      <c r="E282" t="s">
        <v>459</v>
      </c>
      <c r="F282" t="s">
        <v>447</v>
      </c>
      <c r="G282">
        <v>7</v>
      </c>
      <c r="H282" s="2">
        <v>700000</v>
      </c>
      <c r="I282">
        <v>3</v>
      </c>
      <c r="J282" t="s">
        <v>386</v>
      </c>
    </row>
    <row r="283" spans="1:10" hidden="1" x14ac:dyDescent="0.25">
      <c r="A283">
        <v>3</v>
      </c>
      <c r="B283" s="1">
        <v>45898</v>
      </c>
      <c r="C283" t="s">
        <v>6</v>
      </c>
      <c r="D283" t="s">
        <v>87</v>
      </c>
      <c r="E283" t="s">
        <v>459</v>
      </c>
      <c r="F283" t="s">
        <v>485</v>
      </c>
      <c r="G283">
        <v>2</v>
      </c>
      <c r="H283" s="2">
        <v>200000</v>
      </c>
      <c r="I283">
        <v>3</v>
      </c>
      <c r="J283" t="s">
        <v>87</v>
      </c>
    </row>
    <row r="284" spans="1:10" hidden="1" x14ac:dyDescent="0.25">
      <c r="A284">
        <v>3</v>
      </c>
      <c r="B284" s="1">
        <v>45898</v>
      </c>
      <c r="C284" t="s">
        <v>6</v>
      </c>
      <c r="D284" t="s">
        <v>251</v>
      </c>
      <c r="E284" t="s">
        <v>459</v>
      </c>
      <c r="F284" t="s">
        <v>456</v>
      </c>
      <c r="G284">
        <v>1</v>
      </c>
      <c r="H284" s="2">
        <v>100000</v>
      </c>
      <c r="I284">
        <v>3</v>
      </c>
      <c r="J284" t="s">
        <v>251</v>
      </c>
    </row>
    <row r="285" spans="1:10" hidden="1" x14ac:dyDescent="0.25">
      <c r="A285">
        <v>3</v>
      </c>
      <c r="B285" s="1">
        <v>45898</v>
      </c>
      <c r="C285" t="s">
        <v>6</v>
      </c>
      <c r="D285" t="s">
        <v>88</v>
      </c>
      <c r="E285" t="s">
        <v>459</v>
      </c>
      <c r="F285" t="s">
        <v>472</v>
      </c>
      <c r="G285">
        <v>3</v>
      </c>
      <c r="H285" s="2">
        <v>300000</v>
      </c>
      <c r="I285">
        <v>3</v>
      </c>
      <c r="J285" t="s">
        <v>88</v>
      </c>
    </row>
    <row r="286" spans="1:10" hidden="1" x14ac:dyDescent="0.25">
      <c r="A286">
        <v>3</v>
      </c>
      <c r="B286" s="1">
        <v>45898</v>
      </c>
      <c r="C286" t="s">
        <v>6</v>
      </c>
      <c r="D286" t="s">
        <v>161</v>
      </c>
      <c r="E286" t="s">
        <v>89</v>
      </c>
      <c r="F286" t="s">
        <v>447</v>
      </c>
      <c r="G286">
        <v>3</v>
      </c>
      <c r="H286" s="2">
        <v>300000</v>
      </c>
      <c r="I286">
        <v>4</v>
      </c>
      <c r="J286" t="s">
        <v>161</v>
      </c>
    </row>
    <row r="287" spans="1:10" hidden="1" x14ac:dyDescent="0.25">
      <c r="A287">
        <v>3</v>
      </c>
      <c r="B287" s="1">
        <v>45898</v>
      </c>
      <c r="C287" t="s">
        <v>6</v>
      </c>
      <c r="D287" t="s">
        <v>30</v>
      </c>
      <c r="E287" t="s">
        <v>89</v>
      </c>
      <c r="F287" t="s">
        <v>455</v>
      </c>
      <c r="G287">
        <v>1</v>
      </c>
      <c r="H287" s="2">
        <v>100000</v>
      </c>
      <c r="I287">
        <v>4</v>
      </c>
      <c r="J287" t="s">
        <v>30</v>
      </c>
    </row>
    <row r="288" spans="1:10" hidden="1" x14ac:dyDescent="0.25">
      <c r="A288">
        <v>3</v>
      </c>
      <c r="B288" s="1">
        <v>45898</v>
      </c>
      <c r="C288" t="s">
        <v>9</v>
      </c>
      <c r="D288" t="s">
        <v>149</v>
      </c>
      <c r="E288" t="s">
        <v>77</v>
      </c>
      <c r="F288" t="s">
        <v>461</v>
      </c>
      <c r="G288">
        <v>10</v>
      </c>
      <c r="H288" s="2">
        <v>1000000</v>
      </c>
      <c r="I288">
        <v>1</v>
      </c>
      <c r="J288" t="s">
        <v>149</v>
      </c>
    </row>
    <row r="289" spans="1:10" hidden="1" x14ac:dyDescent="0.25">
      <c r="A289">
        <v>3</v>
      </c>
      <c r="B289" s="1">
        <v>45898</v>
      </c>
      <c r="C289" t="s">
        <v>9</v>
      </c>
      <c r="D289" t="s">
        <v>99</v>
      </c>
      <c r="E289" t="s">
        <v>219</v>
      </c>
      <c r="F289" t="s">
        <v>474</v>
      </c>
      <c r="G289">
        <v>5</v>
      </c>
      <c r="H289" s="2">
        <v>500000</v>
      </c>
      <c r="I289">
        <v>2</v>
      </c>
      <c r="J289" t="s">
        <v>99</v>
      </c>
    </row>
    <row r="290" spans="1:10" hidden="1" x14ac:dyDescent="0.25">
      <c r="A290">
        <v>3</v>
      </c>
      <c r="B290" s="1">
        <v>45898</v>
      </c>
      <c r="C290" t="s">
        <v>9</v>
      </c>
      <c r="D290" t="s">
        <v>214</v>
      </c>
      <c r="E290" t="s">
        <v>219</v>
      </c>
      <c r="F290" t="s">
        <v>455</v>
      </c>
      <c r="G290">
        <v>7</v>
      </c>
      <c r="H290" s="2">
        <v>700000</v>
      </c>
      <c r="I290">
        <v>2</v>
      </c>
      <c r="J290" t="s">
        <v>435</v>
      </c>
    </row>
    <row r="291" spans="1:10" hidden="1" x14ac:dyDescent="0.25">
      <c r="A291">
        <v>3</v>
      </c>
      <c r="B291" s="1">
        <v>45898</v>
      </c>
      <c r="C291" t="s">
        <v>9</v>
      </c>
      <c r="D291" t="s">
        <v>126</v>
      </c>
      <c r="E291" t="s">
        <v>219</v>
      </c>
      <c r="F291" t="s">
        <v>480</v>
      </c>
      <c r="G291">
        <v>4</v>
      </c>
      <c r="H291" s="2">
        <v>400000</v>
      </c>
      <c r="I291">
        <v>2</v>
      </c>
      <c r="J291" t="s">
        <v>126</v>
      </c>
    </row>
    <row r="292" spans="1:10" hidden="1" x14ac:dyDescent="0.25">
      <c r="A292">
        <v>3</v>
      </c>
      <c r="B292" s="1">
        <v>45898</v>
      </c>
      <c r="C292" t="s">
        <v>9</v>
      </c>
      <c r="D292" t="s">
        <v>225</v>
      </c>
      <c r="E292" t="s">
        <v>459</v>
      </c>
      <c r="F292" t="s">
        <v>488</v>
      </c>
      <c r="G292">
        <v>6</v>
      </c>
      <c r="H292" s="2">
        <v>600000</v>
      </c>
      <c r="I292">
        <v>3</v>
      </c>
      <c r="J292" t="s">
        <v>225</v>
      </c>
    </row>
    <row r="293" spans="1:10" hidden="1" x14ac:dyDescent="0.25">
      <c r="A293">
        <v>3</v>
      </c>
      <c r="B293" s="1">
        <v>45898</v>
      </c>
      <c r="C293" t="s">
        <v>9</v>
      </c>
      <c r="D293" t="s">
        <v>120</v>
      </c>
      <c r="E293" t="s">
        <v>459</v>
      </c>
      <c r="F293" t="s">
        <v>451</v>
      </c>
      <c r="G293">
        <v>3</v>
      </c>
      <c r="H293" s="2">
        <v>300000</v>
      </c>
      <c r="I293">
        <v>3</v>
      </c>
      <c r="J293" t="s">
        <v>120</v>
      </c>
    </row>
    <row r="294" spans="1:10" hidden="1" x14ac:dyDescent="0.25">
      <c r="A294">
        <v>3</v>
      </c>
      <c r="B294" s="1">
        <v>45898</v>
      </c>
      <c r="C294" t="s">
        <v>9</v>
      </c>
      <c r="D294" t="s">
        <v>232</v>
      </c>
      <c r="E294" t="s">
        <v>459</v>
      </c>
      <c r="F294" t="s">
        <v>469</v>
      </c>
      <c r="G294">
        <v>6</v>
      </c>
      <c r="H294" s="2">
        <v>600000</v>
      </c>
      <c r="I294">
        <v>3</v>
      </c>
      <c r="J294" t="s">
        <v>232</v>
      </c>
    </row>
    <row r="295" spans="1:10" hidden="1" x14ac:dyDescent="0.25">
      <c r="A295">
        <v>3</v>
      </c>
      <c r="B295" s="1">
        <v>45898</v>
      </c>
      <c r="C295" t="s">
        <v>9</v>
      </c>
      <c r="D295" t="s">
        <v>74</v>
      </c>
      <c r="E295" t="s">
        <v>459</v>
      </c>
      <c r="F295" t="s">
        <v>453</v>
      </c>
      <c r="G295">
        <v>8</v>
      </c>
      <c r="H295" s="2">
        <v>800000</v>
      </c>
      <c r="I295">
        <v>3</v>
      </c>
      <c r="J295" t="s">
        <v>74</v>
      </c>
    </row>
    <row r="296" spans="1:10" hidden="1" x14ac:dyDescent="0.25">
      <c r="A296">
        <v>3</v>
      </c>
      <c r="B296" s="1">
        <v>45898</v>
      </c>
      <c r="C296" t="s">
        <v>9</v>
      </c>
      <c r="D296" t="s">
        <v>134</v>
      </c>
      <c r="E296" t="s">
        <v>89</v>
      </c>
      <c r="F296" t="s">
        <v>465</v>
      </c>
      <c r="G296">
        <v>12</v>
      </c>
      <c r="H296" s="2">
        <v>1200000</v>
      </c>
      <c r="I296">
        <v>4</v>
      </c>
      <c r="J296" t="s">
        <v>556</v>
      </c>
    </row>
    <row r="297" spans="1:10" hidden="1" x14ac:dyDescent="0.25">
      <c r="A297">
        <v>3</v>
      </c>
      <c r="B297" s="1">
        <v>45898</v>
      </c>
      <c r="C297" t="s">
        <v>9</v>
      </c>
      <c r="D297" t="s">
        <v>194</v>
      </c>
      <c r="E297" t="s">
        <v>89</v>
      </c>
      <c r="F297" t="s">
        <v>480</v>
      </c>
      <c r="G297">
        <v>0</v>
      </c>
      <c r="H297" s="2">
        <v>0</v>
      </c>
      <c r="I297">
        <v>4</v>
      </c>
      <c r="J297" t="s">
        <v>407</v>
      </c>
    </row>
    <row r="298" spans="1:10" hidden="1" x14ac:dyDescent="0.25">
      <c r="A298">
        <v>3</v>
      </c>
      <c r="B298" s="1">
        <v>45898</v>
      </c>
      <c r="C298" t="s">
        <v>9</v>
      </c>
      <c r="D298" t="s">
        <v>136</v>
      </c>
      <c r="E298" t="s">
        <v>89</v>
      </c>
      <c r="F298" t="s">
        <v>469</v>
      </c>
      <c r="G298">
        <v>5</v>
      </c>
      <c r="H298" s="2">
        <v>500000</v>
      </c>
      <c r="I298">
        <v>4</v>
      </c>
      <c r="J298" t="s">
        <v>136</v>
      </c>
    </row>
    <row r="299" spans="1:10" hidden="1" x14ac:dyDescent="0.25">
      <c r="A299">
        <v>3</v>
      </c>
      <c r="B299" s="1">
        <v>45898</v>
      </c>
      <c r="C299" t="s">
        <v>13</v>
      </c>
      <c r="D299" t="s">
        <v>260</v>
      </c>
      <c r="E299" t="s">
        <v>77</v>
      </c>
      <c r="F299" t="s">
        <v>458</v>
      </c>
      <c r="G299">
        <v>10</v>
      </c>
      <c r="H299" s="2">
        <v>1000000</v>
      </c>
      <c r="I299">
        <v>1</v>
      </c>
      <c r="J299" t="s">
        <v>260</v>
      </c>
    </row>
    <row r="300" spans="1:10" hidden="1" x14ac:dyDescent="0.25">
      <c r="A300">
        <v>3</v>
      </c>
      <c r="B300" s="1">
        <v>45898</v>
      </c>
      <c r="C300" t="s">
        <v>13</v>
      </c>
      <c r="D300" t="s">
        <v>175</v>
      </c>
      <c r="E300" t="s">
        <v>219</v>
      </c>
      <c r="F300" t="s">
        <v>472</v>
      </c>
      <c r="G300">
        <v>5</v>
      </c>
      <c r="H300" s="2">
        <v>500000</v>
      </c>
      <c r="I300">
        <v>2</v>
      </c>
      <c r="J300" t="s">
        <v>175</v>
      </c>
    </row>
    <row r="301" spans="1:10" hidden="1" x14ac:dyDescent="0.25">
      <c r="A301">
        <v>3</v>
      </c>
      <c r="B301" s="1">
        <v>45898</v>
      </c>
      <c r="C301" t="s">
        <v>13</v>
      </c>
      <c r="D301" t="s">
        <v>240</v>
      </c>
      <c r="E301" t="s">
        <v>219</v>
      </c>
      <c r="F301" t="s">
        <v>472</v>
      </c>
      <c r="G301">
        <v>9</v>
      </c>
      <c r="H301" s="2">
        <v>900000</v>
      </c>
      <c r="I301">
        <v>2</v>
      </c>
      <c r="J301" t="s">
        <v>240</v>
      </c>
    </row>
    <row r="302" spans="1:10" hidden="1" x14ac:dyDescent="0.25">
      <c r="A302">
        <v>3</v>
      </c>
      <c r="B302" s="1">
        <v>45898</v>
      </c>
      <c r="C302" t="s">
        <v>13</v>
      </c>
      <c r="D302" t="s">
        <v>202</v>
      </c>
      <c r="E302" t="s">
        <v>219</v>
      </c>
      <c r="F302" t="s">
        <v>465</v>
      </c>
      <c r="G302">
        <v>9</v>
      </c>
      <c r="H302" s="2">
        <v>900000</v>
      </c>
      <c r="I302">
        <v>2</v>
      </c>
      <c r="J302" t="s">
        <v>734</v>
      </c>
    </row>
    <row r="303" spans="1:10" hidden="1" x14ac:dyDescent="0.25">
      <c r="A303">
        <v>3</v>
      </c>
      <c r="B303" s="1">
        <v>45898</v>
      </c>
      <c r="C303" t="s">
        <v>13</v>
      </c>
      <c r="D303" t="s">
        <v>73</v>
      </c>
      <c r="E303" t="s">
        <v>459</v>
      </c>
      <c r="F303" t="s">
        <v>456</v>
      </c>
      <c r="G303">
        <v>2</v>
      </c>
      <c r="H303" s="2">
        <v>200000</v>
      </c>
      <c r="I303">
        <v>3</v>
      </c>
      <c r="J303" t="s">
        <v>73</v>
      </c>
    </row>
    <row r="304" spans="1:10" hidden="1" x14ac:dyDescent="0.25">
      <c r="A304">
        <v>3</v>
      </c>
      <c r="B304" s="1">
        <v>45898</v>
      </c>
      <c r="C304" t="s">
        <v>13</v>
      </c>
      <c r="D304" t="s">
        <v>116</v>
      </c>
      <c r="E304" t="s">
        <v>219</v>
      </c>
      <c r="F304" t="s">
        <v>496</v>
      </c>
      <c r="G304">
        <v>0</v>
      </c>
      <c r="H304" s="2">
        <v>0</v>
      </c>
      <c r="I304">
        <v>2</v>
      </c>
      <c r="J304" t="s">
        <v>387</v>
      </c>
    </row>
    <row r="305" spans="1:10" hidden="1" x14ac:dyDescent="0.25">
      <c r="A305">
        <v>3</v>
      </c>
      <c r="B305" s="1">
        <v>45898</v>
      </c>
      <c r="C305" t="s">
        <v>13</v>
      </c>
      <c r="D305" t="s">
        <v>52</v>
      </c>
      <c r="E305" t="s">
        <v>459</v>
      </c>
      <c r="F305" t="s">
        <v>461</v>
      </c>
      <c r="G305">
        <v>5</v>
      </c>
      <c r="H305" s="2">
        <v>500000</v>
      </c>
      <c r="I305">
        <v>3</v>
      </c>
      <c r="J305" t="s">
        <v>52</v>
      </c>
    </row>
    <row r="306" spans="1:10" hidden="1" x14ac:dyDescent="0.25">
      <c r="A306">
        <v>3</v>
      </c>
      <c r="B306" s="1">
        <v>45898</v>
      </c>
      <c r="C306" t="s">
        <v>13</v>
      </c>
      <c r="D306" t="s">
        <v>176</v>
      </c>
      <c r="E306" t="s">
        <v>459</v>
      </c>
      <c r="F306" t="s">
        <v>480</v>
      </c>
      <c r="G306">
        <v>5</v>
      </c>
      <c r="H306" s="2">
        <v>500000</v>
      </c>
      <c r="I306">
        <v>3</v>
      </c>
      <c r="J306" t="s">
        <v>176</v>
      </c>
    </row>
    <row r="307" spans="1:10" hidden="1" x14ac:dyDescent="0.25">
      <c r="A307">
        <v>3</v>
      </c>
      <c r="B307" s="1">
        <v>45898</v>
      </c>
      <c r="C307" t="s">
        <v>13</v>
      </c>
      <c r="D307" t="s">
        <v>206</v>
      </c>
      <c r="E307" t="s">
        <v>459</v>
      </c>
      <c r="F307" t="s">
        <v>449</v>
      </c>
      <c r="G307">
        <v>2</v>
      </c>
      <c r="H307" s="2">
        <v>200000</v>
      </c>
      <c r="I307">
        <v>3</v>
      </c>
      <c r="J307" t="s">
        <v>206</v>
      </c>
    </row>
    <row r="308" spans="1:10" hidden="1" x14ac:dyDescent="0.25">
      <c r="A308">
        <v>3</v>
      </c>
      <c r="B308" s="1">
        <v>45898</v>
      </c>
      <c r="C308" t="s">
        <v>13</v>
      </c>
      <c r="D308" t="s">
        <v>105</v>
      </c>
      <c r="E308" t="s">
        <v>89</v>
      </c>
      <c r="F308" t="s">
        <v>474</v>
      </c>
      <c r="G308">
        <v>11</v>
      </c>
      <c r="H308" s="2">
        <v>1100000</v>
      </c>
      <c r="I308">
        <v>4</v>
      </c>
      <c r="J308" t="s">
        <v>415</v>
      </c>
    </row>
    <row r="309" spans="1:10" hidden="1" x14ac:dyDescent="0.25">
      <c r="A309">
        <v>3</v>
      </c>
      <c r="B309" s="1">
        <v>45898</v>
      </c>
      <c r="C309" t="s">
        <v>13</v>
      </c>
      <c r="D309" t="s">
        <v>264</v>
      </c>
      <c r="E309" t="s">
        <v>89</v>
      </c>
      <c r="F309" t="s">
        <v>485</v>
      </c>
      <c r="G309">
        <v>3</v>
      </c>
      <c r="H309" s="2">
        <v>300000</v>
      </c>
      <c r="I309">
        <v>4</v>
      </c>
      <c r="J309" t="s">
        <v>421</v>
      </c>
    </row>
    <row r="310" spans="1:10" hidden="1" x14ac:dyDescent="0.25">
      <c r="A310">
        <v>3</v>
      </c>
      <c r="B310" s="1">
        <v>45898</v>
      </c>
      <c r="C310" t="s">
        <v>8</v>
      </c>
      <c r="D310" t="s">
        <v>266</v>
      </c>
      <c r="E310" t="s">
        <v>77</v>
      </c>
      <c r="F310" t="s">
        <v>451</v>
      </c>
      <c r="G310">
        <v>0</v>
      </c>
      <c r="H310" s="2">
        <v>0</v>
      </c>
      <c r="I310">
        <v>1</v>
      </c>
      <c r="J310" t="s">
        <v>675</v>
      </c>
    </row>
    <row r="311" spans="1:10" hidden="1" x14ac:dyDescent="0.25">
      <c r="A311">
        <v>3</v>
      </c>
      <c r="B311" s="1">
        <v>45898</v>
      </c>
      <c r="C311" t="s">
        <v>8</v>
      </c>
      <c r="D311" t="s">
        <v>262</v>
      </c>
      <c r="E311" t="s">
        <v>219</v>
      </c>
      <c r="F311" t="s">
        <v>472</v>
      </c>
      <c r="G311">
        <v>4</v>
      </c>
      <c r="H311" s="2">
        <v>400000</v>
      </c>
      <c r="I311">
        <v>2</v>
      </c>
      <c r="J311" t="s">
        <v>262</v>
      </c>
    </row>
    <row r="312" spans="1:10" hidden="1" x14ac:dyDescent="0.25">
      <c r="A312">
        <v>3</v>
      </c>
      <c r="B312" s="1">
        <v>45898</v>
      </c>
      <c r="C312" t="s">
        <v>8</v>
      </c>
      <c r="D312" t="s">
        <v>249</v>
      </c>
      <c r="E312" t="s">
        <v>219</v>
      </c>
      <c r="F312" t="s">
        <v>449</v>
      </c>
      <c r="G312">
        <v>7</v>
      </c>
      <c r="H312" s="2">
        <v>700000</v>
      </c>
      <c r="I312">
        <v>2</v>
      </c>
      <c r="J312" t="s">
        <v>249</v>
      </c>
    </row>
    <row r="313" spans="1:10" hidden="1" x14ac:dyDescent="0.25">
      <c r="A313">
        <v>3</v>
      </c>
      <c r="B313" s="1">
        <v>45898</v>
      </c>
      <c r="C313" t="s">
        <v>8</v>
      </c>
      <c r="D313" t="s">
        <v>43</v>
      </c>
      <c r="E313" t="s">
        <v>219</v>
      </c>
      <c r="F313" t="s">
        <v>480</v>
      </c>
      <c r="G313">
        <v>14</v>
      </c>
      <c r="H313" s="2">
        <v>1400000</v>
      </c>
      <c r="I313">
        <v>2</v>
      </c>
      <c r="J313" t="s">
        <v>43</v>
      </c>
    </row>
    <row r="314" spans="1:10" hidden="1" x14ac:dyDescent="0.25">
      <c r="A314">
        <v>3</v>
      </c>
      <c r="B314" s="1">
        <v>45898</v>
      </c>
      <c r="C314" t="s">
        <v>8</v>
      </c>
      <c r="D314" t="s">
        <v>39</v>
      </c>
      <c r="E314" t="s">
        <v>219</v>
      </c>
      <c r="F314" t="s">
        <v>448</v>
      </c>
      <c r="G314">
        <v>0</v>
      </c>
      <c r="H314" s="2">
        <v>0</v>
      </c>
      <c r="I314">
        <v>2</v>
      </c>
      <c r="J314" t="s">
        <v>420</v>
      </c>
    </row>
    <row r="315" spans="1:10" hidden="1" x14ac:dyDescent="0.25">
      <c r="A315">
        <v>3</v>
      </c>
      <c r="B315" s="1">
        <v>45898</v>
      </c>
      <c r="C315" t="s">
        <v>8</v>
      </c>
      <c r="D315" t="s">
        <v>41</v>
      </c>
      <c r="E315" t="s">
        <v>459</v>
      </c>
      <c r="F315" t="s">
        <v>465</v>
      </c>
      <c r="G315">
        <v>0</v>
      </c>
      <c r="H315" s="2">
        <v>0</v>
      </c>
      <c r="I315">
        <v>3</v>
      </c>
      <c r="J315" t="s">
        <v>41</v>
      </c>
    </row>
    <row r="316" spans="1:10" hidden="1" x14ac:dyDescent="0.25">
      <c r="A316">
        <v>3</v>
      </c>
      <c r="B316" s="1">
        <v>45898</v>
      </c>
      <c r="C316" t="s">
        <v>8</v>
      </c>
      <c r="D316" t="s">
        <v>245</v>
      </c>
      <c r="E316" t="s">
        <v>459</v>
      </c>
      <c r="F316" t="s">
        <v>449</v>
      </c>
      <c r="G316">
        <v>5</v>
      </c>
      <c r="H316" s="2">
        <v>500000</v>
      </c>
      <c r="I316">
        <v>3</v>
      </c>
      <c r="J316" t="s">
        <v>620</v>
      </c>
    </row>
    <row r="317" spans="1:10" hidden="1" x14ac:dyDescent="0.25">
      <c r="A317">
        <v>3</v>
      </c>
      <c r="B317" s="1">
        <v>45898</v>
      </c>
      <c r="C317" t="s">
        <v>8</v>
      </c>
      <c r="D317" t="s">
        <v>111</v>
      </c>
      <c r="E317" t="s">
        <v>459</v>
      </c>
      <c r="F317" t="s">
        <v>474</v>
      </c>
      <c r="G317">
        <v>5</v>
      </c>
      <c r="H317" s="2">
        <v>500000</v>
      </c>
      <c r="I317">
        <v>3</v>
      </c>
      <c r="J317" t="s">
        <v>111</v>
      </c>
    </row>
    <row r="318" spans="1:10" hidden="1" x14ac:dyDescent="0.25">
      <c r="A318">
        <v>3</v>
      </c>
      <c r="B318" s="1">
        <v>45898</v>
      </c>
      <c r="C318" t="s">
        <v>8</v>
      </c>
      <c r="D318" t="s">
        <v>267</v>
      </c>
      <c r="E318" t="s">
        <v>89</v>
      </c>
      <c r="F318" t="s">
        <v>447</v>
      </c>
      <c r="G318">
        <v>15</v>
      </c>
      <c r="H318" s="2">
        <v>1500000</v>
      </c>
      <c r="I318">
        <v>4</v>
      </c>
      <c r="J318" t="s">
        <v>751</v>
      </c>
    </row>
    <row r="319" spans="1:10" hidden="1" x14ac:dyDescent="0.25">
      <c r="A319">
        <v>3</v>
      </c>
      <c r="B319" s="1">
        <v>45898</v>
      </c>
      <c r="C319" t="s">
        <v>8</v>
      </c>
      <c r="D319" t="s">
        <v>71</v>
      </c>
      <c r="E319" t="s">
        <v>89</v>
      </c>
      <c r="F319" t="s">
        <v>472</v>
      </c>
      <c r="G319">
        <v>2</v>
      </c>
      <c r="H319" s="2">
        <v>200000</v>
      </c>
      <c r="I319">
        <v>4</v>
      </c>
      <c r="J319" t="s">
        <v>693</v>
      </c>
    </row>
    <row r="320" spans="1:10" hidden="1" x14ac:dyDescent="0.25">
      <c r="A320">
        <v>3</v>
      </c>
      <c r="B320" s="1">
        <v>45898</v>
      </c>
      <c r="C320" t="s">
        <v>8</v>
      </c>
      <c r="D320" t="s">
        <v>261</v>
      </c>
      <c r="E320" t="s">
        <v>89</v>
      </c>
      <c r="F320" t="s">
        <v>449</v>
      </c>
      <c r="G320">
        <v>6</v>
      </c>
      <c r="H320" s="2">
        <v>600000</v>
      </c>
      <c r="I320">
        <v>4</v>
      </c>
      <c r="J320" t="s">
        <v>261</v>
      </c>
    </row>
    <row r="321" spans="1:10" hidden="1" x14ac:dyDescent="0.25">
      <c r="A321">
        <v>3</v>
      </c>
      <c r="B321" s="1">
        <v>45898</v>
      </c>
      <c r="C321" t="s">
        <v>7</v>
      </c>
      <c r="D321" t="s">
        <v>54</v>
      </c>
      <c r="E321" t="s">
        <v>77</v>
      </c>
      <c r="F321" t="s">
        <v>488</v>
      </c>
      <c r="G321">
        <v>6</v>
      </c>
      <c r="H321" s="2">
        <v>600000</v>
      </c>
      <c r="I321">
        <v>1</v>
      </c>
      <c r="J321" t="s">
        <v>54</v>
      </c>
    </row>
    <row r="322" spans="1:10" hidden="1" x14ac:dyDescent="0.25">
      <c r="A322">
        <v>3</v>
      </c>
      <c r="B322" s="1">
        <v>45898</v>
      </c>
      <c r="C322" t="s">
        <v>7</v>
      </c>
      <c r="D322" t="s">
        <v>227</v>
      </c>
      <c r="E322" t="s">
        <v>219</v>
      </c>
      <c r="F322" t="s">
        <v>447</v>
      </c>
      <c r="G322">
        <v>2</v>
      </c>
      <c r="H322" s="2">
        <v>200000</v>
      </c>
      <c r="I322">
        <v>2</v>
      </c>
      <c r="J322" t="s">
        <v>617</v>
      </c>
    </row>
    <row r="323" spans="1:10" hidden="1" x14ac:dyDescent="0.25">
      <c r="A323">
        <v>3</v>
      </c>
      <c r="B323" s="1">
        <v>45898</v>
      </c>
      <c r="C323" t="s">
        <v>7</v>
      </c>
      <c r="D323" t="s">
        <v>181</v>
      </c>
      <c r="E323" t="s">
        <v>219</v>
      </c>
      <c r="F323" t="s">
        <v>498</v>
      </c>
      <c r="G323">
        <v>0</v>
      </c>
      <c r="H323" s="2">
        <v>0</v>
      </c>
      <c r="I323">
        <v>2</v>
      </c>
      <c r="J323" t="s">
        <v>406</v>
      </c>
    </row>
    <row r="324" spans="1:10" hidden="1" x14ac:dyDescent="0.25">
      <c r="A324">
        <v>3</v>
      </c>
      <c r="B324" s="1">
        <v>45898</v>
      </c>
      <c r="C324" t="s">
        <v>7</v>
      </c>
      <c r="D324" t="s">
        <v>100</v>
      </c>
      <c r="E324" t="s">
        <v>219</v>
      </c>
      <c r="F324" t="s">
        <v>488</v>
      </c>
      <c r="G324">
        <v>2</v>
      </c>
      <c r="H324" s="2">
        <v>200000</v>
      </c>
      <c r="I324">
        <v>2</v>
      </c>
      <c r="J324" t="s">
        <v>100</v>
      </c>
    </row>
    <row r="325" spans="1:10" hidden="1" x14ac:dyDescent="0.25">
      <c r="A325">
        <v>3</v>
      </c>
      <c r="B325" s="1">
        <v>45898</v>
      </c>
      <c r="C325" t="s">
        <v>7</v>
      </c>
      <c r="D325" t="s">
        <v>239</v>
      </c>
      <c r="E325" t="s">
        <v>459</v>
      </c>
      <c r="F325" t="s">
        <v>474</v>
      </c>
      <c r="G325">
        <v>6</v>
      </c>
      <c r="H325" s="2">
        <v>600000</v>
      </c>
      <c r="I325">
        <v>3</v>
      </c>
      <c r="J325" t="s">
        <v>239</v>
      </c>
    </row>
    <row r="326" spans="1:10" hidden="1" x14ac:dyDescent="0.25">
      <c r="A326">
        <v>3</v>
      </c>
      <c r="B326" s="1">
        <v>45898</v>
      </c>
      <c r="C326" t="s">
        <v>7</v>
      </c>
      <c r="D326" t="s">
        <v>104</v>
      </c>
      <c r="E326" t="s">
        <v>459</v>
      </c>
      <c r="F326" t="s">
        <v>465</v>
      </c>
      <c r="G326">
        <v>10</v>
      </c>
      <c r="H326" s="2">
        <v>1000000</v>
      </c>
      <c r="I326">
        <v>3</v>
      </c>
      <c r="J326" t="s">
        <v>104</v>
      </c>
    </row>
    <row r="327" spans="1:10" hidden="1" x14ac:dyDescent="0.25">
      <c r="A327">
        <v>3</v>
      </c>
      <c r="B327" s="1">
        <v>45898</v>
      </c>
      <c r="C327" t="s">
        <v>7</v>
      </c>
      <c r="D327" t="s">
        <v>230</v>
      </c>
      <c r="E327" t="s">
        <v>459</v>
      </c>
      <c r="F327" t="s">
        <v>480</v>
      </c>
      <c r="G327">
        <v>1</v>
      </c>
      <c r="H327" s="2">
        <v>100000</v>
      </c>
      <c r="I327">
        <v>3</v>
      </c>
      <c r="J327" t="s">
        <v>230</v>
      </c>
    </row>
    <row r="328" spans="1:10" hidden="1" x14ac:dyDescent="0.25">
      <c r="A328">
        <v>3</v>
      </c>
      <c r="B328" s="1">
        <v>45898</v>
      </c>
      <c r="C328" t="s">
        <v>7</v>
      </c>
      <c r="D328" t="s">
        <v>231</v>
      </c>
      <c r="E328" t="s">
        <v>459</v>
      </c>
      <c r="F328" t="s">
        <v>464</v>
      </c>
      <c r="G328">
        <v>6</v>
      </c>
      <c r="H328" s="2">
        <v>600000</v>
      </c>
      <c r="I328">
        <v>3</v>
      </c>
      <c r="J328" t="s">
        <v>414</v>
      </c>
    </row>
    <row r="329" spans="1:10" hidden="1" x14ac:dyDescent="0.25">
      <c r="A329">
        <v>3</v>
      </c>
      <c r="B329" s="1">
        <v>45898</v>
      </c>
      <c r="C329" t="s">
        <v>7</v>
      </c>
      <c r="D329" t="s">
        <v>101</v>
      </c>
      <c r="E329" t="s">
        <v>459</v>
      </c>
      <c r="F329" t="s">
        <v>465</v>
      </c>
      <c r="G329">
        <v>14</v>
      </c>
      <c r="H329" s="2">
        <v>1400000</v>
      </c>
      <c r="I329">
        <v>3</v>
      </c>
      <c r="J329" t="s">
        <v>101</v>
      </c>
    </row>
    <row r="330" spans="1:10" hidden="1" x14ac:dyDescent="0.25">
      <c r="A330">
        <v>3</v>
      </c>
      <c r="B330" s="1">
        <v>45898</v>
      </c>
      <c r="C330" t="s">
        <v>7</v>
      </c>
      <c r="D330" t="s">
        <v>303</v>
      </c>
      <c r="E330" t="s">
        <v>89</v>
      </c>
      <c r="F330" t="s">
        <v>488</v>
      </c>
      <c r="G330">
        <v>10</v>
      </c>
      <c r="H330" s="2">
        <v>1000000</v>
      </c>
      <c r="I330">
        <v>4</v>
      </c>
      <c r="J330" t="s">
        <v>303</v>
      </c>
    </row>
    <row r="331" spans="1:10" hidden="1" x14ac:dyDescent="0.25">
      <c r="A331">
        <v>3</v>
      </c>
      <c r="B331" s="1">
        <v>45898</v>
      </c>
      <c r="C331" t="s">
        <v>7</v>
      </c>
      <c r="D331" t="s">
        <v>246</v>
      </c>
      <c r="E331" t="s">
        <v>89</v>
      </c>
      <c r="F331" t="s">
        <v>485</v>
      </c>
      <c r="G331">
        <v>1</v>
      </c>
      <c r="H331" s="2">
        <v>100000</v>
      </c>
      <c r="I331">
        <v>4</v>
      </c>
      <c r="J331" t="s">
        <v>246</v>
      </c>
    </row>
    <row r="332" spans="1:10" hidden="1" x14ac:dyDescent="0.25">
      <c r="A332">
        <v>4</v>
      </c>
      <c r="B332" s="1">
        <v>45912</v>
      </c>
      <c r="C332" t="s">
        <v>10</v>
      </c>
      <c r="D332" t="s">
        <v>253</v>
      </c>
      <c r="E332" t="s">
        <v>77</v>
      </c>
      <c r="F332" t="s">
        <v>465</v>
      </c>
      <c r="G332">
        <v>-2</v>
      </c>
      <c r="H332" s="2">
        <v>-200000</v>
      </c>
      <c r="I332">
        <v>1</v>
      </c>
      <c r="J332" t="s">
        <v>253</v>
      </c>
    </row>
    <row r="333" spans="1:10" hidden="1" x14ac:dyDescent="0.25">
      <c r="A333">
        <v>4</v>
      </c>
      <c r="B333" s="1">
        <v>45912</v>
      </c>
      <c r="C333" t="s">
        <v>10</v>
      </c>
      <c r="D333" t="s">
        <v>313</v>
      </c>
      <c r="E333" t="s">
        <v>219</v>
      </c>
      <c r="F333" t="s">
        <v>447</v>
      </c>
      <c r="G333">
        <v>9</v>
      </c>
      <c r="H333" s="2">
        <v>900000</v>
      </c>
      <c r="I333">
        <v>2</v>
      </c>
      <c r="J333" t="s">
        <v>647</v>
      </c>
    </row>
    <row r="334" spans="1:10" hidden="1" x14ac:dyDescent="0.25">
      <c r="A334">
        <v>4</v>
      </c>
      <c r="B334" s="1">
        <v>45912</v>
      </c>
      <c r="C334" t="s">
        <v>10</v>
      </c>
      <c r="D334" t="s">
        <v>269</v>
      </c>
      <c r="E334" t="s">
        <v>219</v>
      </c>
      <c r="F334" t="s">
        <v>453</v>
      </c>
      <c r="G334">
        <v>0</v>
      </c>
      <c r="H334" s="2">
        <v>0</v>
      </c>
      <c r="I334">
        <v>2</v>
      </c>
      <c r="J334" t="s">
        <v>269</v>
      </c>
    </row>
    <row r="335" spans="1:10" hidden="1" x14ac:dyDescent="0.25">
      <c r="A335">
        <v>4</v>
      </c>
      <c r="B335" s="1">
        <v>45912</v>
      </c>
      <c r="C335" t="s">
        <v>10</v>
      </c>
      <c r="D335" t="s">
        <v>69</v>
      </c>
      <c r="E335" t="s">
        <v>219</v>
      </c>
      <c r="F335" t="s">
        <v>464</v>
      </c>
      <c r="G335">
        <v>1</v>
      </c>
      <c r="H335" s="2">
        <v>100000</v>
      </c>
      <c r="I335">
        <v>2</v>
      </c>
      <c r="J335" t="s">
        <v>69</v>
      </c>
    </row>
    <row r="336" spans="1:10" hidden="1" x14ac:dyDescent="0.25">
      <c r="A336">
        <v>4</v>
      </c>
      <c r="B336" s="1">
        <v>45912</v>
      </c>
      <c r="C336" t="s">
        <v>10</v>
      </c>
      <c r="D336" t="s">
        <v>141</v>
      </c>
      <c r="E336" t="s">
        <v>219</v>
      </c>
      <c r="F336" t="s">
        <v>453</v>
      </c>
      <c r="G336">
        <v>-3</v>
      </c>
      <c r="H336" s="2">
        <v>-300000</v>
      </c>
      <c r="I336">
        <v>2</v>
      </c>
      <c r="J336" t="s">
        <v>417</v>
      </c>
    </row>
    <row r="337" spans="1:10" hidden="1" x14ac:dyDescent="0.25">
      <c r="A337">
        <v>4</v>
      </c>
      <c r="B337" s="1">
        <v>45912</v>
      </c>
      <c r="C337" t="s">
        <v>10</v>
      </c>
      <c r="D337" t="s">
        <v>310</v>
      </c>
      <c r="E337" t="s">
        <v>219</v>
      </c>
      <c r="F337" t="s">
        <v>464</v>
      </c>
      <c r="G337">
        <v>2</v>
      </c>
      <c r="H337" s="2">
        <v>200000</v>
      </c>
      <c r="I337">
        <v>2</v>
      </c>
      <c r="J337" t="s">
        <v>310</v>
      </c>
    </row>
    <row r="338" spans="1:10" hidden="1" x14ac:dyDescent="0.25">
      <c r="A338">
        <v>4</v>
      </c>
      <c r="B338" s="1">
        <v>45912</v>
      </c>
      <c r="C338" t="s">
        <v>10</v>
      </c>
      <c r="D338" t="s">
        <v>285</v>
      </c>
      <c r="E338" t="s">
        <v>459</v>
      </c>
      <c r="F338" t="s">
        <v>449</v>
      </c>
      <c r="G338">
        <v>2</v>
      </c>
      <c r="H338" s="2">
        <v>200000</v>
      </c>
      <c r="I338">
        <v>3</v>
      </c>
      <c r="J338" t="s">
        <v>285</v>
      </c>
    </row>
    <row r="339" spans="1:10" hidden="1" x14ac:dyDescent="0.25">
      <c r="A339">
        <v>4</v>
      </c>
      <c r="B339" s="1">
        <v>45912</v>
      </c>
      <c r="C339" t="s">
        <v>10</v>
      </c>
      <c r="D339" t="s">
        <v>271</v>
      </c>
      <c r="E339" t="s">
        <v>459</v>
      </c>
      <c r="F339" t="s">
        <v>514</v>
      </c>
      <c r="G339">
        <v>0</v>
      </c>
      <c r="H339" s="2">
        <v>0</v>
      </c>
      <c r="I339">
        <v>3</v>
      </c>
      <c r="J339" t="s">
        <v>558</v>
      </c>
    </row>
    <row r="340" spans="1:10" hidden="1" x14ac:dyDescent="0.25">
      <c r="A340">
        <v>4</v>
      </c>
      <c r="B340" s="1">
        <v>45912</v>
      </c>
      <c r="C340" t="s">
        <v>10</v>
      </c>
      <c r="D340" t="s">
        <v>196</v>
      </c>
      <c r="E340" t="s">
        <v>459</v>
      </c>
      <c r="F340" t="s">
        <v>448</v>
      </c>
      <c r="G340">
        <v>7</v>
      </c>
      <c r="H340" s="2">
        <v>700000</v>
      </c>
      <c r="I340">
        <v>3</v>
      </c>
      <c r="J340" t="s">
        <v>342</v>
      </c>
    </row>
    <row r="341" spans="1:10" hidden="1" x14ac:dyDescent="0.25">
      <c r="A341">
        <v>4</v>
      </c>
      <c r="B341" s="1">
        <v>45912</v>
      </c>
      <c r="C341" t="s">
        <v>10</v>
      </c>
      <c r="D341" t="s">
        <v>187</v>
      </c>
      <c r="E341" t="s">
        <v>89</v>
      </c>
      <c r="F341" t="s">
        <v>461</v>
      </c>
      <c r="G341">
        <v>5</v>
      </c>
      <c r="H341" s="2">
        <v>500000</v>
      </c>
      <c r="I341">
        <v>4</v>
      </c>
      <c r="J341" t="s">
        <v>399</v>
      </c>
    </row>
    <row r="342" spans="1:10" hidden="1" x14ac:dyDescent="0.25">
      <c r="A342">
        <v>4</v>
      </c>
      <c r="B342" s="1">
        <v>45912</v>
      </c>
      <c r="C342" t="s">
        <v>10</v>
      </c>
      <c r="D342" t="s">
        <v>270</v>
      </c>
      <c r="E342" t="s">
        <v>89</v>
      </c>
      <c r="F342" t="s">
        <v>472</v>
      </c>
      <c r="G342">
        <v>6</v>
      </c>
      <c r="H342" s="2">
        <v>600000</v>
      </c>
      <c r="I342">
        <v>4</v>
      </c>
      <c r="J342" t="s">
        <v>423</v>
      </c>
    </row>
    <row r="343" spans="1:10" hidden="1" x14ac:dyDescent="0.25">
      <c r="A343">
        <v>4</v>
      </c>
      <c r="B343" s="1">
        <v>45912</v>
      </c>
      <c r="C343" t="s">
        <v>14</v>
      </c>
      <c r="D343" t="s">
        <v>229</v>
      </c>
      <c r="E343" t="s">
        <v>77</v>
      </c>
      <c r="F343" t="s">
        <v>480</v>
      </c>
      <c r="G343">
        <v>7</v>
      </c>
      <c r="H343" s="2">
        <v>700000</v>
      </c>
      <c r="I343">
        <v>1</v>
      </c>
      <c r="J343" t="s">
        <v>738</v>
      </c>
    </row>
    <row r="344" spans="1:10" hidden="1" x14ac:dyDescent="0.25">
      <c r="A344">
        <v>4</v>
      </c>
      <c r="B344" s="1">
        <v>45912</v>
      </c>
      <c r="C344" t="s">
        <v>14</v>
      </c>
      <c r="D344" t="s">
        <v>182</v>
      </c>
      <c r="E344" t="s">
        <v>219</v>
      </c>
      <c r="F344" t="s">
        <v>474</v>
      </c>
      <c r="G344">
        <v>3</v>
      </c>
      <c r="H344" s="2">
        <v>300000</v>
      </c>
      <c r="I344">
        <v>2</v>
      </c>
      <c r="J344" t="s">
        <v>711</v>
      </c>
    </row>
    <row r="345" spans="1:10" hidden="1" x14ac:dyDescent="0.25">
      <c r="A345">
        <v>4</v>
      </c>
      <c r="B345" s="1">
        <v>45912</v>
      </c>
      <c r="C345" t="s">
        <v>14</v>
      </c>
      <c r="D345" t="s">
        <v>427</v>
      </c>
      <c r="E345" t="s">
        <v>219</v>
      </c>
      <c r="F345" t="s">
        <v>449</v>
      </c>
      <c r="G345">
        <v>2</v>
      </c>
      <c r="H345" s="2">
        <v>200000</v>
      </c>
      <c r="I345">
        <v>2</v>
      </c>
      <c r="J345" t="s">
        <v>427</v>
      </c>
    </row>
    <row r="346" spans="1:10" hidden="1" x14ac:dyDescent="0.25">
      <c r="A346">
        <v>4</v>
      </c>
      <c r="B346" s="1">
        <v>45912</v>
      </c>
      <c r="C346" t="s">
        <v>14</v>
      </c>
      <c r="D346" t="s">
        <v>307</v>
      </c>
      <c r="E346" t="s">
        <v>219</v>
      </c>
      <c r="F346" t="s">
        <v>465</v>
      </c>
      <c r="G346">
        <v>-4</v>
      </c>
      <c r="H346" s="2">
        <v>-400000</v>
      </c>
      <c r="I346">
        <v>2</v>
      </c>
      <c r="J346" t="s">
        <v>307</v>
      </c>
    </row>
    <row r="347" spans="1:10" hidden="1" x14ac:dyDescent="0.25">
      <c r="A347">
        <v>4</v>
      </c>
      <c r="B347" s="1">
        <v>45912</v>
      </c>
      <c r="C347" t="s">
        <v>14</v>
      </c>
      <c r="D347" t="s">
        <v>273</v>
      </c>
      <c r="E347" t="s">
        <v>219</v>
      </c>
      <c r="F347" t="s">
        <v>453</v>
      </c>
      <c r="G347">
        <v>-2</v>
      </c>
      <c r="H347" s="2">
        <v>-200000</v>
      </c>
      <c r="I347">
        <v>2</v>
      </c>
      <c r="J347" t="s">
        <v>273</v>
      </c>
    </row>
    <row r="348" spans="1:10" hidden="1" x14ac:dyDescent="0.25">
      <c r="A348">
        <v>4</v>
      </c>
      <c r="B348" s="1">
        <v>45912</v>
      </c>
      <c r="C348" t="s">
        <v>14</v>
      </c>
      <c r="D348" t="s">
        <v>68</v>
      </c>
      <c r="E348" t="s">
        <v>459</v>
      </c>
      <c r="F348" t="s">
        <v>461</v>
      </c>
      <c r="G348">
        <v>2</v>
      </c>
      <c r="H348" s="2">
        <v>200000</v>
      </c>
      <c r="I348">
        <v>3</v>
      </c>
      <c r="J348" t="s">
        <v>68</v>
      </c>
    </row>
    <row r="349" spans="1:10" hidden="1" x14ac:dyDescent="0.25">
      <c r="A349">
        <v>4</v>
      </c>
      <c r="B349" s="1">
        <v>45912</v>
      </c>
      <c r="C349" t="s">
        <v>14</v>
      </c>
      <c r="D349" t="s">
        <v>60</v>
      </c>
      <c r="E349" t="s">
        <v>459</v>
      </c>
      <c r="F349" t="s">
        <v>464</v>
      </c>
      <c r="G349">
        <v>2</v>
      </c>
      <c r="H349" s="2">
        <v>200000</v>
      </c>
      <c r="I349">
        <v>3</v>
      </c>
      <c r="J349" t="s">
        <v>340</v>
      </c>
    </row>
    <row r="350" spans="1:10" hidden="1" x14ac:dyDescent="0.25">
      <c r="A350">
        <v>4</v>
      </c>
      <c r="B350" s="1">
        <v>45912</v>
      </c>
      <c r="C350" t="s">
        <v>14</v>
      </c>
      <c r="D350" t="s">
        <v>144</v>
      </c>
      <c r="E350" t="s">
        <v>459</v>
      </c>
      <c r="F350" t="s">
        <v>453</v>
      </c>
      <c r="G350">
        <v>10</v>
      </c>
      <c r="H350" s="2">
        <v>1000000</v>
      </c>
      <c r="I350">
        <v>3</v>
      </c>
      <c r="J350" t="s">
        <v>144</v>
      </c>
    </row>
    <row r="351" spans="1:10" hidden="1" x14ac:dyDescent="0.25">
      <c r="A351">
        <v>4</v>
      </c>
      <c r="B351" s="1">
        <v>45912</v>
      </c>
      <c r="C351" t="s">
        <v>14</v>
      </c>
      <c r="D351" t="s">
        <v>37</v>
      </c>
      <c r="E351" t="s">
        <v>459</v>
      </c>
      <c r="F351" t="s">
        <v>472</v>
      </c>
      <c r="G351">
        <v>3</v>
      </c>
      <c r="H351" s="2">
        <v>300000</v>
      </c>
      <c r="I351">
        <v>3</v>
      </c>
      <c r="J351" t="s">
        <v>703</v>
      </c>
    </row>
    <row r="352" spans="1:10" hidden="1" x14ac:dyDescent="0.25">
      <c r="A352">
        <v>4</v>
      </c>
      <c r="B352" s="1">
        <v>45912</v>
      </c>
      <c r="C352" t="s">
        <v>14</v>
      </c>
      <c r="D352" t="s">
        <v>195</v>
      </c>
      <c r="E352" t="s">
        <v>89</v>
      </c>
      <c r="F352" t="s">
        <v>472</v>
      </c>
      <c r="G352">
        <v>1</v>
      </c>
      <c r="H352" s="2">
        <v>100000</v>
      </c>
      <c r="I352">
        <v>4</v>
      </c>
      <c r="J352" t="s">
        <v>195</v>
      </c>
    </row>
    <row r="353" spans="1:10" hidden="1" x14ac:dyDescent="0.25">
      <c r="A353">
        <v>4</v>
      </c>
      <c r="B353" s="1">
        <v>45912</v>
      </c>
      <c r="C353" t="s">
        <v>14</v>
      </c>
      <c r="D353" t="s">
        <v>159</v>
      </c>
      <c r="E353" t="s">
        <v>89</v>
      </c>
      <c r="F353" t="s">
        <v>465</v>
      </c>
      <c r="G353">
        <v>0</v>
      </c>
      <c r="H353" s="2">
        <v>0</v>
      </c>
      <c r="I353">
        <v>4</v>
      </c>
      <c r="J353" t="s">
        <v>352</v>
      </c>
    </row>
    <row r="354" spans="1:10" hidden="1" x14ac:dyDescent="0.25">
      <c r="A354">
        <v>4</v>
      </c>
      <c r="B354" s="1">
        <v>45912</v>
      </c>
      <c r="C354" t="s">
        <v>768</v>
      </c>
      <c r="D354" t="s">
        <v>297</v>
      </c>
      <c r="E354" t="s">
        <v>77</v>
      </c>
      <c r="F354" t="s">
        <v>447</v>
      </c>
      <c r="G354">
        <v>10</v>
      </c>
      <c r="H354" s="2">
        <v>1000000</v>
      </c>
      <c r="I354">
        <v>1</v>
      </c>
      <c r="J354" t="s">
        <v>297</v>
      </c>
    </row>
    <row r="355" spans="1:10" hidden="1" x14ac:dyDescent="0.25">
      <c r="A355">
        <v>4</v>
      </c>
      <c r="B355" s="1">
        <v>45912</v>
      </c>
      <c r="C355" t="s">
        <v>768</v>
      </c>
      <c r="D355" t="s">
        <v>115</v>
      </c>
      <c r="E355" t="s">
        <v>219</v>
      </c>
      <c r="F355" t="s">
        <v>472</v>
      </c>
      <c r="G355">
        <v>6</v>
      </c>
      <c r="H355" s="2">
        <v>600000</v>
      </c>
      <c r="I355">
        <v>2</v>
      </c>
      <c r="J355" t="s">
        <v>115</v>
      </c>
    </row>
    <row r="356" spans="1:10" hidden="1" x14ac:dyDescent="0.25">
      <c r="A356">
        <v>4</v>
      </c>
      <c r="B356" s="1">
        <v>45912</v>
      </c>
      <c r="C356" t="s">
        <v>768</v>
      </c>
      <c r="D356" t="s">
        <v>108</v>
      </c>
      <c r="E356" t="s">
        <v>219</v>
      </c>
      <c r="F356" t="s">
        <v>456</v>
      </c>
      <c r="G356">
        <v>9</v>
      </c>
      <c r="H356" s="2">
        <v>900000</v>
      </c>
      <c r="I356">
        <v>2</v>
      </c>
      <c r="J356" t="s">
        <v>388</v>
      </c>
    </row>
    <row r="357" spans="1:10" hidden="1" x14ac:dyDescent="0.25">
      <c r="A357">
        <v>4</v>
      </c>
      <c r="B357" s="1">
        <v>45912</v>
      </c>
      <c r="C357" t="s">
        <v>768</v>
      </c>
      <c r="D357" t="s">
        <v>107</v>
      </c>
      <c r="E357" t="s">
        <v>219</v>
      </c>
      <c r="F357" t="s">
        <v>488</v>
      </c>
      <c r="G357">
        <v>2</v>
      </c>
      <c r="H357" s="2">
        <v>200000</v>
      </c>
      <c r="I357">
        <v>2</v>
      </c>
      <c r="J357" t="s">
        <v>107</v>
      </c>
    </row>
    <row r="358" spans="1:10" hidden="1" x14ac:dyDescent="0.25">
      <c r="A358">
        <v>4</v>
      </c>
      <c r="B358" s="1">
        <v>45912</v>
      </c>
      <c r="C358" t="s">
        <v>768</v>
      </c>
      <c r="D358" t="s">
        <v>249</v>
      </c>
      <c r="E358" t="s">
        <v>219</v>
      </c>
      <c r="F358" t="s">
        <v>449</v>
      </c>
      <c r="G358">
        <v>2</v>
      </c>
      <c r="H358" s="2">
        <v>200000</v>
      </c>
      <c r="I358">
        <v>2</v>
      </c>
      <c r="J358" t="s">
        <v>249</v>
      </c>
    </row>
    <row r="359" spans="1:10" hidden="1" x14ac:dyDescent="0.25">
      <c r="A359">
        <v>4</v>
      </c>
      <c r="B359" s="1">
        <v>45912</v>
      </c>
      <c r="C359" t="s">
        <v>768</v>
      </c>
      <c r="D359" t="s">
        <v>114</v>
      </c>
      <c r="E359" t="s">
        <v>219</v>
      </c>
      <c r="F359" t="s">
        <v>469</v>
      </c>
      <c r="G359">
        <v>-1</v>
      </c>
      <c r="H359" s="2">
        <v>-100000</v>
      </c>
      <c r="I359">
        <v>2</v>
      </c>
      <c r="J359" t="s">
        <v>114</v>
      </c>
    </row>
    <row r="360" spans="1:10" hidden="1" x14ac:dyDescent="0.25">
      <c r="A360">
        <v>4</v>
      </c>
      <c r="B360" s="1">
        <v>45912</v>
      </c>
      <c r="C360" t="s">
        <v>768</v>
      </c>
      <c r="D360" t="s">
        <v>47</v>
      </c>
      <c r="E360" t="s">
        <v>459</v>
      </c>
      <c r="F360" t="s">
        <v>469</v>
      </c>
      <c r="G360">
        <v>5</v>
      </c>
      <c r="H360" s="2">
        <v>500000</v>
      </c>
      <c r="I360">
        <v>3</v>
      </c>
      <c r="J360" t="s">
        <v>47</v>
      </c>
    </row>
    <row r="361" spans="1:10" hidden="1" x14ac:dyDescent="0.25">
      <c r="A361">
        <v>4</v>
      </c>
      <c r="B361" s="1">
        <v>45912</v>
      </c>
      <c r="C361" t="s">
        <v>768</v>
      </c>
      <c r="D361" t="s">
        <v>45</v>
      </c>
      <c r="E361" t="s">
        <v>459</v>
      </c>
      <c r="F361" t="s">
        <v>474</v>
      </c>
      <c r="G361">
        <v>2</v>
      </c>
      <c r="H361" s="2">
        <v>200000</v>
      </c>
      <c r="I361">
        <v>3</v>
      </c>
      <c r="J361" t="s">
        <v>396</v>
      </c>
    </row>
    <row r="362" spans="1:10" hidden="1" x14ac:dyDescent="0.25">
      <c r="A362">
        <v>4</v>
      </c>
      <c r="B362" s="1">
        <v>45912</v>
      </c>
      <c r="C362" t="s">
        <v>768</v>
      </c>
      <c r="D362" t="s">
        <v>263</v>
      </c>
      <c r="E362" t="s">
        <v>459</v>
      </c>
      <c r="F362" t="s">
        <v>496</v>
      </c>
      <c r="G362">
        <v>9</v>
      </c>
      <c r="H362" s="2">
        <v>900000</v>
      </c>
      <c r="I362">
        <v>3</v>
      </c>
      <c r="J362" t="s">
        <v>412</v>
      </c>
    </row>
    <row r="363" spans="1:10" hidden="1" x14ac:dyDescent="0.25">
      <c r="A363">
        <v>4</v>
      </c>
      <c r="B363" s="1">
        <v>45912</v>
      </c>
      <c r="C363" t="s">
        <v>768</v>
      </c>
      <c r="D363" t="s">
        <v>74</v>
      </c>
      <c r="E363" t="s">
        <v>459</v>
      </c>
      <c r="F363" t="s">
        <v>453</v>
      </c>
      <c r="G363">
        <v>3</v>
      </c>
      <c r="H363" s="2">
        <v>300000</v>
      </c>
      <c r="I363">
        <v>3</v>
      </c>
      <c r="J363" t="s">
        <v>74</v>
      </c>
    </row>
    <row r="364" spans="1:10" hidden="1" x14ac:dyDescent="0.25">
      <c r="A364">
        <v>4</v>
      </c>
      <c r="B364" s="1">
        <v>45912</v>
      </c>
      <c r="C364" t="s">
        <v>768</v>
      </c>
      <c r="D364" t="s">
        <v>311</v>
      </c>
      <c r="E364" t="s">
        <v>89</v>
      </c>
      <c r="F364" t="s">
        <v>485</v>
      </c>
      <c r="G364">
        <v>2</v>
      </c>
      <c r="H364" s="2">
        <v>200000</v>
      </c>
      <c r="I364">
        <v>4</v>
      </c>
      <c r="J364" t="s">
        <v>377</v>
      </c>
    </row>
    <row r="365" spans="1:10" hidden="1" x14ac:dyDescent="0.25">
      <c r="A365">
        <v>4</v>
      </c>
      <c r="B365" s="1">
        <v>45912</v>
      </c>
      <c r="C365" t="s">
        <v>11</v>
      </c>
      <c r="D365" t="s">
        <v>78</v>
      </c>
      <c r="E365" t="s">
        <v>77</v>
      </c>
      <c r="F365" t="s">
        <v>453</v>
      </c>
      <c r="G365">
        <v>1</v>
      </c>
      <c r="H365" s="2">
        <v>100000</v>
      </c>
      <c r="I365">
        <v>1</v>
      </c>
      <c r="J365" t="s">
        <v>350</v>
      </c>
    </row>
    <row r="366" spans="1:10" hidden="1" x14ac:dyDescent="0.25">
      <c r="A366">
        <v>4</v>
      </c>
      <c r="B366" s="1">
        <v>45912</v>
      </c>
      <c r="C366" t="s">
        <v>11</v>
      </c>
      <c r="D366" t="s">
        <v>294</v>
      </c>
      <c r="E366" t="s">
        <v>219</v>
      </c>
      <c r="F366" t="s">
        <v>456</v>
      </c>
      <c r="G366">
        <v>8</v>
      </c>
      <c r="H366" s="2">
        <v>800000</v>
      </c>
      <c r="I366">
        <v>2</v>
      </c>
      <c r="J366" t="s">
        <v>294</v>
      </c>
    </row>
    <row r="367" spans="1:10" hidden="1" x14ac:dyDescent="0.25">
      <c r="A367">
        <v>4</v>
      </c>
      <c r="B367" s="1">
        <v>45912</v>
      </c>
      <c r="C367" t="s">
        <v>11</v>
      </c>
      <c r="D367" t="s">
        <v>36</v>
      </c>
      <c r="E367" t="s">
        <v>219</v>
      </c>
      <c r="F367" t="s">
        <v>448</v>
      </c>
      <c r="G367">
        <v>5</v>
      </c>
      <c r="H367" s="2">
        <v>500000</v>
      </c>
      <c r="I367">
        <v>2</v>
      </c>
      <c r="J367" t="s">
        <v>379</v>
      </c>
    </row>
    <row r="368" spans="1:10" hidden="1" x14ac:dyDescent="0.25">
      <c r="A368">
        <v>4</v>
      </c>
      <c r="B368" s="1">
        <v>45912</v>
      </c>
      <c r="C368" t="s">
        <v>11</v>
      </c>
      <c r="D368" t="s">
        <v>174</v>
      </c>
      <c r="E368" t="s">
        <v>219</v>
      </c>
      <c r="F368" t="s">
        <v>488</v>
      </c>
      <c r="G368">
        <v>8</v>
      </c>
      <c r="H368" s="2">
        <v>800000</v>
      </c>
      <c r="I368">
        <v>2</v>
      </c>
      <c r="J368" t="s">
        <v>174</v>
      </c>
    </row>
    <row r="369" spans="1:10" hidden="1" x14ac:dyDescent="0.25">
      <c r="A369">
        <v>4</v>
      </c>
      <c r="B369" s="1">
        <v>45912</v>
      </c>
      <c r="C369" t="s">
        <v>11</v>
      </c>
      <c r="D369" t="s">
        <v>173</v>
      </c>
      <c r="E369" t="s">
        <v>219</v>
      </c>
      <c r="F369" t="s">
        <v>453</v>
      </c>
      <c r="G369">
        <v>2</v>
      </c>
      <c r="H369" s="2">
        <v>200000</v>
      </c>
      <c r="I369">
        <v>2</v>
      </c>
      <c r="J369" t="s">
        <v>173</v>
      </c>
    </row>
    <row r="370" spans="1:10" hidden="1" x14ac:dyDescent="0.25">
      <c r="A370">
        <v>4</v>
      </c>
      <c r="B370" s="1">
        <v>45912</v>
      </c>
      <c r="C370" t="s">
        <v>11</v>
      </c>
      <c r="D370" t="s">
        <v>38</v>
      </c>
      <c r="E370" t="s">
        <v>459</v>
      </c>
      <c r="F370" t="s">
        <v>448</v>
      </c>
      <c r="G370">
        <v>15</v>
      </c>
      <c r="H370" s="2">
        <v>1500000</v>
      </c>
      <c r="I370">
        <v>3</v>
      </c>
      <c r="J370" t="s">
        <v>373</v>
      </c>
    </row>
    <row r="371" spans="1:10" hidden="1" x14ac:dyDescent="0.25">
      <c r="A371">
        <v>4</v>
      </c>
      <c r="B371" s="1">
        <v>45912</v>
      </c>
      <c r="C371" t="s">
        <v>11</v>
      </c>
      <c r="D371" t="s">
        <v>155</v>
      </c>
      <c r="E371" t="s">
        <v>459</v>
      </c>
      <c r="F371" t="s">
        <v>480</v>
      </c>
      <c r="G371">
        <v>5</v>
      </c>
      <c r="H371" s="2">
        <v>500000</v>
      </c>
      <c r="I371">
        <v>3</v>
      </c>
      <c r="J371" t="s">
        <v>385</v>
      </c>
    </row>
    <row r="372" spans="1:10" hidden="1" x14ac:dyDescent="0.25">
      <c r="A372">
        <v>4</v>
      </c>
      <c r="B372" s="1">
        <v>45912</v>
      </c>
      <c r="C372" t="s">
        <v>11</v>
      </c>
      <c r="D372" t="s">
        <v>300</v>
      </c>
      <c r="E372" t="s">
        <v>459</v>
      </c>
      <c r="F372" t="s">
        <v>498</v>
      </c>
      <c r="G372">
        <v>5</v>
      </c>
      <c r="H372" s="2">
        <v>500000</v>
      </c>
      <c r="I372">
        <v>3</v>
      </c>
      <c r="J372" t="s">
        <v>398</v>
      </c>
    </row>
    <row r="373" spans="1:10" hidden="1" x14ac:dyDescent="0.25">
      <c r="A373">
        <v>4</v>
      </c>
      <c r="B373" s="1">
        <v>45912</v>
      </c>
      <c r="C373" t="s">
        <v>11</v>
      </c>
      <c r="D373" t="s">
        <v>303</v>
      </c>
      <c r="E373" t="s">
        <v>89</v>
      </c>
      <c r="F373" t="s">
        <v>488</v>
      </c>
      <c r="G373">
        <v>5</v>
      </c>
      <c r="H373" s="2">
        <v>500000</v>
      </c>
      <c r="I373">
        <v>4</v>
      </c>
      <c r="J373" t="s">
        <v>303</v>
      </c>
    </row>
    <row r="374" spans="1:10" hidden="1" x14ac:dyDescent="0.25">
      <c r="A374">
        <v>4</v>
      </c>
      <c r="B374" s="1">
        <v>45912</v>
      </c>
      <c r="C374" t="s">
        <v>11</v>
      </c>
      <c r="D374" t="s">
        <v>123</v>
      </c>
      <c r="E374" t="s">
        <v>89</v>
      </c>
      <c r="F374" t="s">
        <v>464</v>
      </c>
      <c r="G374">
        <v>1</v>
      </c>
      <c r="H374" s="2">
        <v>100000</v>
      </c>
      <c r="I374">
        <v>4</v>
      </c>
      <c r="J374" t="s">
        <v>123</v>
      </c>
    </row>
    <row r="375" spans="1:10" hidden="1" x14ac:dyDescent="0.25">
      <c r="A375">
        <v>4</v>
      </c>
      <c r="B375" s="1">
        <v>45912</v>
      </c>
      <c r="C375" t="s">
        <v>11</v>
      </c>
      <c r="D375" t="s">
        <v>308</v>
      </c>
      <c r="E375" t="s">
        <v>89</v>
      </c>
      <c r="F375" t="s">
        <v>474</v>
      </c>
      <c r="G375">
        <v>2</v>
      </c>
      <c r="H375" s="2">
        <v>200000</v>
      </c>
      <c r="I375">
        <v>4</v>
      </c>
      <c r="J375" t="s">
        <v>308</v>
      </c>
    </row>
    <row r="376" spans="1:10" hidden="1" x14ac:dyDescent="0.25">
      <c r="A376">
        <v>4</v>
      </c>
      <c r="B376" s="1">
        <v>45912</v>
      </c>
      <c r="C376" t="s">
        <v>12</v>
      </c>
      <c r="D376" t="s">
        <v>290</v>
      </c>
      <c r="E376" t="s">
        <v>77</v>
      </c>
      <c r="F376" t="s">
        <v>472</v>
      </c>
      <c r="G376">
        <v>13</v>
      </c>
      <c r="H376" s="2">
        <v>1300000</v>
      </c>
      <c r="I376">
        <v>1</v>
      </c>
      <c r="J376" t="s">
        <v>121</v>
      </c>
    </row>
    <row r="377" spans="1:10" hidden="1" x14ac:dyDescent="0.25">
      <c r="A377">
        <v>4</v>
      </c>
      <c r="B377" s="1">
        <v>45912</v>
      </c>
      <c r="C377" t="s">
        <v>12</v>
      </c>
      <c r="D377" t="s">
        <v>200</v>
      </c>
      <c r="E377" t="s">
        <v>219</v>
      </c>
      <c r="F377" t="s">
        <v>514</v>
      </c>
      <c r="G377">
        <v>2</v>
      </c>
      <c r="H377" s="2">
        <v>200000</v>
      </c>
      <c r="I377">
        <v>2</v>
      </c>
      <c r="J377" t="s">
        <v>200</v>
      </c>
    </row>
    <row r="378" spans="1:10" hidden="1" x14ac:dyDescent="0.25">
      <c r="A378">
        <v>4</v>
      </c>
      <c r="B378" s="1">
        <v>45912</v>
      </c>
      <c r="C378" t="s">
        <v>12</v>
      </c>
      <c r="D378" t="s">
        <v>125</v>
      </c>
      <c r="E378" t="s">
        <v>219</v>
      </c>
      <c r="F378" t="s">
        <v>451</v>
      </c>
      <c r="G378">
        <v>5</v>
      </c>
      <c r="H378" s="2">
        <v>500000</v>
      </c>
      <c r="I378">
        <v>2</v>
      </c>
      <c r="J378" t="s">
        <v>125</v>
      </c>
    </row>
    <row r="379" spans="1:10" hidden="1" x14ac:dyDescent="0.25">
      <c r="A379">
        <v>4</v>
      </c>
      <c r="B379" s="1">
        <v>45912</v>
      </c>
      <c r="C379" t="s">
        <v>12</v>
      </c>
      <c r="D379" t="s">
        <v>240</v>
      </c>
      <c r="E379" t="s">
        <v>219</v>
      </c>
      <c r="F379" t="s">
        <v>472</v>
      </c>
      <c r="G379">
        <v>7</v>
      </c>
      <c r="H379" s="2">
        <v>700000</v>
      </c>
      <c r="I379">
        <v>2</v>
      </c>
      <c r="J379" t="s">
        <v>240</v>
      </c>
    </row>
    <row r="380" spans="1:10" hidden="1" x14ac:dyDescent="0.25">
      <c r="A380">
        <v>4</v>
      </c>
      <c r="B380" s="1">
        <v>45912</v>
      </c>
      <c r="C380" t="s">
        <v>12</v>
      </c>
      <c r="D380" t="s">
        <v>197</v>
      </c>
      <c r="E380" t="s">
        <v>219</v>
      </c>
      <c r="F380" t="s">
        <v>453</v>
      </c>
      <c r="G380">
        <v>1</v>
      </c>
      <c r="H380" s="2">
        <v>100000</v>
      </c>
      <c r="I380">
        <v>2</v>
      </c>
      <c r="J380" t="s">
        <v>197</v>
      </c>
    </row>
    <row r="381" spans="1:10" hidden="1" x14ac:dyDescent="0.25">
      <c r="A381">
        <v>4</v>
      </c>
      <c r="B381" s="1">
        <v>45912</v>
      </c>
      <c r="C381" t="s">
        <v>12</v>
      </c>
      <c r="D381" t="s">
        <v>126</v>
      </c>
      <c r="E381" t="s">
        <v>219</v>
      </c>
      <c r="F381" t="s">
        <v>480</v>
      </c>
      <c r="G381">
        <v>4</v>
      </c>
      <c r="H381" s="2">
        <v>400000</v>
      </c>
      <c r="I381">
        <v>2</v>
      </c>
      <c r="J381" t="s">
        <v>126</v>
      </c>
    </row>
    <row r="382" spans="1:10" hidden="1" x14ac:dyDescent="0.25">
      <c r="A382">
        <v>4</v>
      </c>
      <c r="B382" s="1">
        <v>45912</v>
      </c>
      <c r="C382" t="s">
        <v>12</v>
      </c>
      <c r="D382" t="s">
        <v>73</v>
      </c>
      <c r="E382" t="s">
        <v>459</v>
      </c>
      <c r="F382" t="s">
        <v>456</v>
      </c>
      <c r="G382">
        <v>8</v>
      </c>
      <c r="H382" s="2">
        <v>800000</v>
      </c>
      <c r="I382">
        <v>3</v>
      </c>
      <c r="J382" t="s">
        <v>73</v>
      </c>
    </row>
    <row r="383" spans="1:10" hidden="1" x14ac:dyDescent="0.25">
      <c r="A383">
        <v>4</v>
      </c>
      <c r="B383" s="1">
        <v>45912</v>
      </c>
      <c r="C383" t="s">
        <v>12</v>
      </c>
      <c r="D383" t="s">
        <v>216</v>
      </c>
      <c r="E383" t="s">
        <v>459</v>
      </c>
      <c r="F383" t="s">
        <v>458</v>
      </c>
      <c r="G383">
        <v>3</v>
      </c>
      <c r="H383" s="2">
        <v>300000</v>
      </c>
      <c r="I383">
        <v>3</v>
      </c>
      <c r="J383" t="s">
        <v>216</v>
      </c>
    </row>
    <row r="384" spans="1:10" hidden="1" x14ac:dyDescent="0.25">
      <c r="A384">
        <v>4</v>
      </c>
      <c r="B384" s="1">
        <v>45912</v>
      </c>
      <c r="C384" t="s">
        <v>12</v>
      </c>
      <c r="D384" t="s">
        <v>248</v>
      </c>
      <c r="E384" t="s">
        <v>459</v>
      </c>
      <c r="F384" t="s">
        <v>464</v>
      </c>
      <c r="G384">
        <v>1</v>
      </c>
      <c r="H384" s="2">
        <v>100000</v>
      </c>
      <c r="I384">
        <v>3</v>
      </c>
      <c r="J384" t="s">
        <v>432</v>
      </c>
    </row>
    <row r="385" spans="1:10" hidden="1" x14ac:dyDescent="0.25">
      <c r="A385">
        <v>4</v>
      </c>
      <c r="B385" s="1">
        <v>45912</v>
      </c>
      <c r="C385" t="s">
        <v>12</v>
      </c>
      <c r="D385" t="s">
        <v>109</v>
      </c>
      <c r="E385" t="s">
        <v>459</v>
      </c>
      <c r="F385" t="s">
        <v>451</v>
      </c>
      <c r="G385">
        <v>2</v>
      </c>
      <c r="H385" s="2">
        <v>200000</v>
      </c>
      <c r="I385">
        <v>3</v>
      </c>
      <c r="J385" t="s">
        <v>109</v>
      </c>
    </row>
    <row r="386" spans="1:10" hidden="1" x14ac:dyDescent="0.25">
      <c r="A386">
        <v>4</v>
      </c>
      <c r="B386" s="1">
        <v>45912</v>
      </c>
      <c r="C386" t="s">
        <v>12</v>
      </c>
      <c r="D386" t="s">
        <v>105</v>
      </c>
      <c r="E386" t="s">
        <v>89</v>
      </c>
      <c r="F386" t="s">
        <v>474</v>
      </c>
      <c r="G386">
        <v>2</v>
      </c>
      <c r="H386" s="2">
        <v>200000</v>
      </c>
      <c r="I386">
        <v>4</v>
      </c>
      <c r="J386" t="s">
        <v>415</v>
      </c>
    </row>
    <row r="387" spans="1:10" hidden="1" x14ac:dyDescent="0.25">
      <c r="A387">
        <v>4</v>
      </c>
      <c r="B387" s="1">
        <v>45912</v>
      </c>
      <c r="C387" t="s">
        <v>6</v>
      </c>
      <c r="D387" t="s">
        <v>113</v>
      </c>
      <c r="E387" t="s">
        <v>77</v>
      </c>
      <c r="F387" t="s">
        <v>514</v>
      </c>
      <c r="G387">
        <v>11</v>
      </c>
      <c r="H387" s="2">
        <v>1100000</v>
      </c>
      <c r="I387">
        <v>1</v>
      </c>
      <c r="J387" t="s">
        <v>349</v>
      </c>
    </row>
    <row r="388" spans="1:10" hidden="1" x14ac:dyDescent="0.25">
      <c r="A388">
        <v>4</v>
      </c>
      <c r="B388" s="1">
        <v>45912</v>
      </c>
      <c r="C388" t="s">
        <v>6</v>
      </c>
      <c r="D388" t="s">
        <v>183</v>
      </c>
      <c r="E388" t="s">
        <v>219</v>
      </c>
      <c r="F388" t="s">
        <v>485</v>
      </c>
      <c r="G388">
        <v>9</v>
      </c>
      <c r="H388" s="2">
        <v>900000</v>
      </c>
      <c r="I388">
        <v>2</v>
      </c>
      <c r="J388" t="s">
        <v>393</v>
      </c>
    </row>
    <row r="389" spans="1:10" hidden="1" x14ac:dyDescent="0.25">
      <c r="A389">
        <v>4</v>
      </c>
      <c r="B389" s="1">
        <v>45912</v>
      </c>
      <c r="C389" t="s">
        <v>6</v>
      </c>
      <c r="D389" t="s">
        <v>315</v>
      </c>
      <c r="E389" t="s">
        <v>219</v>
      </c>
      <c r="F389" t="s">
        <v>496</v>
      </c>
      <c r="G389">
        <v>-1</v>
      </c>
      <c r="H389" s="2">
        <v>-100000</v>
      </c>
      <c r="I389">
        <v>2</v>
      </c>
      <c r="J389" t="s">
        <v>730</v>
      </c>
    </row>
    <row r="390" spans="1:10" hidden="1" x14ac:dyDescent="0.25">
      <c r="A390">
        <v>4</v>
      </c>
      <c r="B390" s="1">
        <v>45912</v>
      </c>
      <c r="C390" t="s">
        <v>6</v>
      </c>
      <c r="D390" t="s">
        <v>43</v>
      </c>
      <c r="E390" t="s">
        <v>219</v>
      </c>
      <c r="F390" t="s">
        <v>480</v>
      </c>
      <c r="G390">
        <v>6</v>
      </c>
      <c r="H390" s="2">
        <v>600000</v>
      </c>
      <c r="I390">
        <v>2</v>
      </c>
      <c r="J390" t="s">
        <v>43</v>
      </c>
    </row>
    <row r="391" spans="1:10" hidden="1" x14ac:dyDescent="0.25">
      <c r="A391">
        <v>4</v>
      </c>
      <c r="B391" s="1">
        <v>45912</v>
      </c>
      <c r="C391" t="s">
        <v>6</v>
      </c>
      <c r="D391" t="s">
        <v>239</v>
      </c>
      <c r="E391" t="s">
        <v>459</v>
      </c>
      <c r="F391" t="s">
        <v>474</v>
      </c>
      <c r="G391">
        <v>1</v>
      </c>
      <c r="H391" s="2">
        <v>100000</v>
      </c>
      <c r="I391">
        <v>3</v>
      </c>
      <c r="J391" t="s">
        <v>239</v>
      </c>
    </row>
    <row r="392" spans="1:10" hidden="1" x14ac:dyDescent="0.25">
      <c r="A392">
        <v>4</v>
      </c>
      <c r="B392" s="1">
        <v>45912</v>
      </c>
      <c r="C392" t="s">
        <v>6</v>
      </c>
      <c r="D392" t="s">
        <v>52</v>
      </c>
      <c r="E392" t="s">
        <v>459</v>
      </c>
      <c r="F392" t="s">
        <v>461</v>
      </c>
      <c r="G392">
        <v>3</v>
      </c>
      <c r="H392" s="2">
        <v>300000</v>
      </c>
      <c r="I392">
        <v>3</v>
      </c>
      <c r="J392" t="s">
        <v>52</v>
      </c>
    </row>
    <row r="393" spans="1:10" hidden="1" x14ac:dyDescent="0.25">
      <c r="A393">
        <v>4</v>
      </c>
      <c r="B393" s="1">
        <v>45912</v>
      </c>
      <c r="C393" t="s">
        <v>6</v>
      </c>
      <c r="D393" t="s">
        <v>251</v>
      </c>
      <c r="E393" t="s">
        <v>459</v>
      </c>
      <c r="F393" t="s">
        <v>456</v>
      </c>
      <c r="G393">
        <v>4</v>
      </c>
      <c r="H393" s="2">
        <v>400000</v>
      </c>
      <c r="I393">
        <v>3</v>
      </c>
      <c r="J393" t="s">
        <v>251</v>
      </c>
    </row>
    <row r="394" spans="1:10" hidden="1" x14ac:dyDescent="0.25">
      <c r="A394">
        <v>4</v>
      </c>
      <c r="B394" s="1">
        <v>45912</v>
      </c>
      <c r="C394" t="s">
        <v>6</v>
      </c>
      <c r="D394" t="s">
        <v>88</v>
      </c>
      <c r="E394" t="s">
        <v>459</v>
      </c>
      <c r="F394" t="s">
        <v>472</v>
      </c>
      <c r="G394">
        <v>11</v>
      </c>
      <c r="H394" s="2">
        <v>1100000</v>
      </c>
      <c r="I394">
        <v>3</v>
      </c>
      <c r="J394" t="s">
        <v>88</v>
      </c>
    </row>
    <row r="395" spans="1:10" hidden="1" x14ac:dyDescent="0.25">
      <c r="A395">
        <v>4</v>
      </c>
      <c r="B395" s="1">
        <v>45912</v>
      </c>
      <c r="C395" t="s">
        <v>6</v>
      </c>
      <c r="D395" t="s">
        <v>186</v>
      </c>
      <c r="E395" t="s">
        <v>89</v>
      </c>
      <c r="F395" t="s">
        <v>480</v>
      </c>
      <c r="G395">
        <v>6</v>
      </c>
      <c r="H395" s="2">
        <v>600000</v>
      </c>
      <c r="I395">
        <v>4</v>
      </c>
      <c r="J395" t="s">
        <v>186</v>
      </c>
    </row>
    <row r="396" spans="1:10" hidden="1" x14ac:dyDescent="0.25">
      <c r="A396">
        <v>4</v>
      </c>
      <c r="B396" s="1">
        <v>45912</v>
      </c>
      <c r="C396" t="s">
        <v>6</v>
      </c>
      <c r="D396" t="s">
        <v>274</v>
      </c>
      <c r="E396" t="s">
        <v>89</v>
      </c>
      <c r="F396" t="s">
        <v>496</v>
      </c>
      <c r="G396">
        <v>8</v>
      </c>
      <c r="H396" s="2">
        <v>800000</v>
      </c>
      <c r="I396">
        <v>4</v>
      </c>
      <c r="J396" t="s">
        <v>274</v>
      </c>
    </row>
    <row r="397" spans="1:10" hidden="1" x14ac:dyDescent="0.25">
      <c r="A397">
        <v>4</v>
      </c>
      <c r="B397" s="1">
        <v>45912</v>
      </c>
      <c r="C397" t="s">
        <v>6</v>
      </c>
      <c r="D397" t="s">
        <v>161</v>
      </c>
      <c r="E397" t="s">
        <v>89</v>
      </c>
      <c r="F397" t="s">
        <v>447</v>
      </c>
      <c r="G397">
        <v>9</v>
      </c>
      <c r="H397" s="2">
        <v>900000</v>
      </c>
      <c r="I397">
        <v>4</v>
      </c>
      <c r="J397" t="s">
        <v>161</v>
      </c>
    </row>
    <row r="398" spans="1:10" hidden="1" x14ac:dyDescent="0.25">
      <c r="A398">
        <v>4</v>
      </c>
      <c r="B398" s="1">
        <v>45912</v>
      </c>
      <c r="C398" t="s">
        <v>9</v>
      </c>
      <c r="D398" t="s">
        <v>149</v>
      </c>
      <c r="E398" t="s">
        <v>77</v>
      </c>
      <c r="F398" t="s">
        <v>461</v>
      </c>
      <c r="G398">
        <v>0</v>
      </c>
      <c r="H398" s="2">
        <v>0</v>
      </c>
      <c r="I398">
        <v>1</v>
      </c>
      <c r="J398" t="s">
        <v>149</v>
      </c>
    </row>
    <row r="399" spans="1:10" hidden="1" x14ac:dyDescent="0.25">
      <c r="A399">
        <v>4</v>
      </c>
      <c r="B399" s="1">
        <v>45912</v>
      </c>
      <c r="C399" t="s">
        <v>9</v>
      </c>
      <c r="D399" t="s">
        <v>139</v>
      </c>
      <c r="E399" t="s">
        <v>219</v>
      </c>
      <c r="F399" t="s">
        <v>458</v>
      </c>
      <c r="G399">
        <v>6</v>
      </c>
      <c r="H399" s="2">
        <v>600000</v>
      </c>
      <c r="I399">
        <v>2</v>
      </c>
      <c r="J399" t="s">
        <v>371</v>
      </c>
    </row>
    <row r="400" spans="1:10" hidden="1" x14ac:dyDescent="0.25">
      <c r="A400">
        <v>4</v>
      </c>
      <c r="B400" s="1">
        <v>45912</v>
      </c>
      <c r="C400" t="s">
        <v>9</v>
      </c>
      <c r="D400" t="s">
        <v>34</v>
      </c>
      <c r="E400" t="s">
        <v>219</v>
      </c>
      <c r="F400" t="s">
        <v>480</v>
      </c>
      <c r="G400">
        <v>4</v>
      </c>
      <c r="H400" s="2">
        <v>400000</v>
      </c>
      <c r="I400">
        <v>2</v>
      </c>
      <c r="J400" t="s">
        <v>34</v>
      </c>
    </row>
    <row r="401" spans="1:10" hidden="1" x14ac:dyDescent="0.25">
      <c r="A401">
        <v>4</v>
      </c>
      <c r="B401" s="1">
        <v>45912</v>
      </c>
      <c r="C401" t="s">
        <v>9</v>
      </c>
      <c r="D401" t="s">
        <v>317</v>
      </c>
      <c r="E401" t="s">
        <v>219</v>
      </c>
      <c r="F401" t="s">
        <v>455</v>
      </c>
      <c r="G401">
        <v>5</v>
      </c>
      <c r="H401" s="2">
        <v>500000</v>
      </c>
      <c r="I401">
        <v>2</v>
      </c>
      <c r="J401" t="s">
        <v>317</v>
      </c>
    </row>
    <row r="402" spans="1:10" hidden="1" x14ac:dyDescent="0.25">
      <c r="A402">
        <v>4</v>
      </c>
      <c r="B402" s="1">
        <v>45912</v>
      </c>
      <c r="C402" t="s">
        <v>9</v>
      </c>
      <c r="D402" t="s">
        <v>198</v>
      </c>
      <c r="E402" t="s">
        <v>459</v>
      </c>
      <c r="F402" t="s">
        <v>485</v>
      </c>
      <c r="G402">
        <v>4</v>
      </c>
      <c r="H402" s="2">
        <v>400000</v>
      </c>
      <c r="I402">
        <v>3</v>
      </c>
      <c r="J402" t="s">
        <v>341</v>
      </c>
    </row>
    <row r="403" spans="1:10" hidden="1" x14ac:dyDescent="0.25">
      <c r="A403">
        <v>4</v>
      </c>
      <c r="B403" s="1">
        <v>45912</v>
      </c>
      <c r="C403" t="s">
        <v>9</v>
      </c>
      <c r="D403" t="s">
        <v>225</v>
      </c>
      <c r="E403" t="s">
        <v>459</v>
      </c>
      <c r="F403" t="s">
        <v>488</v>
      </c>
      <c r="G403">
        <v>13</v>
      </c>
      <c r="H403" s="2">
        <v>1300000</v>
      </c>
      <c r="I403">
        <v>3</v>
      </c>
      <c r="J403" t="s">
        <v>225</v>
      </c>
    </row>
    <row r="404" spans="1:10" hidden="1" x14ac:dyDescent="0.25">
      <c r="A404">
        <v>4</v>
      </c>
      <c r="B404" s="1">
        <v>45912</v>
      </c>
      <c r="C404" t="s">
        <v>9</v>
      </c>
      <c r="D404" t="s">
        <v>120</v>
      </c>
      <c r="E404" t="s">
        <v>459</v>
      </c>
      <c r="F404" t="s">
        <v>451</v>
      </c>
      <c r="G404">
        <v>12</v>
      </c>
      <c r="H404" s="2">
        <v>1200000</v>
      </c>
      <c r="I404">
        <v>3</v>
      </c>
      <c r="J404" t="s">
        <v>120</v>
      </c>
    </row>
    <row r="405" spans="1:10" hidden="1" x14ac:dyDescent="0.25">
      <c r="A405">
        <v>4</v>
      </c>
      <c r="B405" s="1">
        <v>45912</v>
      </c>
      <c r="C405" t="s">
        <v>9</v>
      </c>
      <c r="D405" t="s">
        <v>232</v>
      </c>
      <c r="E405" t="s">
        <v>459</v>
      </c>
      <c r="F405" t="s">
        <v>469</v>
      </c>
      <c r="G405">
        <v>2</v>
      </c>
      <c r="H405" s="2">
        <v>200000</v>
      </c>
      <c r="I405">
        <v>3</v>
      </c>
      <c r="J405" t="s">
        <v>232</v>
      </c>
    </row>
    <row r="406" spans="1:10" hidden="1" x14ac:dyDescent="0.25">
      <c r="A406">
        <v>4</v>
      </c>
      <c r="B406" s="1">
        <v>45912</v>
      </c>
      <c r="C406" t="s">
        <v>9</v>
      </c>
      <c r="D406" t="s">
        <v>134</v>
      </c>
      <c r="E406" t="s">
        <v>89</v>
      </c>
      <c r="F406" t="s">
        <v>465</v>
      </c>
      <c r="G406">
        <v>0</v>
      </c>
      <c r="H406" s="2">
        <v>0</v>
      </c>
      <c r="I406">
        <v>4</v>
      </c>
      <c r="J406" t="s">
        <v>556</v>
      </c>
    </row>
    <row r="407" spans="1:10" hidden="1" x14ac:dyDescent="0.25">
      <c r="A407">
        <v>4</v>
      </c>
      <c r="B407" s="1">
        <v>45912</v>
      </c>
      <c r="C407" t="s">
        <v>9</v>
      </c>
      <c r="D407" t="s">
        <v>194</v>
      </c>
      <c r="E407" t="s">
        <v>89</v>
      </c>
      <c r="F407" t="s">
        <v>480</v>
      </c>
      <c r="G407">
        <v>0</v>
      </c>
      <c r="H407" s="2">
        <v>0</v>
      </c>
      <c r="I407">
        <v>4</v>
      </c>
      <c r="J407" t="s">
        <v>407</v>
      </c>
    </row>
    <row r="408" spans="1:10" hidden="1" x14ac:dyDescent="0.25">
      <c r="A408">
        <v>4</v>
      </c>
      <c r="B408" s="1">
        <v>45912</v>
      </c>
      <c r="C408" t="s">
        <v>9</v>
      </c>
      <c r="D408" t="s">
        <v>136</v>
      </c>
      <c r="E408" t="s">
        <v>89</v>
      </c>
      <c r="F408" t="s">
        <v>469</v>
      </c>
      <c r="G408">
        <v>10</v>
      </c>
      <c r="H408" s="2">
        <v>1000000</v>
      </c>
      <c r="I408">
        <v>4</v>
      </c>
      <c r="J408" t="s">
        <v>136</v>
      </c>
    </row>
    <row r="409" spans="1:10" hidden="1" x14ac:dyDescent="0.25">
      <c r="A409">
        <v>4</v>
      </c>
      <c r="B409" s="1">
        <v>45912</v>
      </c>
      <c r="C409" t="s">
        <v>13</v>
      </c>
      <c r="D409" t="s">
        <v>171</v>
      </c>
      <c r="E409" t="s">
        <v>77</v>
      </c>
      <c r="F409" t="s">
        <v>464</v>
      </c>
      <c r="G409">
        <v>8</v>
      </c>
      <c r="H409" s="2">
        <v>800000</v>
      </c>
      <c r="I409">
        <v>1</v>
      </c>
      <c r="J409" t="s">
        <v>171</v>
      </c>
    </row>
    <row r="410" spans="1:10" hidden="1" x14ac:dyDescent="0.25">
      <c r="A410">
        <v>4</v>
      </c>
      <c r="B410" s="1">
        <v>45912</v>
      </c>
      <c r="C410" t="s">
        <v>13</v>
      </c>
      <c r="D410" t="s">
        <v>233</v>
      </c>
      <c r="E410" t="s">
        <v>219</v>
      </c>
      <c r="F410" t="s">
        <v>458</v>
      </c>
      <c r="G410">
        <v>5</v>
      </c>
      <c r="H410" s="2">
        <v>500000</v>
      </c>
      <c r="I410">
        <v>2</v>
      </c>
      <c r="J410" t="s">
        <v>233</v>
      </c>
    </row>
    <row r="411" spans="1:10" hidden="1" x14ac:dyDescent="0.25">
      <c r="A411">
        <v>4</v>
      </c>
      <c r="B411" s="1">
        <v>45912</v>
      </c>
      <c r="C411" t="s">
        <v>13</v>
      </c>
      <c r="D411" t="s">
        <v>175</v>
      </c>
      <c r="E411" t="s">
        <v>219</v>
      </c>
      <c r="F411" t="s">
        <v>472</v>
      </c>
      <c r="G411">
        <v>8</v>
      </c>
      <c r="H411" s="2">
        <v>800000</v>
      </c>
      <c r="I411">
        <v>2</v>
      </c>
      <c r="J411" t="s">
        <v>175</v>
      </c>
    </row>
    <row r="412" spans="1:10" hidden="1" x14ac:dyDescent="0.25">
      <c r="A412">
        <v>4</v>
      </c>
      <c r="B412" s="1">
        <v>45912</v>
      </c>
      <c r="C412" t="s">
        <v>13</v>
      </c>
      <c r="D412" t="s">
        <v>234</v>
      </c>
      <c r="E412" t="s">
        <v>219</v>
      </c>
      <c r="F412" t="s">
        <v>474</v>
      </c>
      <c r="G412">
        <v>0</v>
      </c>
      <c r="H412" s="2">
        <v>0</v>
      </c>
      <c r="I412">
        <v>2</v>
      </c>
      <c r="J412" t="s">
        <v>347</v>
      </c>
    </row>
    <row r="413" spans="1:10" hidden="1" x14ac:dyDescent="0.25">
      <c r="A413">
        <v>4</v>
      </c>
      <c r="B413" s="1">
        <v>45912</v>
      </c>
      <c r="C413" t="s">
        <v>13</v>
      </c>
      <c r="D413" t="s">
        <v>331</v>
      </c>
      <c r="E413" t="s">
        <v>459</v>
      </c>
      <c r="F413" t="s">
        <v>496</v>
      </c>
      <c r="G413">
        <v>7</v>
      </c>
      <c r="H413" s="2">
        <v>700000</v>
      </c>
      <c r="I413">
        <v>3</v>
      </c>
      <c r="J413" t="s">
        <v>376</v>
      </c>
    </row>
    <row r="414" spans="1:10" hidden="1" x14ac:dyDescent="0.25">
      <c r="A414">
        <v>4</v>
      </c>
      <c r="B414" s="1">
        <v>45912</v>
      </c>
      <c r="C414" t="s">
        <v>13</v>
      </c>
      <c r="D414" t="s">
        <v>119</v>
      </c>
      <c r="E414" t="s">
        <v>459</v>
      </c>
      <c r="F414" t="s">
        <v>464</v>
      </c>
      <c r="G414">
        <v>1</v>
      </c>
      <c r="H414" s="2">
        <v>100000</v>
      </c>
      <c r="I414">
        <v>3</v>
      </c>
      <c r="J414" t="s">
        <v>119</v>
      </c>
    </row>
    <row r="415" spans="1:10" hidden="1" x14ac:dyDescent="0.25">
      <c r="A415">
        <v>4</v>
      </c>
      <c r="B415" s="1">
        <v>45912</v>
      </c>
      <c r="C415" t="s">
        <v>13</v>
      </c>
      <c r="D415" t="s">
        <v>326</v>
      </c>
      <c r="E415" t="s">
        <v>459</v>
      </c>
      <c r="F415" t="s">
        <v>456</v>
      </c>
      <c r="G415">
        <v>17</v>
      </c>
      <c r="H415" s="2">
        <v>1700000</v>
      </c>
      <c r="I415">
        <v>3</v>
      </c>
      <c r="J415" t="s">
        <v>404</v>
      </c>
    </row>
    <row r="416" spans="1:10" hidden="1" x14ac:dyDescent="0.25">
      <c r="A416">
        <v>4</v>
      </c>
      <c r="B416" s="1">
        <v>45912</v>
      </c>
      <c r="C416" t="s">
        <v>13</v>
      </c>
      <c r="D416" t="s">
        <v>299</v>
      </c>
      <c r="E416" t="s">
        <v>459</v>
      </c>
      <c r="F416" t="s">
        <v>451</v>
      </c>
      <c r="G416">
        <v>5</v>
      </c>
      <c r="H416" s="2">
        <v>500000</v>
      </c>
      <c r="I416">
        <v>3</v>
      </c>
      <c r="J416" t="s">
        <v>299</v>
      </c>
    </row>
    <row r="417" spans="1:10" hidden="1" x14ac:dyDescent="0.25">
      <c r="A417">
        <v>4</v>
      </c>
      <c r="B417" s="1">
        <v>45912</v>
      </c>
      <c r="C417" t="s">
        <v>13</v>
      </c>
      <c r="D417" t="s">
        <v>298</v>
      </c>
      <c r="E417" t="s">
        <v>89</v>
      </c>
      <c r="F417" t="s">
        <v>498</v>
      </c>
      <c r="G417">
        <v>2</v>
      </c>
      <c r="H417" s="2">
        <v>200000</v>
      </c>
      <c r="I417">
        <v>4</v>
      </c>
      <c r="J417" t="s">
        <v>298</v>
      </c>
    </row>
    <row r="418" spans="1:10" hidden="1" x14ac:dyDescent="0.25">
      <c r="A418">
        <v>4</v>
      </c>
      <c r="B418" s="1">
        <v>45912</v>
      </c>
      <c r="C418" t="s">
        <v>13</v>
      </c>
      <c r="D418" t="s">
        <v>287</v>
      </c>
      <c r="E418" t="s">
        <v>89</v>
      </c>
      <c r="F418" t="s">
        <v>458</v>
      </c>
      <c r="G418">
        <v>9</v>
      </c>
      <c r="H418" s="2">
        <v>900000</v>
      </c>
      <c r="I418">
        <v>4</v>
      </c>
      <c r="J418" t="s">
        <v>287</v>
      </c>
    </row>
    <row r="419" spans="1:10" hidden="1" x14ac:dyDescent="0.25">
      <c r="A419">
        <v>4</v>
      </c>
      <c r="B419" s="1">
        <v>45912</v>
      </c>
      <c r="C419" t="s">
        <v>13</v>
      </c>
      <c r="D419" t="s">
        <v>301</v>
      </c>
      <c r="E419" t="s">
        <v>89</v>
      </c>
      <c r="F419" t="s">
        <v>461</v>
      </c>
      <c r="G419">
        <v>11</v>
      </c>
      <c r="H419" s="2">
        <v>1100000</v>
      </c>
      <c r="I419">
        <v>4</v>
      </c>
      <c r="J419" t="s">
        <v>301</v>
      </c>
    </row>
    <row r="420" spans="1:10" hidden="1" x14ac:dyDescent="0.25">
      <c r="A420">
        <v>4</v>
      </c>
      <c r="B420" s="1">
        <v>45912</v>
      </c>
      <c r="C420" t="s">
        <v>8</v>
      </c>
      <c r="D420" t="s">
        <v>266</v>
      </c>
      <c r="E420" t="s">
        <v>77</v>
      </c>
      <c r="F420" t="s">
        <v>451</v>
      </c>
      <c r="G420">
        <v>0</v>
      </c>
      <c r="H420" s="2">
        <v>0</v>
      </c>
      <c r="I420">
        <v>1</v>
      </c>
      <c r="J420" t="s">
        <v>675</v>
      </c>
    </row>
    <row r="421" spans="1:10" hidden="1" x14ac:dyDescent="0.25">
      <c r="A421">
        <v>4</v>
      </c>
      <c r="B421" s="1">
        <v>45912</v>
      </c>
      <c r="C421" t="s">
        <v>8</v>
      </c>
      <c r="D421" t="s">
        <v>276</v>
      </c>
      <c r="E421" t="s">
        <v>219</v>
      </c>
      <c r="F421" t="s">
        <v>514</v>
      </c>
      <c r="G421">
        <v>1</v>
      </c>
      <c r="H421" s="2">
        <v>100000</v>
      </c>
      <c r="I421">
        <v>2</v>
      </c>
      <c r="J421" t="s">
        <v>276</v>
      </c>
    </row>
    <row r="422" spans="1:10" hidden="1" x14ac:dyDescent="0.25">
      <c r="A422">
        <v>4</v>
      </c>
      <c r="B422" s="1">
        <v>45912</v>
      </c>
      <c r="C422" t="s">
        <v>8</v>
      </c>
      <c r="D422" t="s">
        <v>277</v>
      </c>
      <c r="E422" t="s">
        <v>219</v>
      </c>
      <c r="F422" t="s">
        <v>498</v>
      </c>
      <c r="G422">
        <v>4</v>
      </c>
      <c r="H422" s="2">
        <v>400000</v>
      </c>
      <c r="I422">
        <v>2</v>
      </c>
      <c r="J422" t="s">
        <v>355</v>
      </c>
    </row>
    <row r="423" spans="1:10" hidden="1" x14ac:dyDescent="0.25">
      <c r="A423">
        <v>4</v>
      </c>
      <c r="B423" s="1">
        <v>45912</v>
      </c>
      <c r="C423" t="s">
        <v>8</v>
      </c>
      <c r="D423" t="s">
        <v>56</v>
      </c>
      <c r="E423" t="s">
        <v>219</v>
      </c>
      <c r="F423" t="s">
        <v>464</v>
      </c>
      <c r="G423">
        <v>0</v>
      </c>
      <c r="H423" s="2">
        <v>0</v>
      </c>
      <c r="I423">
        <v>2</v>
      </c>
      <c r="J423" t="s">
        <v>564</v>
      </c>
    </row>
    <row r="424" spans="1:10" hidden="1" x14ac:dyDescent="0.25">
      <c r="A424">
        <v>4</v>
      </c>
      <c r="B424" s="1">
        <v>45912</v>
      </c>
      <c r="C424" t="s">
        <v>8</v>
      </c>
      <c r="D424" t="s">
        <v>330</v>
      </c>
      <c r="E424" t="s">
        <v>459</v>
      </c>
      <c r="F424" t="s">
        <v>451</v>
      </c>
      <c r="G424">
        <v>7</v>
      </c>
      <c r="H424" s="2">
        <v>700000</v>
      </c>
      <c r="I424">
        <v>3</v>
      </c>
      <c r="J424" t="s">
        <v>356</v>
      </c>
    </row>
    <row r="425" spans="1:10" hidden="1" x14ac:dyDescent="0.25">
      <c r="A425">
        <v>4</v>
      </c>
      <c r="B425" s="1">
        <v>45912</v>
      </c>
      <c r="C425" t="s">
        <v>8</v>
      </c>
      <c r="D425" t="s">
        <v>64</v>
      </c>
      <c r="E425" t="s">
        <v>459</v>
      </c>
      <c r="F425" t="s">
        <v>453</v>
      </c>
      <c r="G425">
        <v>0</v>
      </c>
      <c r="H425" s="2">
        <v>0</v>
      </c>
      <c r="I425">
        <v>3</v>
      </c>
      <c r="J425" t="s">
        <v>491</v>
      </c>
    </row>
    <row r="426" spans="1:10" hidden="1" x14ac:dyDescent="0.25">
      <c r="A426">
        <v>4</v>
      </c>
      <c r="B426" s="1">
        <v>45912</v>
      </c>
      <c r="C426" t="s">
        <v>8</v>
      </c>
      <c r="D426" t="s">
        <v>245</v>
      </c>
      <c r="E426" t="s">
        <v>459</v>
      </c>
      <c r="F426" t="s">
        <v>449</v>
      </c>
      <c r="G426">
        <v>0</v>
      </c>
      <c r="H426" s="2">
        <v>0</v>
      </c>
      <c r="I426">
        <v>3</v>
      </c>
      <c r="J426" t="s">
        <v>620</v>
      </c>
    </row>
    <row r="427" spans="1:10" hidden="1" x14ac:dyDescent="0.25">
      <c r="A427">
        <v>4</v>
      </c>
      <c r="B427" s="1">
        <v>45912</v>
      </c>
      <c r="C427" t="s">
        <v>8</v>
      </c>
      <c r="D427" t="s">
        <v>111</v>
      </c>
      <c r="E427" t="s">
        <v>459</v>
      </c>
      <c r="F427" t="s">
        <v>474</v>
      </c>
      <c r="G427">
        <v>2</v>
      </c>
      <c r="H427" s="2">
        <v>200000</v>
      </c>
      <c r="I427">
        <v>3</v>
      </c>
      <c r="J427" t="s">
        <v>111</v>
      </c>
    </row>
    <row r="428" spans="1:10" hidden="1" x14ac:dyDescent="0.25">
      <c r="A428">
        <v>4</v>
      </c>
      <c r="B428" s="1">
        <v>45912</v>
      </c>
      <c r="C428" t="s">
        <v>8</v>
      </c>
      <c r="D428" t="s">
        <v>267</v>
      </c>
      <c r="E428" t="s">
        <v>89</v>
      </c>
      <c r="F428" t="s">
        <v>447</v>
      </c>
      <c r="G428">
        <v>0</v>
      </c>
      <c r="H428" s="2">
        <v>0</v>
      </c>
      <c r="I428">
        <v>4</v>
      </c>
      <c r="J428" t="s">
        <v>751</v>
      </c>
    </row>
    <row r="429" spans="1:10" hidden="1" x14ac:dyDescent="0.25">
      <c r="A429">
        <v>4</v>
      </c>
      <c r="B429" s="1">
        <v>45912</v>
      </c>
      <c r="C429" t="s">
        <v>8</v>
      </c>
      <c r="D429" t="s">
        <v>278</v>
      </c>
      <c r="E429" t="s">
        <v>89</v>
      </c>
      <c r="F429" t="s">
        <v>448</v>
      </c>
      <c r="G429">
        <v>0</v>
      </c>
      <c r="H429" s="2">
        <v>0</v>
      </c>
      <c r="I429">
        <v>4</v>
      </c>
      <c r="J429" t="s">
        <v>278</v>
      </c>
    </row>
    <row r="430" spans="1:10" hidden="1" x14ac:dyDescent="0.25">
      <c r="A430">
        <v>4</v>
      </c>
      <c r="B430" s="1">
        <v>45912</v>
      </c>
      <c r="C430" t="s">
        <v>8</v>
      </c>
      <c r="D430" t="s">
        <v>71</v>
      </c>
      <c r="E430" t="s">
        <v>89</v>
      </c>
      <c r="F430" t="s">
        <v>472</v>
      </c>
      <c r="G430">
        <v>11</v>
      </c>
      <c r="H430" s="2">
        <v>1100000</v>
      </c>
      <c r="I430">
        <v>4</v>
      </c>
      <c r="J430" t="s">
        <v>693</v>
      </c>
    </row>
    <row r="431" spans="1:10" hidden="1" x14ac:dyDescent="0.25">
      <c r="A431">
        <v>4</v>
      </c>
      <c r="B431" s="1">
        <v>45912</v>
      </c>
      <c r="C431" t="s">
        <v>7</v>
      </c>
      <c r="D431" t="s">
        <v>54</v>
      </c>
      <c r="E431" t="s">
        <v>77</v>
      </c>
      <c r="F431" t="s">
        <v>488</v>
      </c>
      <c r="G431">
        <v>10</v>
      </c>
      <c r="H431" s="2">
        <v>1000000</v>
      </c>
      <c r="I431">
        <v>1</v>
      </c>
      <c r="J431" t="s">
        <v>54</v>
      </c>
    </row>
    <row r="432" spans="1:10" hidden="1" x14ac:dyDescent="0.25">
      <c r="A432">
        <v>4</v>
      </c>
      <c r="B432" s="1">
        <v>45912</v>
      </c>
      <c r="C432" t="s">
        <v>7</v>
      </c>
      <c r="D432" t="s">
        <v>152</v>
      </c>
      <c r="E432" t="s">
        <v>219</v>
      </c>
      <c r="F432" t="s">
        <v>447</v>
      </c>
      <c r="G432">
        <v>8</v>
      </c>
      <c r="H432" s="2">
        <v>800000</v>
      </c>
      <c r="I432">
        <v>2</v>
      </c>
      <c r="J432" t="s">
        <v>390</v>
      </c>
    </row>
    <row r="433" spans="1:10" hidden="1" x14ac:dyDescent="0.25">
      <c r="A433">
        <v>4</v>
      </c>
      <c r="B433" s="1">
        <v>45912</v>
      </c>
      <c r="C433" t="s">
        <v>7</v>
      </c>
      <c r="D433" t="s">
        <v>99</v>
      </c>
      <c r="E433" t="s">
        <v>219</v>
      </c>
      <c r="F433" t="s">
        <v>474</v>
      </c>
      <c r="G433">
        <v>1</v>
      </c>
      <c r="H433" s="2">
        <v>100000</v>
      </c>
      <c r="I433">
        <v>2</v>
      </c>
      <c r="J433" t="s">
        <v>99</v>
      </c>
    </row>
    <row r="434" spans="1:10" hidden="1" x14ac:dyDescent="0.25">
      <c r="A434">
        <v>4</v>
      </c>
      <c r="B434" s="1">
        <v>45912</v>
      </c>
      <c r="C434" t="s">
        <v>7</v>
      </c>
      <c r="D434" t="s">
        <v>262</v>
      </c>
      <c r="E434" t="s">
        <v>219</v>
      </c>
      <c r="F434" t="s">
        <v>472</v>
      </c>
      <c r="G434">
        <v>7</v>
      </c>
      <c r="H434" s="2">
        <v>700000</v>
      </c>
      <c r="I434">
        <v>2</v>
      </c>
      <c r="J434" t="s">
        <v>262</v>
      </c>
    </row>
    <row r="435" spans="1:10" hidden="1" x14ac:dyDescent="0.25">
      <c r="A435">
        <v>4</v>
      </c>
      <c r="B435" s="1">
        <v>45912</v>
      </c>
      <c r="C435" t="s">
        <v>7</v>
      </c>
      <c r="D435" t="s">
        <v>227</v>
      </c>
      <c r="E435" t="s">
        <v>219</v>
      </c>
      <c r="F435" t="s">
        <v>447</v>
      </c>
      <c r="G435">
        <v>8</v>
      </c>
      <c r="H435" s="2">
        <v>800000</v>
      </c>
      <c r="I435">
        <v>2</v>
      </c>
      <c r="J435" t="s">
        <v>617</v>
      </c>
    </row>
    <row r="436" spans="1:10" hidden="1" x14ac:dyDescent="0.25">
      <c r="A436">
        <v>4</v>
      </c>
      <c r="B436" s="1">
        <v>45912</v>
      </c>
      <c r="C436" t="s">
        <v>7</v>
      </c>
      <c r="D436" t="s">
        <v>100</v>
      </c>
      <c r="E436" t="s">
        <v>219</v>
      </c>
      <c r="F436" t="s">
        <v>488</v>
      </c>
      <c r="G436">
        <v>4</v>
      </c>
      <c r="H436" s="2">
        <v>400000</v>
      </c>
      <c r="I436">
        <v>2</v>
      </c>
      <c r="J436" t="s">
        <v>100</v>
      </c>
    </row>
    <row r="437" spans="1:10" hidden="1" x14ac:dyDescent="0.25">
      <c r="A437">
        <v>4</v>
      </c>
      <c r="B437" s="1">
        <v>45912</v>
      </c>
      <c r="C437" t="s">
        <v>7</v>
      </c>
      <c r="D437" t="s">
        <v>40</v>
      </c>
      <c r="E437" t="s">
        <v>459</v>
      </c>
      <c r="F437" t="s">
        <v>474</v>
      </c>
      <c r="G437">
        <v>4</v>
      </c>
      <c r="H437" s="2">
        <v>400000</v>
      </c>
      <c r="I437">
        <v>3</v>
      </c>
      <c r="J437" t="s">
        <v>40</v>
      </c>
    </row>
    <row r="438" spans="1:10" hidden="1" x14ac:dyDescent="0.25">
      <c r="A438">
        <v>4</v>
      </c>
      <c r="B438" s="1">
        <v>45912</v>
      </c>
      <c r="C438" t="s">
        <v>7</v>
      </c>
      <c r="D438" t="s">
        <v>231</v>
      </c>
      <c r="E438" t="s">
        <v>459</v>
      </c>
      <c r="F438" t="s">
        <v>464</v>
      </c>
      <c r="G438">
        <v>3</v>
      </c>
      <c r="H438" s="2">
        <v>300000</v>
      </c>
      <c r="I438">
        <v>3</v>
      </c>
      <c r="J438" t="s">
        <v>414</v>
      </c>
    </row>
    <row r="439" spans="1:10" hidden="1" x14ac:dyDescent="0.25">
      <c r="A439">
        <v>4</v>
      </c>
      <c r="B439" s="1">
        <v>45912</v>
      </c>
      <c r="C439" t="s">
        <v>7</v>
      </c>
      <c r="D439" t="s">
        <v>101</v>
      </c>
      <c r="E439" t="s">
        <v>459</v>
      </c>
      <c r="F439" t="s">
        <v>465</v>
      </c>
      <c r="G439">
        <v>0</v>
      </c>
      <c r="H439" s="2">
        <v>0</v>
      </c>
      <c r="I439">
        <v>3</v>
      </c>
      <c r="J439" t="s">
        <v>101</v>
      </c>
    </row>
    <row r="440" spans="1:10" hidden="1" x14ac:dyDescent="0.25">
      <c r="A440">
        <v>4</v>
      </c>
      <c r="B440" s="1">
        <v>45912</v>
      </c>
      <c r="C440" t="s">
        <v>7</v>
      </c>
      <c r="D440" t="s">
        <v>281</v>
      </c>
      <c r="E440" t="s">
        <v>89</v>
      </c>
      <c r="F440" t="s">
        <v>496</v>
      </c>
      <c r="G440">
        <v>7</v>
      </c>
      <c r="H440" s="2">
        <v>700000</v>
      </c>
      <c r="I440">
        <v>4</v>
      </c>
      <c r="J440" t="s">
        <v>397</v>
      </c>
    </row>
    <row r="441" spans="1:10" hidden="1" x14ac:dyDescent="0.25">
      <c r="A441">
        <v>4</v>
      </c>
      <c r="B441" s="1">
        <v>45912</v>
      </c>
      <c r="C441" t="s">
        <v>7</v>
      </c>
      <c r="D441" t="s">
        <v>306</v>
      </c>
      <c r="E441" t="s">
        <v>89</v>
      </c>
      <c r="F441" t="s">
        <v>514</v>
      </c>
      <c r="G441">
        <v>6</v>
      </c>
      <c r="H441" s="2">
        <v>600000</v>
      </c>
      <c r="I441">
        <v>4</v>
      </c>
      <c r="J441" t="s">
        <v>306</v>
      </c>
    </row>
    <row r="442" spans="1:10" hidden="1" x14ac:dyDescent="0.25">
      <c r="A442">
        <v>5</v>
      </c>
      <c r="B442" s="1">
        <v>45919</v>
      </c>
      <c r="C442" t="s">
        <v>10</v>
      </c>
      <c r="D442" t="s">
        <v>253</v>
      </c>
      <c r="E442" t="s">
        <v>77</v>
      </c>
      <c r="F442" t="s">
        <v>465</v>
      </c>
      <c r="G442">
        <v>14</v>
      </c>
      <c r="H442" s="2">
        <v>1400000</v>
      </c>
      <c r="I442">
        <v>1</v>
      </c>
      <c r="J442" t="s">
        <v>253</v>
      </c>
    </row>
    <row r="443" spans="1:10" hidden="1" x14ac:dyDescent="0.25">
      <c r="A443">
        <v>5</v>
      </c>
      <c r="B443" s="1">
        <v>45919</v>
      </c>
      <c r="C443" t="s">
        <v>10</v>
      </c>
      <c r="D443" t="s">
        <v>296</v>
      </c>
      <c r="E443" t="s">
        <v>219</v>
      </c>
      <c r="F443" t="s">
        <v>461</v>
      </c>
      <c r="G443">
        <v>2</v>
      </c>
      <c r="H443" s="2">
        <v>200000</v>
      </c>
      <c r="I443">
        <v>2</v>
      </c>
      <c r="J443" t="s">
        <v>296</v>
      </c>
    </row>
    <row r="444" spans="1:10" hidden="1" x14ac:dyDescent="0.25">
      <c r="A444">
        <v>5</v>
      </c>
      <c r="B444" s="1">
        <v>45919</v>
      </c>
      <c r="C444" t="s">
        <v>10</v>
      </c>
      <c r="D444" t="s">
        <v>310</v>
      </c>
      <c r="E444" t="s">
        <v>219</v>
      </c>
      <c r="F444" t="s">
        <v>464</v>
      </c>
      <c r="G444">
        <v>6</v>
      </c>
      <c r="H444" s="2">
        <v>600000</v>
      </c>
      <c r="I444">
        <v>2</v>
      </c>
      <c r="J444" t="s">
        <v>310</v>
      </c>
    </row>
    <row r="445" spans="1:10" hidden="1" x14ac:dyDescent="0.25">
      <c r="A445">
        <v>5</v>
      </c>
      <c r="B445" s="1">
        <v>45919</v>
      </c>
      <c r="C445" t="s">
        <v>10</v>
      </c>
      <c r="D445" t="s">
        <v>313</v>
      </c>
      <c r="E445" t="s">
        <v>219</v>
      </c>
      <c r="F445" t="s">
        <v>447</v>
      </c>
      <c r="G445">
        <v>9</v>
      </c>
      <c r="H445" s="2">
        <v>900000</v>
      </c>
      <c r="I445">
        <v>2</v>
      </c>
      <c r="J445" t="s">
        <v>647</v>
      </c>
    </row>
    <row r="446" spans="1:10" hidden="1" x14ac:dyDescent="0.25">
      <c r="A446">
        <v>5</v>
      </c>
      <c r="B446" s="1">
        <v>45919</v>
      </c>
      <c r="C446" t="s">
        <v>10</v>
      </c>
      <c r="D446" t="s">
        <v>277</v>
      </c>
      <c r="E446" t="s">
        <v>219</v>
      </c>
      <c r="F446" t="s">
        <v>498</v>
      </c>
      <c r="G446">
        <v>0</v>
      </c>
      <c r="H446" s="2">
        <v>0</v>
      </c>
      <c r="I446">
        <v>2</v>
      </c>
      <c r="J446" t="s">
        <v>355</v>
      </c>
    </row>
    <row r="447" spans="1:10" hidden="1" x14ac:dyDescent="0.25">
      <c r="A447">
        <v>5</v>
      </c>
      <c r="B447" s="1">
        <v>45919</v>
      </c>
      <c r="C447" t="s">
        <v>10</v>
      </c>
      <c r="D447" t="s">
        <v>271</v>
      </c>
      <c r="E447" t="s">
        <v>459</v>
      </c>
      <c r="F447" t="s">
        <v>514</v>
      </c>
      <c r="G447">
        <v>4</v>
      </c>
      <c r="H447" s="2">
        <v>400000</v>
      </c>
      <c r="I447">
        <v>3</v>
      </c>
      <c r="J447" t="s">
        <v>558</v>
      </c>
    </row>
    <row r="448" spans="1:10" hidden="1" x14ac:dyDescent="0.25">
      <c r="A448">
        <v>5</v>
      </c>
      <c r="B448" s="1">
        <v>45919</v>
      </c>
      <c r="C448" t="s">
        <v>10</v>
      </c>
      <c r="D448" t="s">
        <v>285</v>
      </c>
      <c r="E448" t="s">
        <v>459</v>
      </c>
      <c r="F448" t="s">
        <v>449</v>
      </c>
      <c r="G448">
        <v>3</v>
      </c>
      <c r="H448" s="2">
        <v>300000</v>
      </c>
      <c r="I448">
        <v>3</v>
      </c>
      <c r="J448" t="s">
        <v>285</v>
      </c>
    </row>
    <row r="449" spans="1:10" hidden="1" x14ac:dyDescent="0.25">
      <c r="A449">
        <v>5</v>
      </c>
      <c r="B449" s="1">
        <v>45919</v>
      </c>
      <c r="C449" t="s">
        <v>10</v>
      </c>
      <c r="D449" t="s">
        <v>358</v>
      </c>
      <c r="E449" t="s">
        <v>459</v>
      </c>
      <c r="F449" t="s">
        <v>485</v>
      </c>
      <c r="G449">
        <v>3</v>
      </c>
      <c r="H449" s="2">
        <v>300000</v>
      </c>
      <c r="I449">
        <v>3</v>
      </c>
      <c r="J449" t="s">
        <v>547</v>
      </c>
    </row>
    <row r="450" spans="1:10" hidden="1" x14ac:dyDescent="0.25">
      <c r="A450">
        <v>5</v>
      </c>
      <c r="B450" s="1">
        <v>45919</v>
      </c>
      <c r="C450" t="s">
        <v>10</v>
      </c>
      <c r="D450" t="s">
        <v>147</v>
      </c>
      <c r="E450" t="s">
        <v>89</v>
      </c>
      <c r="F450" t="s">
        <v>451</v>
      </c>
      <c r="G450">
        <v>11</v>
      </c>
      <c r="H450" s="2">
        <v>1100000</v>
      </c>
      <c r="I450">
        <v>4</v>
      </c>
      <c r="J450" t="s">
        <v>450</v>
      </c>
    </row>
    <row r="451" spans="1:10" hidden="1" x14ac:dyDescent="0.25">
      <c r="A451">
        <v>5</v>
      </c>
      <c r="B451" s="1">
        <v>45919</v>
      </c>
      <c r="C451" t="s">
        <v>10</v>
      </c>
      <c r="D451" t="s">
        <v>274</v>
      </c>
      <c r="E451" t="s">
        <v>89</v>
      </c>
      <c r="F451" t="s">
        <v>496</v>
      </c>
      <c r="G451">
        <v>16</v>
      </c>
      <c r="H451" s="2">
        <v>1600000</v>
      </c>
      <c r="I451">
        <v>4</v>
      </c>
      <c r="J451" t="s">
        <v>274</v>
      </c>
    </row>
    <row r="452" spans="1:10" hidden="1" x14ac:dyDescent="0.25">
      <c r="A452">
        <v>5</v>
      </c>
      <c r="B452" s="1">
        <v>45919</v>
      </c>
      <c r="C452" t="s">
        <v>10</v>
      </c>
      <c r="D452" t="s">
        <v>324</v>
      </c>
      <c r="E452" t="s">
        <v>89</v>
      </c>
      <c r="F452" t="s">
        <v>451</v>
      </c>
      <c r="G452">
        <v>4</v>
      </c>
      <c r="H452" s="2">
        <v>400000</v>
      </c>
      <c r="I452">
        <v>4</v>
      </c>
      <c r="J452" t="s">
        <v>324</v>
      </c>
    </row>
    <row r="453" spans="1:10" hidden="1" x14ac:dyDescent="0.25">
      <c r="A453">
        <v>5</v>
      </c>
      <c r="B453" s="1">
        <v>45919</v>
      </c>
      <c r="C453" t="s">
        <v>14</v>
      </c>
      <c r="D453" t="s">
        <v>229</v>
      </c>
      <c r="E453" t="s">
        <v>77</v>
      </c>
      <c r="F453" t="s">
        <v>480</v>
      </c>
      <c r="G453">
        <v>3</v>
      </c>
      <c r="H453" s="2">
        <v>300000</v>
      </c>
      <c r="I453">
        <v>1</v>
      </c>
      <c r="J453" t="s">
        <v>738</v>
      </c>
    </row>
    <row r="454" spans="1:10" hidden="1" x14ac:dyDescent="0.25">
      <c r="A454">
        <v>5</v>
      </c>
      <c r="B454" s="1">
        <v>45919</v>
      </c>
      <c r="C454" t="s">
        <v>14</v>
      </c>
      <c r="D454" t="s">
        <v>182</v>
      </c>
      <c r="E454" t="s">
        <v>219</v>
      </c>
      <c r="F454" t="s">
        <v>474</v>
      </c>
      <c r="G454">
        <v>0</v>
      </c>
      <c r="H454" s="2">
        <v>0</v>
      </c>
      <c r="I454">
        <v>2</v>
      </c>
      <c r="J454" t="s">
        <v>711</v>
      </c>
    </row>
    <row r="455" spans="1:10" hidden="1" x14ac:dyDescent="0.25">
      <c r="A455">
        <v>5</v>
      </c>
      <c r="B455" s="1">
        <v>45919</v>
      </c>
      <c r="C455" t="s">
        <v>14</v>
      </c>
      <c r="D455" t="s">
        <v>427</v>
      </c>
      <c r="E455" t="s">
        <v>219</v>
      </c>
      <c r="F455" t="s">
        <v>449</v>
      </c>
      <c r="G455">
        <v>3</v>
      </c>
      <c r="H455" s="2">
        <v>300000</v>
      </c>
      <c r="I455">
        <v>2</v>
      </c>
      <c r="J455" t="s">
        <v>427</v>
      </c>
    </row>
    <row r="456" spans="1:10" hidden="1" x14ac:dyDescent="0.25">
      <c r="A456">
        <v>5</v>
      </c>
      <c r="B456" s="1">
        <v>45919</v>
      </c>
      <c r="C456" t="s">
        <v>14</v>
      </c>
      <c r="D456" t="s">
        <v>307</v>
      </c>
      <c r="E456" t="s">
        <v>219</v>
      </c>
      <c r="F456" t="s">
        <v>465</v>
      </c>
      <c r="G456">
        <v>7</v>
      </c>
      <c r="H456" s="2">
        <v>700000</v>
      </c>
      <c r="I456">
        <v>2</v>
      </c>
      <c r="J456" t="s">
        <v>307</v>
      </c>
    </row>
    <row r="457" spans="1:10" hidden="1" x14ac:dyDescent="0.25">
      <c r="A457">
        <v>5</v>
      </c>
      <c r="B457" s="1">
        <v>45919</v>
      </c>
      <c r="C457" t="s">
        <v>14</v>
      </c>
      <c r="D457" t="s">
        <v>144</v>
      </c>
      <c r="E457" t="s">
        <v>459</v>
      </c>
      <c r="F457" t="s">
        <v>453</v>
      </c>
      <c r="G457">
        <v>7</v>
      </c>
      <c r="H457" s="2">
        <v>700000</v>
      </c>
      <c r="I457">
        <v>3</v>
      </c>
      <c r="J457" t="s">
        <v>144</v>
      </c>
    </row>
    <row r="458" spans="1:10" hidden="1" x14ac:dyDescent="0.25">
      <c r="A458">
        <v>5</v>
      </c>
      <c r="B458" s="1">
        <v>45919</v>
      </c>
      <c r="C458" t="s">
        <v>14</v>
      </c>
      <c r="D458" t="s">
        <v>60</v>
      </c>
      <c r="E458" t="s">
        <v>459</v>
      </c>
      <c r="F458" t="s">
        <v>464</v>
      </c>
      <c r="G458">
        <v>10</v>
      </c>
      <c r="H458" s="2">
        <v>1000000</v>
      </c>
      <c r="I458">
        <v>3</v>
      </c>
      <c r="J458" t="s">
        <v>340</v>
      </c>
    </row>
    <row r="459" spans="1:10" hidden="1" x14ac:dyDescent="0.25">
      <c r="A459">
        <v>5</v>
      </c>
      <c r="B459" s="1">
        <v>45919</v>
      </c>
      <c r="C459" t="s">
        <v>14</v>
      </c>
      <c r="D459" t="s">
        <v>68</v>
      </c>
      <c r="E459" t="s">
        <v>459</v>
      </c>
      <c r="F459" t="s">
        <v>461</v>
      </c>
      <c r="G459">
        <v>4</v>
      </c>
      <c r="H459" s="2">
        <v>400000</v>
      </c>
      <c r="I459">
        <v>3</v>
      </c>
      <c r="J459" t="s">
        <v>68</v>
      </c>
    </row>
    <row r="460" spans="1:10" hidden="1" x14ac:dyDescent="0.25">
      <c r="A460">
        <v>5</v>
      </c>
      <c r="B460" s="1">
        <v>45919</v>
      </c>
      <c r="C460" t="s">
        <v>14</v>
      </c>
      <c r="D460" t="s">
        <v>176</v>
      </c>
      <c r="E460" t="s">
        <v>459</v>
      </c>
      <c r="F460" t="s">
        <v>480</v>
      </c>
      <c r="G460">
        <v>4</v>
      </c>
      <c r="H460" s="2">
        <v>400000</v>
      </c>
      <c r="I460">
        <v>3</v>
      </c>
      <c r="J460" t="s">
        <v>176</v>
      </c>
    </row>
    <row r="461" spans="1:10" hidden="1" x14ac:dyDescent="0.25">
      <c r="A461">
        <v>5</v>
      </c>
      <c r="B461" s="1">
        <v>45919</v>
      </c>
      <c r="C461" t="s">
        <v>14</v>
      </c>
      <c r="D461" t="s">
        <v>327</v>
      </c>
      <c r="E461" t="s">
        <v>459</v>
      </c>
      <c r="F461" t="s">
        <v>458</v>
      </c>
      <c r="G461">
        <v>9</v>
      </c>
      <c r="H461" s="2">
        <v>900000</v>
      </c>
      <c r="I461">
        <v>3</v>
      </c>
      <c r="J461" t="s">
        <v>327</v>
      </c>
    </row>
    <row r="462" spans="1:10" hidden="1" x14ac:dyDescent="0.25">
      <c r="A462">
        <v>5</v>
      </c>
      <c r="B462" s="1">
        <v>45919</v>
      </c>
      <c r="C462" t="s">
        <v>14</v>
      </c>
      <c r="D462" t="s">
        <v>195</v>
      </c>
      <c r="E462" t="s">
        <v>89</v>
      </c>
      <c r="F462" t="s">
        <v>472</v>
      </c>
      <c r="G462">
        <v>8</v>
      </c>
      <c r="H462" s="2">
        <v>800000</v>
      </c>
      <c r="I462">
        <v>4</v>
      </c>
      <c r="J462" t="s">
        <v>195</v>
      </c>
    </row>
    <row r="463" spans="1:10" hidden="1" x14ac:dyDescent="0.25">
      <c r="A463">
        <v>5</v>
      </c>
      <c r="B463" s="1">
        <v>45919</v>
      </c>
      <c r="C463" t="s">
        <v>14</v>
      </c>
      <c r="D463" t="s">
        <v>159</v>
      </c>
      <c r="E463" t="s">
        <v>89</v>
      </c>
      <c r="F463" t="s">
        <v>465</v>
      </c>
      <c r="G463">
        <v>6</v>
      </c>
      <c r="H463" s="2">
        <v>600000</v>
      </c>
      <c r="I463">
        <v>4</v>
      </c>
      <c r="J463" t="s">
        <v>352</v>
      </c>
    </row>
    <row r="464" spans="1:10" hidden="1" x14ac:dyDescent="0.25">
      <c r="A464">
        <v>5</v>
      </c>
      <c r="B464" s="1">
        <v>45919</v>
      </c>
      <c r="C464" t="s">
        <v>768</v>
      </c>
      <c r="D464" t="s">
        <v>297</v>
      </c>
      <c r="E464" t="s">
        <v>77</v>
      </c>
      <c r="F464" t="s">
        <v>447</v>
      </c>
      <c r="G464">
        <v>11</v>
      </c>
      <c r="H464" s="2">
        <v>1100000</v>
      </c>
      <c r="I464">
        <v>1</v>
      </c>
      <c r="J464" t="s">
        <v>297</v>
      </c>
    </row>
    <row r="465" spans="1:10" hidden="1" x14ac:dyDescent="0.25">
      <c r="A465">
        <v>5</v>
      </c>
      <c r="B465" s="1">
        <v>45919</v>
      </c>
      <c r="C465" t="s">
        <v>768</v>
      </c>
      <c r="D465" t="s">
        <v>114</v>
      </c>
      <c r="E465" t="s">
        <v>219</v>
      </c>
      <c r="F465" t="s">
        <v>469</v>
      </c>
      <c r="G465">
        <v>1</v>
      </c>
      <c r="H465" s="2">
        <v>100000</v>
      </c>
      <c r="I465">
        <v>2</v>
      </c>
      <c r="J465" t="s">
        <v>114</v>
      </c>
    </row>
    <row r="466" spans="1:10" hidden="1" x14ac:dyDescent="0.25">
      <c r="A466">
        <v>5</v>
      </c>
      <c r="B466" s="1">
        <v>45919</v>
      </c>
      <c r="C466" t="s">
        <v>768</v>
      </c>
      <c r="D466" t="s">
        <v>108</v>
      </c>
      <c r="E466" t="s">
        <v>219</v>
      </c>
      <c r="F466" t="s">
        <v>456</v>
      </c>
      <c r="G466">
        <v>3</v>
      </c>
      <c r="H466" s="2">
        <v>300000</v>
      </c>
      <c r="I466">
        <v>2</v>
      </c>
      <c r="J466" t="s">
        <v>388</v>
      </c>
    </row>
    <row r="467" spans="1:10" hidden="1" x14ac:dyDescent="0.25">
      <c r="A467">
        <v>5</v>
      </c>
      <c r="B467" s="1">
        <v>45919</v>
      </c>
      <c r="C467" t="s">
        <v>768</v>
      </c>
      <c r="D467" t="s">
        <v>172</v>
      </c>
      <c r="E467" t="s">
        <v>219</v>
      </c>
      <c r="F467" t="s">
        <v>498</v>
      </c>
      <c r="G467">
        <v>0</v>
      </c>
      <c r="H467" s="2">
        <v>0</v>
      </c>
      <c r="I467">
        <v>2</v>
      </c>
      <c r="J467" t="s">
        <v>389</v>
      </c>
    </row>
    <row r="468" spans="1:10" hidden="1" x14ac:dyDescent="0.25">
      <c r="A468">
        <v>5</v>
      </c>
      <c r="B468" s="1">
        <v>45919</v>
      </c>
      <c r="C468" t="s">
        <v>768</v>
      </c>
      <c r="D468" t="s">
        <v>175</v>
      </c>
      <c r="E468" t="s">
        <v>219</v>
      </c>
      <c r="F468" t="s">
        <v>472</v>
      </c>
      <c r="G468">
        <v>4</v>
      </c>
      <c r="H468" s="2">
        <v>400000</v>
      </c>
      <c r="I468">
        <v>2</v>
      </c>
      <c r="J468" t="s">
        <v>175</v>
      </c>
    </row>
    <row r="469" spans="1:10" hidden="1" x14ac:dyDescent="0.25">
      <c r="A469">
        <v>5</v>
      </c>
      <c r="B469" s="1">
        <v>45919</v>
      </c>
      <c r="C469" t="s">
        <v>768</v>
      </c>
      <c r="D469" t="s">
        <v>103</v>
      </c>
      <c r="E469" t="s">
        <v>459</v>
      </c>
      <c r="F469" t="s">
        <v>485</v>
      </c>
      <c r="G469">
        <v>0</v>
      </c>
      <c r="H469" s="2">
        <v>0</v>
      </c>
      <c r="I469">
        <v>3</v>
      </c>
      <c r="J469" t="s">
        <v>103</v>
      </c>
    </row>
    <row r="470" spans="1:10" hidden="1" x14ac:dyDescent="0.25">
      <c r="A470">
        <v>5</v>
      </c>
      <c r="B470" s="1">
        <v>45919</v>
      </c>
      <c r="C470" t="s">
        <v>768</v>
      </c>
      <c r="D470" t="s">
        <v>47</v>
      </c>
      <c r="E470" t="s">
        <v>459</v>
      </c>
      <c r="F470" t="s">
        <v>469</v>
      </c>
      <c r="G470">
        <v>5</v>
      </c>
      <c r="H470" s="2">
        <v>500000</v>
      </c>
      <c r="I470">
        <v>3</v>
      </c>
      <c r="J470" t="s">
        <v>47</v>
      </c>
    </row>
    <row r="471" spans="1:10" hidden="1" x14ac:dyDescent="0.25">
      <c r="A471">
        <v>5</v>
      </c>
      <c r="B471" s="1">
        <v>45919</v>
      </c>
      <c r="C471" t="s">
        <v>768</v>
      </c>
      <c r="D471" t="s">
        <v>45</v>
      </c>
      <c r="E471" t="s">
        <v>459</v>
      </c>
      <c r="F471" t="s">
        <v>474</v>
      </c>
      <c r="G471">
        <v>13</v>
      </c>
      <c r="H471" s="2">
        <v>1300000</v>
      </c>
      <c r="I471">
        <v>3</v>
      </c>
      <c r="J471" t="s">
        <v>396</v>
      </c>
    </row>
    <row r="472" spans="1:10" hidden="1" x14ac:dyDescent="0.25">
      <c r="A472">
        <v>5</v>
      </c>
      <c r="B472" s="1">
        <v>45919</v>
      </c>
      <c r="C472" t="s">
        <v>768</v>
      </c>
      <c r="D472" t="s">
        <v>326</v>
      </c>
      <c r="E472" t="s">
        <v>459</v>
      </c>
      <c r="F472" t="s">
        <v>456</v>
      </c>
      <c r="G472">
        <v>2</v>
      </c>
      <c r="H472" s="2">
        <v>200000</v>
      </c>
      <c r="I472">
        <v>3</v>
      </c>
      <c r="J472" t="s">
        <v>404</v>
      </c>
    </row>
    <row r="473" spans="1:10" hidden="1" x14ac:dyDescent="0.25">
      <c r="A473">
        <v>5</v>
      </c>
      <c r="B473" s="1">
        <v>45919</v>
      </c>
      <c r="C473" t="s">
        <v>768</v>
      </c>
      <c r="D473" t="s">
        <v>120</v>
      </c>
      <c r="E473" t="s">
        <v>459</v>
      </c>
      <c r="F473" t="s">
        <v>451</v>
      </c>
      <c r="G473">
        <v>12</v>
      </c>
      <c r="H473" s="2">
        <v>1200000</v>
      </c>
      <c r="I473">
        <v>3</v>
      </c>
      <c r="J473" t="s">
        <v>120</v>
      </c>
    </row>
    <row r="474" spans="1:10" hidden="1" x14ac:dyDescent="0.25">
      <c r="A474">
        <v>5</v>
      </c>
      <c r="B474" s="1">
        <v>45919</v>
      </c>
      <c r="C474" t="s">
        <v>768</v>
      </c>
      <c r="D474" t="s">
        <v>51</v>
      </c>
      <c r="E474" t="s">
        <v>89</v>
      </c>
      <c r="F474" t="s">
        <v>498</v>
      </c>
      <c r="G474">
        <v>2</v>
      </c>
      <c r="H474" s="2">
        <v>200000</v>
      </c>
      <c r="I474">
        <v>4</v>
      </c>
      <c r="J474" t="s">
        <v>413</v>
      </c>
    </row>
    <row r="475" spans="1:10" hidden="1" x14ac:dyDescent="0.25">
      <c r="A475">
        <v>5</v>
      </c>
      <c r="B475" s="1">
        <v>45919</v>
      </c>
      <c r="C475" t="s">
        <v>11</v>
      </c>
      <c r="D475" t="s">
        <v>171</v>
      </c>
      <c r="E475" t="s">
        <v>77</v>
      </c>
      <c r="F475" t="s">
        <v>464</v>
      </c>
      <c r="G475">
        <v>9</v>
      </c>
      <c r="H475" s="2">
        <v>900000</v>
      </c>
      <c r="I475">
        <v>1</v>
      </c>
      <c r="J475" t="s">
        <v>171</v>
      </c>
    </row>
    <row r="476" spans="1:10" hidden="1" x14ac:dyDescent="0.25">
      <c r="A476">
        <v>5</v>
      </c>
      <c r="B476" s="1">
        <v>45919</v>
      </c>
      <c r="C476" t="s">
        <v>11</v>
      </c>
      <c r="D476" t="s">
        <v>70</v>
      </c>
      <c r="E476" t="s">
        <v>219</v>
      </c>
      <c r="F476" t="s">
        <v>474</v>
      </c>
      <c r="G476">
        <v>0</v>
      </c>
      <c r="H476" s="2">
        <v>0</v>
      </c>
      <c r="I476">
        <v>2</v>
      </c>
      <c r="J476" t="s">
        <v>70</v>
      </c>
    </row>
    <row r="477" spans="1:10" hidden="1" x14ac:dyDescent="0.25">
      <c r="A477">
        <v>5</v>
      </c>
      <c r="B477" s="1">
        <v>45919</v>
      </c>
      <c r="C477" t="s">
        <v>11</v>
      </c>
      <c r="D477" t="s">
        <v>174</v>
      </c>
      <c r="E477" t="s">
        <v>219</v>
      </c>
      <c r="F477" t="s">
        <v>488</v>
      </c>
      <c r="G477">
        <v>5</v>
      </c>
      <c r="H477" s="2">
        <v>500000</v>
      </c>
      <c r="I477">
        <v>2</v>
      </c>
      <c r="J477" t="s">
        <v>174</v>
      </c>
    </row>
    <row r="478" spans="1:10" hidden="1" x14ac:dyDescent="0.25">
      <c r="A478">
        <v>5</v>
      </c>
      <c r="B478" s="1">
        <v>45919</v>
      </c>
      <c r="C478" t="s">
        <v>11</v>
      </c>
      <c r="D478" t="s">
        <v>226</v>
      </c>
      <c r="E478" t="s">
        <v>219</v>
      </c>
      <c r="F478" t="s">
        <v>464</v>
      </c>
      <c r="G478">
        <v>3</v>
      </c>
      <c r="H478" s="2">
        <v>300000</v>
      </c>
      <c r="I478">
        <v>2</v>
      </c>
      <c r="J478" t="s">
        <v>380</v>
      </c>
    </row>
    <row r="479" spans="1:10" hidden="1" x14ac:dyDescent="0.25">
      <c r="A479">
        <v>5</v>
      </c>
      <c r="B479" s="1">
        <v>45919</v>
      </c>
      <c r="C479" t="s">
        <v>11</v>
      </c>
      <c r="D479" t="s">
        <v>300</v>
      </c>
      <c r="E479" t="s">
        <v>459</v>
      </c>
      <c r="F479" t="s">
        <v>498</v>
      </c>
      <c r="G479">
        <v>2</v>
      </c>
      <c r="H479" s="2">
        <v>200000</v>
      </c>
      <c r="I479">
        <v>3</v>
      </c>
      <c r="J479" t="s">
        <v>398</v>
      </c>
    </row>
    <row r="480" spans="1:10" hidden="1" x14ac:dyDescent="0.25">
      <c r="A480">
        <v>5</v>
      </c>
      <c r="B480" s="1">
        <v>45919</v>
      </c>
      <c r="C480" t="s">
        <v>11</v>
      </c>
      <c r="D480" t="s">
        <v>38</v>
      </c>
      <c r="E480" t="s">
        <v>459</v>
      </c>
      <c r="F480" t="s">
        <v>448</v>
      </c>
      <c r="G480">
        <v>4</v>
      </c>
      <c r="H480" s="2">
        <v>400000</v>
      </c>
      <c r="I480">
        <v>3</v>
      </c>
      <c r="J480" t="s">
        <v>373</v>
      </c>
    </row>
    <row r="481" spans="1:10" hidden="1" x14ac:dyDescent="0.25">
      <c r="A481">
        <v>5</v>
      </c>
      <c r="B481" s="1">
        <v>45919</v>
      </c>
      <c r="C481" t="s">
        <v>11</v>
      </c>
      <c r="D481" t="s">
        <v>239</v>
      </c>
      <c r="E481" t="s">
        <v>459</v>
      </c>
      <c r="F481" t="s">
        <v>474</v>
      </c>
      <c r="G481">
        <v>3</v>
      </c>
      <c r="H481" s="2">
        <v>300000</v>
      </c>
      <c r="I481">
        <v>3</v>
      </c>
      <c r="J481" t="s">
        <v>239</v>
      </c>
    </row>
    <row r="482" spans="1:10" hidden="1" x14ac:dyDescent="0.25">
      <c r="A482">
        <v>5</v>
      </c>
      <c r="B482" s="1">
        <v>45919</v>
      </c>
      <c r="C482" t="s">
        <v>11</v>
      </c>
      <c r="D482" t="s">
        <v>184</v>
      </c>
      <c r="E482" t="s">
        <v>459</v>
      </c>
      <c r="F482" t="s">
        <v>447</v>
      </c>
      <c r="G482">
        <v>4</v>
      </c>
      <c r="H482" s="2">
        <v>400000</v>
      </c>
      <c r="I482">
        <v>3</v>
      </c>
      <c r="J482" t="s">
        <v>391</v>
      </c>
    </row>
    <row r="483" spans="1:10" hidden="1" x14ac:dyDescent="0.25">
      <c r="A483">
        <v>5</v>
      </c>
      <c r="B483" s="1">
        <v>45919</v>
      </c>
      <c r="C483" t="s">
        <v>11</v>
      </c>
      <c r="D483" t="s">
        <v>123</v>
      </c>
      <c r="E483" t="s">
        <v>89</v>
      </c>
      <c r="F483" t="s">
        <v>464</v>
      </c>
      <c r="G483">
        <v>1</v>
      </c>
      <c r="H483" s="2">
        <v>100000</v>
      </c>
      <c r="I483">
        <v>4</v>
      </c>
      <c r="J483" t="s">
        <v>123</v>
      </c>
    </row>
    <row r="484" spans="1:10" hidden="1" x14ac:dyDescent="0.25">
      <c r="A484">
        <v>5</v>
      </c>
      <c r="B484" s="1">
        <v>45919</v>
      </c>
      <c r="C484" t="s">
        <v>11</v>
      </c>
      <c r="D484" t="s">
        <v>308</v>
      </c>
      <c r="E484" t="s">
        <v>89</v>
      </c>
      <c r="F484" t="s">
        <v>474</v>
      </c>
      <c r="G484">
        <v>12</v>
      </c>
      <c r="H484" s="2">
        <v>1200000</v>
      </c>
      <c r="I484">
        <v>4</v>
      </c>
      <c r="J484" t="s">
        <v>308</v>
      </c>
    </row>
    <row r="485" spans="1:10" hidden="1" x14ac:dyDescent="0.25">
      <c r="A485">
        <v>5</v>
      </c>
      <c r="B485" s="1">
        <v>45919</v>
      </c>
      <c r="C485" t="s">
        <v>11</v>
      </c>
      <c r="D485" t="s">
        <v>105</v>
      </c>
      <c r="E485" t="s">
        <v>89</v>
      </c>
      <c r="F485" t="s">
        <v>474</v>
      </c>
      <c r="G485">
        <v>7</v>
      </c>
      <c r="H485" s="2">
        <v>700000</v>
      </c>
      <c r="I485">
        <v>4</v>
      </c>
      <c r="J485" t="s">
        <v>415</v>
      </c>
    </row>
    <row r="486" spans="1:10" hidden="1" x14ac:dyDescent="0.25">
      <c r="A486">
        <v>5</v>
      </c>
      <c r="B486" s="1">
        <v>45919</v>
      </c>
      <c r="C486" t="s">
        <v>12</v>
      </c>
      <c r="D486" t="s">
        <v>332</v>
      </c>
      <c r="E486" t="s">
        <v>77</v>
      </c>
      <c r="F486" t="s">
        <v>474</v>
      </c>
      <c r="G486">
        <v>7</v>
      </c>
      <c r="H486" s="2">
        <v>700000</v>
      </c>
      <c r="I486">
        <v>1</v>
      </c>
      <c r="J486" t="s">
        <v>403</v>
      </c>
    </row>
    <row r="487" spans="1:10" hidden="1" x14ac:dyDescent="0.25">
      <c r="A487">
        <v>5</v>
      </c>
      <c r="B487" s="1">
        <v>45919</v>
      </c>
      <c r="C487" t="s">
        <v>12</v>
      </c>
      <c r="D487" t="s">
        <v>125</v>
      </c>
      <c r="E487" t="s">
        <v>219</v>
      </c>
      <c r="F487" t="s">
        <v>451</v>
      </c>
      <c r="G487">
        <v>-1</v>
      </c>
      <c r="H487" s="2">
        <v>-100000</v>
      </c>
      <c r="I487">
        <v>2</v>
      </c>
      <c r="J487" t="s">
        <v>125</v>
      </c>
    </row>
    <row r="488" spans="1:10" hidden="1" x14ac:dyDescent="0.25">
      <c r="A488">
        <v>5</v>
      </c>
      <c r="B488" s="1">
        <v>45919</v>
      </c>
      <c r="C488" t="s">
        <v>12</v>
      </c>
      <c r="D488" t="s">
        <v>126</v>
      </c>
      <c r="E488" t="s">
        <v>219</v>
      </c>
      <c r="F488" t="s">
        <v>480</v>
      </c>
      <c r="G488">
        <v>3</v>
      </c>
      <c r="H488" s="2">
        <v>300000</v>
      </c>
      <c r="I488">
        <v>2</v>
      </c>
      <c r="J488" t="s">
        <v>126</v>
      </c>
    </row>
    <row r="489" spans="1:10" hidden="1" x14ac:dyDescent="0.25">
      <c r="A489">
        <v>5</v>
      </c>
      <c r="B489" s="1">
        <v>45919</v>
      </c>
      <c r="C489" t="s">
        <v>12</v>
      </c>
      <c r="D489" t="s">
        <v>233</v>
      </c>
      <c r="E489" t="s">
        <v>219</v>
      </c>
      <c r="F489" t="s">
        <v>458</v>
      </c>
      <c r="G489">
        <v>10</v>
      </c>
      <c r="H489" s="2">
        <v>1000000</v>
      </c>
      <c r="I489">
        <v>2</v>
      </c>
      <c r="J489" t="s">
        <v>233</v>
      </c>
    </row>
    <row r="490" spans="1:10" hidden="1" x14ac:dyDescent="0.25">
      <c r="A490">
        <v>5</v>
      </c>
      <c r="B490" s="1">
        <v>45919</v>
      </c>
      <c r="C490" t="s">
        <v>12</v>
      </c>
      <c r="D490" t="s">
        <v>180</v>
      </c>
      <c r="E490" t="s">
        <v>219</v>
      </c>
      <c r="F490" t="s">
        <v>465</v>
      </c>
      <c r="G490">
        <v>7</v>
      </c>
      <c r="H490" s="2">
        <v>700000</v>
      </c>
      <c r="I490">
        <v>2</v>
      </c>
      <c r="J490" t="s">
        <v>394</v>
      </c>
    </row>
    <row r="491" spans="1:10" hidden="1" x14ac:dyDescent="0.25">
      <c r="A491">
        <v>5</v>
      </c>
      <c r="B491" s="1">
        <v>45919</v>
      </c>
      <c r="C491" t="s">
        <v>12</v>
      </c>
      <c r="D491" t="s">
        <v>216</v>
      </c>
      <c r="E491" t="s">
        <v>459</v>
      </c>
      <c r="F491" t="s">
        <v>458</v>
      </c>
      <c r="G491">
        <v>7</v>
      </c>
      <c r="H491" s="2">
        <v>700000</v>
      </c>
      <c r="I491">
        <v>3</v>
      </c>
      <c r="J491" t="s">
        <v>216</v>
      </c>
    </row>
    <row r="492" spans="1:10" hidden="1" x14ac:dyDescent="0.25">
      <c r="A492">
        <v>5</v>
      </c>
      <c r="B492" s="1">
        <v>45919</v>
      </c>
      <c r="C492" t="s">
        <v>12</v>
      </c>
      <c r="D492" t="s">
        <v>248</v>
      </c>
      <c r="E492" t="s">
        <v>459</v>
      </c>
      <c r="F492" t="s">
        <v>464</v>
      </c>
      <c r="G492">
        <v>3</v>
      </c>
      <c r="H492" s="2">
        <v>300000</v>
      </c>
      <c r="I492">
        <v>3</v>
      </c>
      <c r="J492" t="s">
        <v>432</v>
      </c>
    </row>
    <row r="493" spans="1:10" hidden="1" x14ac:dyDescent="0.25">
      <c r="A493">
        <v>5</v>
      </c>
      <c r="B493" s="1">
        <v>45919</v>
      </c>
      <c r="C493" t="s">
        <v>12</v>
      </c>
      <c r="D493" t="s">
        <v>119</v>
      </c>
      <c r="E493" t="s">
        <v>459</v>
      </c>
      <c r="F493" t="s">
        <v>464</v>
      </c>
      <c r="G493">
        <v>12</v>
      </c>
      <c r="H493" s="2">
        <v>1200000</v>
      </c>
      <c r="I493">
        <v>3</v>
      </c>
      <c r="J493" t="s">
        <v>119</v>
      </c>
    </row>
    <row r="494" spans="1:10" hidden="1" x14ac:dyDescent="0.25">
      <c r="A494">
        <v>5</v>
      </c>
      <c r="B494" s="1">
        <v>45919</v>
      </c>
      <c r="C494" t="s">
        <v>12</v>
      </c>
      <c r="D494" t="s">
        <v>319</v>
      </c>
      <c r="E494" t="s">
        <v>89</v>
      </c>
      <c r="F494" t="s">
        <v>458</v>
      </c>
      <c r="G494">
        <v>10</v>
      </c>
      <c r="H494" s="2">
        <v>1000000</v>
      </c>
      <c r="I494">
        <v>4</v>
      </c>
      <c r="J494" t="s">
        <v>490</v>
      </c>
    </row>
    <row r="495" spans="1:10" hidden="1" x14ac:dyDescent="0.25">
      <c r="A495">
        <v>5</v>
      </c>
      <c r="B495" s="1">
        <v>45919</v>
      </c>
      <c r="C495" t="s">
        <v>12</v>
      </c>
      <c r="D495" t="s">
        <v>329</v>
      </c>
      <c r="E495" t="s">
        <v>89</v>
      </c>
      <c r="F495" t="s">
        <v>461</v>
      </c>
      <c r="G495">
        <v>1</v>
      </c>
      <c r="H495" s="2">
        <v>100000</v>
      </c>
      <c r="I495">
        <v>4</v>
      </c>
      <c r="J495" t="s">
        <v>329</v>
      </c>
    </row>
    <row r="496" spans="1:10" hidden="1" x14ac:dyDescent="0.25">
      <c r="A496">
        <v>5</v>
      </c>
      <c r="B496" s="1">
        <v>45919</v>
      </c>
      <c r="C496" t="s">
        <v>12</v>
      </c>
      <c r="D496" t="s">
        <v>161</v>
      </c>
      <c r="E496" t="s">
        <v>89</v>
      </c>
      <c r="F496" t="s">
        <v>447</v>
      </c>
      <c r="G496">
        <v>16</v>
      </c>
      <c r="H496" s="2">
        <v>1600000</v>
      </c>
      <c r="I496">
        <v>4</v>
      </c>
      <c r="J496" t="s">
        <v>161</v>
      </c>
    </row>
    <row r="497" spans="1:10" hidden="1" x14ac:dyDescent="0.25">
      <c r="A497">
        <v>5</v>
      </c>
      <c r="B497" s="1">
        <v>45919</v>
      </c>
      <c r="C497" t="s">
        <v>6</v>
      </c>
      <c r="D497" t="s">
        <v>137</v>
      </c>
      <c r="E497" t="s">
        <v>77</v>
      </c>
      <c r="F497" t="s">
        <v>485</v>
      </c>
      <c r="G497">
        <v>0</v>
      </c>
      <c r="H497" s="2">
        <v>0</v>
      </c>
      <c r="I497">
        <v>1</v>
      </c>
      <c r="J497" t="s">
        <v>137</v>
      </c>
    </row>
    <row r="498" spans="1:10" hidden="1" x14ac:dyDescent="0.25">
      <c r="A498">
        <v>5</v>
      </c>
      <c r="B498" s="1">
        <v>45919</v>
      </c>
      <c r="C498" t="s">
        <v>6</v>
      </c>
      <c r="D498" t="s">
        <v>247</v>
      </c>
      <c r="E498" t="s">
        <v>219</v>
      </c>
      <c r="F498" t="s">
        <v>461</v>
      </c>
      <c r="G498">
        <v>0</v>
      </c>
      <c r="H498" s="2">
        <v>0</v>
      </c>
      <c r="I498">
        <v>2</v>
      </c>
      <c r="J498" t="s">
        <v>247</v>
      </c>
    </row>
    <row r="499" spans="1:10" hidden="1" x14ac:dyDescent="0.25">
      <c r="A499">
        <v>5</v>
      </c>
      <c r="B499" s="1">
        <v>45919</v>
      </c>
      <c r="C499" t="s">
        <v>6</v>
      </c>
      <c r="D499" t="s">
        <v>118</v>
      </c>
      <c r="E499" t="s">
        <v>219</v>
      </c>
      <c r="F499" t="s">
        <v>451</v>
      </c>
      <c r="G499">
        <v>3</v>
      </c>
      <c r="H499" s="2">
        <v>300000</v>
      </c>
      <c r="I499">
        <v>2</v>
      </c>
      <c r="J499" t="s">
        <v>118</v>
      </c>
    </row>
    <row r="500" spans="1:10" hidden="1" x14ac:dyDescent="0.25">
      <c r="A500">
        <v>5</v>
      </c>
      <c r="B500" s="1">
        <v>45919</v>
      </c>
      <c r="C500" t="s">
        <v>6</v>
      </c>
      <c r="D500" t="s">
        <v>288</v>
      </c>
      <c r="E500" t="s">
        <v>219</v>
      </c>
      <c r="F500" t="s">
        <v>485</v>
      </c>
      <c r="G500">
        <v>1</v>
      </c>
      <c r="H500" s="2">
        <v>100000</v>
      </c>
      <c r="I500">
        <v>2</v>
      </c>
      <c r="J500" t="s">
        <v>288</v>
      </c>
    </row>
    <row r="501" spans="1:10" hidden="1" x14ac:dyDescent="0.25">
      <c r="A501">
        <v>5</v>
      </c>
      <c r="B501" s="1">
        <v>45919</v>
      </c>
      <c r="C501" t="s">
        <v>6</v>
      </c>
      <c r="D501" t="s">
        <v>164</v>
      </c>
      <c r="E501" t="s">
        <v>219</v>
      </c>
      <c r="F501" t="s">
        <v>448</v>
      </c>
      <c r="G501">
        <v>15</v>
      </c>
      <c r="H501" s="2">
        <v>1500000</v>
      </c>
      <c r="I501">
        <v>2</v>
      </c>
      <c r="J501" t="s">
        <v>409</v>
      </c>
    </row>
    <row r="502" spans="1:10" hidden="1" x14ac:dyDescent="0.25">
      <c r="A502">
        <v>5</v>
      </c>
      <c r="B502" s="1">
        <v>45919</v>
      </c>
      <c r="C502" t="s">
        <v>6</v>
      </c>
      <c r="D502" t="s">
        <v>88</v>
      </c>
      <c r="E502" t="s">
        <v>459</v>
      </c>
      <c r="F502" t="s">
        <v>472</v>
      </c>
      <c r="G502">
        <v>4</v>
      </c>
      <c r="H502" s="2">
        <v>400000</v>
      </c>
      <c r="I502">
        <v>3</v>
      </c>
      <c r="J502" t="s">
        <v>88</v>
      </c>
    </row>
    <row r="503" spans="1:10" hidden="1" x14ac:dyDescent="0.25">
      <c r="A503">
        <v>5</v>
      </c>
      <c r="B503" s="1">
        <v>45919</v>
      </c>
      <c r="C503" t="s">
        <v>6</v>
      </c>
      <c r="D503" t="s">
        <v>320</v>
      </c>
      <c r="E503" t="s">
        <v>459</v>
      </c>
      <c r="F503" t="s">
        <v>458</v>
      </c>
      <c r="G503">
        <v>8</v>
      </c>
      <c r="H503" s="2">
        <v>800000</v>
      </c>
      <c r="I503">
        <v>3</v>
      </c>
      <c r="J503" t="s">
        <v>320</v>
      </c>
    </row>
    <row r="504" spans="1:10" hidden="1" x14ac:dyDescent="0.25">
      <c r="A504">
        <v>5</v>
      </c>
      <c r="B504" s="1">
        <v>45919</v>
      </c>
      <c r="C504" t="s">
        <v>6</v>
      </c>
      <c r="D504" t="s">
        <v>155</v>
      </c>
      <c r="E504" t="s">
        <v>459</v>
      </c>
      <c r="F504" t="s">
        <v>480</v>
      </c>
      <c r="G504">
        <v>6</v>
      </c>
      <c r="H504" s="2">
        <v>600000</v>
      </c>
      <c r="I504">
        <v>3</v>
      </c>
      <c r="J504" t="s">
        <v>385</v>
      </c>
    </row>
    <row r="505" spans="1:10" hidden="1" x14ac:dyDescent="0.25">
      <c r="A505">
        <v>5</v>
      </c>
      <c r="B505" s="1">
        <v>45919</v>
      </c>
      <c r="C505" t="s">
        <v>6</v>
      </c>
      <c r="D505" t="s">
        <v>186</v>
      </c>
      <c r="E505" t="s">
        <v>89</v>
      </c>
      <c r="F505" t="s">
        <v>480</v>
      </c>
      <c r="G505">
        <v>7</v>
      </c>
      <c r="H505" s="2">
        <v>700000</v>
      </c>
      <c r="I505">
        <v>4</v>
      </c>
      <c r="J505" t="s">
        <v>186</v>
      </c>
    </row>
    <row r="506" spans="1:10" hidden="1" x14ac:dyDescent="0.25">
      <c r="A506">
        <v>5</v>
      </c>
      <c r="B506" s="1">
        <v>45919</v>
      </c>
      <c r="C506" t="s">
        <v>6</v>
      </c>
      <c r="D506" t="s">
        <v>323</v>
      </c>
      <c r="E506" t="s">
        <v>89</v>
      </c>
      <c r="F506" t="s">
        <v>451</v>
      </c>
      <c r="G506">
        <v>10</v>
      </c>
      <c r="H506" s="2">
        <v>1000000</v>
      </c>
      <c r="I506">
        <v>4</v>
      </c>
      <c r="J506" t="s">
        <v>323</v>
      </c>
    </row>
    <row r="507" spans="1:10" hidden="1" x14ac:dyDescent="0.25">
      <c r="A507">
        <v>5</v>
      </c>
      <c r="B507" s="1">
        <v>45919</v>
      </c>
      <c r="C507" t="s">
        <v>6</v>
      </c>
      <c r="D507" t="s">
        <v>270</v>
      </c>
      <c r="E507" t="s">
        <v>89</v>
      </c>
      <c r="F507" t="s">
        <v>472</v>
      </c>
      <c r="G507">
        <v>5</v>
      </c>
      <c r="H507" s="2">
        <v>500000</v>
      </c>
      <c r="I507">
        <v>4</v>
      </c>
      <c r="J507" t="s">
        <v>423</v>
      </c>
    </row>
    <row r="508" spans="1:10" hidden="1" x14ac:dyDescent="0.25">
      <c r="A508">
        <v>5</v>
      </c>
      <c r="B508" s="1">
        <v>45919</v>
      </c>
      <c r="C508" t="s">
        <v>9</v>
      </c>
      <c r="D508" t="s">
        <v>149</v>
      </c>
      <c r="E508" t="s">
        <v>77</v>
      </c>
      <c r="F508" t="s">
        <v>461</v>
      </c>
      <c r="G508">
        <v>0</v>
      </c>
      <c r="H508" s="2">
        <v>0</v>
      </c>
      <c r="I508">
        <v>1</v>
      </c>
      <c r="J508" t="s">
        <v>149</v>
      </c>
    </row>
    <row r="509" spans="1:10" hidden="1" x14ac:dyDescent="0.25">
      <c r="A509">
        <v>5</v>
      </c>
      <c r="B509" s="1">
        <v>45919</v>
      </c>
      <c r="C509" t="s">
        <v>9</v>
      </c>
      <c r="D509" t="s">
        <v>34</v>
      </c>
      <c r="E509" t="s">
        <v>219</v>
      </c>
      <c r="F509" t="s">
        <v>480</v>
      </c>
      <c r="G509">
        <v>1</v>
      </c>
      <c r="H509" s="2">
        <v>100000</v>
      </c>
      <c r="I509">
        <v>2</v>
      </c>
      <c r="J509" t="s">
        <v>34</v>
      </c>
    </row>
    <row r="510" spans="1:10" hidden="1" x14ac:dyDescent="0.25">
      <c r="A510">
        <v>5</v>
      </c>
      <c r="B510" s="1">
        <v>45919</v>
      </c>
      <c r="C510" t="s">
        <v>9</v>
      </c>
      <c r="D510" t="s">
        <v>139</v>
      </c>
      <c r="E510" t="s">
        <v>219</v>
      </c>
      <c r="F510" t="s">
        <v>458</v>
      </c>
      <c r="G510">
        <v>9</v>
      </c>
      <c r="H510" s="2">
        <v>900000</v>
      </c>
      <c r="I510">
        <v>2</v>
      </c>
      <c r="J510" t="s">
        <v>371</v>
      </c>
    </row>
    <row r="511" spans="1:10" hidden="1" x14ac:dyDescent="0.25">
      <c r="A511">
        <v>5</v>
      </c>
      <c r="B511" s="1">
        <v>45919</v>
      </c>
      <c r="C511" t="s">
        <v>9</v>
      </c>
      <c r="D511" t="s">
        <v>321</v>
      </c>
      <c r="E511" t="s">
        <v>219</v>
      </c>
      <c r="F511" t="s">
        <v>514</v>
      </c>
      <c r="G511">
        <v>3</v>
      </c>
      <c r="H511" s="2">
        <v>300000</v>
      </c>
      <c r="I511">
        <v>2</v>
      </c>
      <c r="J511" t="s">
        <v>399</v>
      </c>
    </row>
    <row r="512" spans="1:10" hidden="1" x14ac:dyDescent="0.25">
      <c r="A512">
        <v>5</v>
      </c>
      <c r="B512" s="1">
        <v>45919</v>
      </c>
      <c r="C512" t="s">
        <v>9</v>
      </c>
      <c r="D512" t="s">
        <v>225</v>
      </c>
      <c r="E512" t="s">
        <v>459</v>
      </c>
      <c r="F512" t="s">
        <v>488</v>
      </c>
      <c r="G512">
        <v>7</v>
      </c>
      <c r="H512" s="2">
        <v>700000</v>
      </c>
      <c r="I512">
        <v>3</v>
      </c>
      <c r="J512" t="s">
        <v>225</v>
      </c>
    </row>
    <row r="513" spans="1:10" hidden="1" x14ac:dyDescent="0.25">
      <c r="A513">
        <v>5</v>
      </c>
      <c r="B513" s="1">
        <v>45919</v>
      </c>
      <c r="C513" t="s">
        <v>9</v>
      </c>
      <c r="D513" t="s">
        <v>232</v>
      </c>
      <c r="E513" t="s">
        <v>459</v>
      </c>
      <c r="F513" t="s">
        <v>469</v>
      </c>
      <c r="G513">
        <v>3</v>
      </c>
      <c r="H513" s="2">
        <v>300000</v>
      </c>
      <c r="I513">
        <v>3</v>
      </c>
      <c r="J513" t="s">
        <v>232</v>
      </c>
    </row>
    <row r="514" spans="1:10" hidden="1" x14ac:dyDescent="0.25">
      <c r="A514">
        <v>5</v>
      </c>
      <c r="B514" s="1">
        <v>45919</v>
      </c>
      <c r="C514" t="s">
        <v>9</v>
      </c>
      <c r="D514" t="s">
        <v>291</v>
      </c>
      <c r="E514" t="s">
        <v>459</v>
      </c>
      <c r="F514" t="s">
        <v>469</v>
      </c>
      <c r="G514">
        <v>2</v>
      </c>
      <c r="H514" s="2">
        <v>200000</v>
      </c>
      <c r="I514">
        <v>3</v>
      </c>
      <c r="J514" t="s">
        <v>520</v>
      </c>
    </row>
    <row r="515" spans="1:10" hidden="1" x14ac:dyDescent="0.25">
      <c r="A515">
        <v>5</v>
      </c>
      <c r="B515" s="1">
        <v>45919</v>
      </c>
      <c r="C515" t="s">
        <v>9</v>
      </c>
      <c r="D515" t="s">
        <v>198</v>
      </c>
      <c r="E515" t="s">
        <v>459</v>
      </c>
      <c r="F515" t="s">
        <v>485</v>
      </c>
      <c r="G515">
        <v>3</v>
      </c>
      <c r="H515" s="2">
        <v>300000</v>
      </c>
      <c r="I515">
        <v>3</v>
      </c>
      <c r="J515" t="s">
        <v>341</v>
      </c>
    </row>
    <row r="516" spans="1:10" hidden="1" x14ac:dyDescent="0.25">
      <c r="A516">
        <v>5</v>
      </c>
      <c r="B516" s="1">
        <v>45919</v>
      </c>
      <c r="C516" t="s">
        <v>9</v>
      </c>
      <c r="D516" t="s">
        <v>136</v>
      </c>
      <c r="E516" t="s">
        <v>89</v>
      </c>
      <c r="F516" t="s">
        <v>469</v>
      </c>
      <c r="G516">
        <v>2</v>
      </c>
      <c r="H516" s="2">
        <v>200000</v>
      </c>
      <c r="I516">
        <v>4</v>
      </c>
      <c r="J516" t="s">
        <v>136</v>
      </c>
    </row>
    <row r="517" spans="1:10" hidden="1" x14ac:dyDescent="0.25">
      <c r="A517">
        <v>5</v>
      </c>
      <c r="B517" s="1">
        <v>45919</v>
      </c>
      <c r="C517" t="s">
        <v>9</v>
      </c>
      <c r="D517" t="s">
        <v>312</v>
      </c>
      <c r="E517" t="s">
        <v>89</v>
      </c>
      <c r="F517" t="s">
        <v>455</v>
      </c>
      <c r="G517">
        <v>2</v>
      </c>
      <c r="H517" s="2">
        <v>200000</v>
      </c>
      <c r="I517">
        <v>4</v>
      </c>
      <c r="J517" t="s">
        <v>312</v>
      </c>
    </row>
    <row r="518" spans="1:10" hidden="1" x14ac:dyDescent="0.25">
      <c r="A518">
        <v>5</v>
      </c>
      <c r="B518" s="1">
        <v>45919</v>
      </c>
      <c r="C518" t="s">
        <v>9</v>
      </c>
      <c r="D518" t="s">
        <v>287</v>
      </c>
      <c r="E518" t="s">
        <v>89</v>
      </c>
      <c r="F518" t="s">
        <v>458</v>
      </c>
      <c r="G518">
        <v>0</v>
      </c>
      <c r="H518" s="2">
        <v>0</v>
      </c>
      <c r="I518">
        <v>4</v>
      </c>
      <c r="J518" t="s">
        <v>287</v>
      </c>
    </row>
    <row r="519" spans="1:10" hidden="1" x14ac:dyDescent="0.25">
      <c r="A519">
        <v>5</v>
      </c>
      <c r="B519" s="1">
        <v>45919</v>
      </c>
      <c r="C519" t="s">
        <v>13</v>
      </c>
      <c r="D519" t="s">
        <v>322</v>
      </c>
      <c r="E519" t="s">
        <v>77</v>
      </c>
      <c r="F519" t="s">
        <v>496</v>
      </c>
      <c r="G519">
        <v>9</v>
      </c>
      <c r="H519" s="2">
        <v>900000</v>
      </c>
      <c r="I519">
        <v>1</v>
      </c>
      <c r="J519" t="s">
        <v>322</v>
      </c>
    </row>
    <row r="520" spans="1:10" hidden="1" x14ac:dyDescent="0.25">
      <c r="A520">
        <v>5</v>
      </c>
      <c r="B520" s="1">
        <v>45919</v>
      </c>
      <c r="C520" t="s">
        <v>13</v>
      </c>
      <c r="D520" t="s">
        <v>202</v>
      </c>
      <c r="E520" t="s">
        <v>219</v>
      </c>
      <c r="F520" t="s">
        <v>465</v>
      </c>
      <c r="G520">
        <v>11</v>
      </c>
      <c r="H520" s="2">
        <v>1100000</v>
      </c>
      <c r="I520">
        <v>2</v>
      </c>
      <c r="J520" t="s">
        <v>734</v>
      </c>
    </row>
    <row r="521" spans="1:10" hidden="1" x14ac:dyDescent="0.25">
      <c r="A521">
        <v>5</v>
      </c>
      <c r="B521" s="1">
        <v>45919</v>
      </c>
      <c r="C521" t="s">
        <v>13</v>
      </c>
      <c r="D521" t="s">
        <v>83</v>
      </c>
      <c r="E521" t="s">
        <v>219</v>
      </c>
      <c r="F521" t="s">
        <v>451</v>
      </c>
      <c r="G521">
        <v>2</v>
      </c>
      <c r="H521" s="2">
        <v>200000</v>
      </c>
      <c r="I521">
        <v>2</v>
      </c>
      <c r="J521" t="s">
        <v>405</v>
      </c>
    </row>
    <row r="522" spans="1:10" hidden="1" x14ac:dyDescent="0.25">
      <c r="A522">
        <v>5</v>
      </c>
      <c r="B522" s="1">
        <v>45919</v>
      </c>
      <c r="C522" t="s">
        <v>13</v>
      </c>
      <c r="D522" t="s">
        <v>183</v>
      </c>
      <c r="E522" t="s">
        <v>219</v>
      </c>
      <c r="F522" t="s">
        <v>485</v>
      </c>
      <c r="G522">
        <v>3</v>
      </c>
      <c r="H522" s="2">
        <v>300000</v>
      </c>
      <c r="I522">
        <v>2</v>
      </c>
      <c r="J522" t="s">
        <v>393</v>
      </c>
    </row>
    <row r="523" spans="1:10" hidden="1" x14ac:dyDescent="0.25">
      <c r="A523">
        <v>5</v>
      </c>
      <c r="B523" s="1">
        <v>45919</v>
      </c>
      <c r="C523" t="s">
        <v>13</v>
      </c>
      <c r="D523" t="s">
        <v>240</v>
      </c>
      <c r="E523" t="s">
        <v>219</v>
      </c>
      <c r="F523" t="s">
        <v>472</v>
      </c>
      <c r="G523">
        <v>0</v>
      </c>
      <c r="H523" s="2">
        <v>0</v>
      </c>
      <c r="I523">
        <v>2</v>
      </c>
      <c r="J523" t="s">
        <v>240</v>
      </c>
    </row>
    <row r="524" spans="1:10" hidden="1" x14ac:dyDescent="0.25">
      <c r="A524">
        <v>5</v>
      </c>
      <c r="B524" s="1">
        <v>45919</v>
      </c>
      <c r="C524" t="s">
        <v>13</v>
      </c>
      <c r="D524" t="s">
        <v>331</v>
      </c>
      <c r="E524" t="s">
        <v>459</v>
      </c>
      <c r="F524" t="s">
        <v>496</v>
      </c>
      <c r="G524">
        <v>14</v>
      </c>
      <c r="H524" s="2">
        <v>1400000</v>
      </c>
      <c r="I524">
        <v>3</v>
      </c>
      <c r="J524" t="s">
        <v>376</v>
      </c>
    </row>
    <row r="525" spans="1:10" hidden="1" x14ac:dyDescent="0.25">
      <c r="A525">
        <v>5</v>
      </c>
      <c r="B525" s="1">
        <v>45919</v>
      </c>
      <c r="C525" t="s">
        <v>13</v>
      </c>
      <c r="D525" t="s">
        <v>299</v>
      </c>
      <c r="E525" t="s">
        <v>459</v>
      </c>
      <c r="F525" t="s">
        <v>451</v>
      </c>
      <c r="G525">
        <v>9</v>
      </c>
      <c r="H525" s="2">
        <v>900000</v>
      </c>
      <c r="I525">
        <v>3</v>
      </c>
      <c r="J525" t="s">
        <v>299</v>
      </c>
    </row>
    <row r="526" spans="1:10" hidden="1" x14ac:dyDescent="0.25">
      <c r="A526">
        <v>5</v>
      </c>
      <c r="B526" s="1">
        <v>45919</v>
      </c>
      <c r="C526" t="s">
        <v>13</v>
      </c>
      <c r="D526" t="s">
        <v>325</v>
      </c>
      <c r="E526" t="s">
        <v>459</v>
      </c>
      <c r="F526" t="s">
        <v>458</v>
      </c>
      <c r="G526">
        <v>5</v>
      </c>
      <c r="H526" s="2">
        <v>500000</v>
      </c>
      <c r="I526">
        <v>3</v>
      </c>
      <c r="J526" t="s">
        <v>741</v>
      </c>
    </row>
    <row r="527" spans="1:10" hidden="1" x14ac:dyDescent="0.25">
      <c r="A527">
        <v>5</v>
      </c>
      <c r="B527" s="1">
        <v>45919</v>
      </c>
      <c r="C527" t="s">
        <v>13</v>
      </c>
      <c r="D527" t="s">
        <v>301</v>
      </c>
      <c r="E527" t="s">
        <v>89</v>
      </c>
      <c r="F527" t="s">
        <v>461</v>
      </c>
      <c r="G527">
        <v>10</v>
      </c>
      <c r="H527" s="2">
        <v>1000000</v>
      </c>
      <c r="I527">
        <v>4</v>
      </c>
      <c r="J527" t="s">
        <v>301</v>
      </c>
    </row>
    <row r="528" spans="1:10" hidden="1" x14ac:dyDescent="0.25">
      <c r="A528">
        <v>5</v>
      </c>
      <c r="B528" s="1">
        <v>45919</v>
      </c>
      <c r="C528" t="s">
        <v>13</v>
      </c>
      <c r="D528" t="s">
        <v>328</v>
      </c>
      <c r="E528" t="s">
        <v>89</v>
      </c>
      <c r="F528" t="s">
        <v>448</v>
      </c>
      <c r="G528">
        <v>11</v>
      </c>
      <c r="H528" s="2">
        <v>1100000</v>
      </c>
      <c r="I528">
        <v>4</v>
      </c>
      <c r="J528" t="s">
        <v>654</v>
      </c>
    </row>
    <row r="529" spans="1:10" hidden="1" x14ac:dyDescent="0.25">
      <c r="A529">
        <v>5</v>
      </c>
      <c r="B529" s="1">
        <v>45919</v>
      </c>
      <c r="C529" t="s">
        <v>13</v>
      </c>
      <c r="D529" t="s">
        <v>168</v>
      </c>
      <c r="E529" t="s">
        <v>89</v>
      </c>
      <c r="F529" t="s">
        <v>455</v>
      </c>
      <c r="G529">
        <v>3</v>
      </c>
      <c r="H529" s="2">
        <v>300000</v>
      </c>
      <c r="I529">
        <v>4</v>
      </c>
      <c r="J529" t="s">
        <v>168</v>
      </c>
    </row>
    <row r="530" spans="1:10" hidden="1" x14ac:dyDescent="0.25">
      <c r="A530">
        <v>5</v>
      </c>
      <c r="B530" s="1">
        <v>45919</v>
      </c>
      <c r="C530" t="s">
        <v>8</v>
      </c>
      <c r="D530" t="s">
        <v>338</v>
      </c>
      <c r="E530" t="s">
        <v>77</v>
      </c>
      <c r="F530" t="s">
        <v>455</v>
      </c>
      <c r="G530">
        <v>-2</v>
      </c>
      <c r="H530" s="2">
        <v>-200000</v>
      </c>
      <c r="I530">
        <v>1</v>
      </c>
      <c r="J530" t="s">
        <v>338</v>
      </c>
    </row>
    <row r="531" spans="1:10" hidden="1" x14ac:dyDescent="0.25">
      <c r="A531">
        <v>5</v>
      </c>
      <c r="B531" s="1">
        <v>45919</v>
      </c>
      <c r="C531" t="s">
        <v>8</v>
      </c>
      <c r="D531" t="s">
        <v>56</v>
      </c>
      <c r="E531" t="s">
        <v>219</v>
      </c>
      <c r="F531" t="s">
        <v>464</v>
      </c>
      <c r="G531">
        <v>1</v>
      </c>
      <c r="H531" s="2">
        <v>100000</v>
      </c>
      <c r="I531">
        <v>2</v>
      </c>
      <c r="J531" t="s">
        <v>564</v>
      </c>
    </row>
    <row r="532" spans="1:10" hidden="1" x14ac:dyDescent="0.25">
      <c r="A532">
        <v>5</v>
      </c>
      <c r="B532" s="1">
        <v>45919</v>
      </c>
      <c r="C532" t="s">
        <v>8</v>
      </c>
      <c r="D532" t="s">
        <v>67</v>
      </c>
      <c r="E532" t="s">
        <v>219</v>
      </c>
      <c r="F532" t="s">
        <v>472</v>
      </c>
      <c r="G532">
        <v>0</v>
      </c>
      <c r="H532" s="2">
        <v>0</v>
      </c>
      <c r="I532">
        <v>2</v>
      </c>
      <c r="J532" t="s">
        <v>512</v>
      </c>
    </row>
    <row r="533" spans="1:10" hidden="1" x14ac:dyDescent="0.25">
      <c r="A533">
        <v>5</v>
      </c>
      <c r="B533" s="1">
        <v>45919</v>
      </c>
      <c r="C533" t="s">
        <v>8</v>
      </c>
      <c r="D533" t="s">
        <v>200</v>
      </c>
      <c r="E533" t="s">
        <v>219</v>
      </c>
      <c r="F533" t="s">
        <v>514</v>
      </c>
      <c r="G533">
        <v>0</v>
      </c>
      <c r="H533" s="2">
        <v>0</v>
      </c>
      <c r="I533">
        <v>2</v>
      </c>
      <c r="J533" t="s">
        <v>200</v>
      </c>
    </row>
    <row r="534" spans="1:10" hidden="1" x14ac:dyDescent="0.25">
      <c r="A534">
        <v>5</v>
      </c>
      <c r="B534" s="1">
        <v>45919</v>
      </c>
      <c r="C534" t="s">
        <v>8</v>
      </c>
      <c r="D534" t="s">
        <v>111</v>
      </c>
      <c r="E534" t="s">
        <v>459</v>
      </c>
      <c r="F534" t="s">
        <v>474</v>
      </c>
      <c r="G534">
        <v>4</v>
      </c>
      <c r="H534" s="2">
        <v>400000</v>
      </c>
      <c r="I534">
        <v>3</v>
      </c>
      <c r="J534" t="s">
        <v>111</v>
      </c>
    </row>
    <row r="535" spans="1:10" hidden="1" x14ac:dyDescent="0.25">
      <c r="A535">
        <v>5</v>
      </c>
      <c r="B535" s="1">
        <v>45919</v>
      </c>
      <c r="C535" t="s">
        <v>8</v>
      </c>
      <c r="D535" t="s">
        <v>41</v>
      </c>
      <c r="E535" t="s">
        <v>459</v>
      </c>
      <c r="F535" t="s">
        <v>465</v>
      </c>
      <c r="G535">
        <v>2</v>
      </c>
      <c r="H535" s="2">
        <v>200000</v>
      </c>
      <c r="I535">
        <v>3</v>
      </c>
      <c r="J535" t="s">
        <v>41</v>
      </c>
    </row>
    <row r="536" spans="1:10" hidden="1" x14ac:dyDescent="0.25">
      <c r="A536">
        <v>5</v>
      </c>
      <c r="B536" s="1">
        <v>45919</v>
      </c>
      <c r="C536" t="s">
        <v>8</v>
      </c>
      <c r="D536" t="s">
        <v>64</v>
      </c>
      <c r="E536" t="s">
        <v>459</v>
      </c>
      <c r="F536" t="s">
        <v>453</v>
      </c>
      <c r="G536">
        <v>2</v>
      </c>
      <c r="H536" s="2">
        <v>200000</v>
      </c>
      <c r="I536">
        <v>3</v>
      </c>
      <c r="J536" t="s">
        <v>491</v>
      </c>
    </row>
    <row r="537" spans="1:10" hidden="1" x14ac:dyDescent="0.25">
      <c r="A537">
        <v>5</v>
      </c>
      <c r="B537" s="1">
        <v>45919</v>
      </c>
      <c r="C537" t="s">
        <v>8</v>
      </c>
      <c r="D537" t="s">
        <v>245</v>
      </c>
      <c r="E537" t="s">
        <v>459</v>
      </c>
      <c r="F537" t="s">
        <v>449</v>
      </c>
      <c r="G537">
        <v>1</v>
      </c>
      <c r="H537" s="2">
        <v>100000</v>
      </c>
      <c r="I537">
        <v>3</v>
      </c>
      <c r="J537" t="s">
        <v>620</v>
      </c>
    </row>
    <row r="538" spans="1:10" hidden="1" x14ac:dyDescent="0.25">
      <c r="A538">
        <v>5</v>
      </c>
      <c r="B538" s="1">
        <v>45919</v>
      </c>
      <c r="C538" t="s">
        <v>8</v>
      </c>
      <c r="D538" t="s">
        <v>71</v>
      </c>
      <c r="E538" t="s">
        <v>89</v>
      </c>
      <c r="F538" t="s">
        <v>472</v>
      </c>
      <c r="G538">
        <v>3</v>
      </c>
      <c r="H538" s="2">
        <v>300000</v>
      </c>
      <c r="I538">
        <v>4</v>
      </c>
      <c r="J538" t="s">
        <v>693</v>
      </c>
    </row>
    <row r="539" spans="1:10" hidden="1" x14ac:dyDescent="0.25">
      <c r="A539">
        <v>5</v>
      </c>
      <c r="B539" s="1">
        <v>45919</v>
      </c>
      <c r="C539" t="s">
        <v>8</v>
      </c>
      <c r="D539" t="s">
        <v>267</v>
      </c>
      <c r="E539" t="s">
        <v>89</v>
      </c>
      <c r="F539" t="s">
        <v>447</v>
      </c>
      <c r="G539">
        <v>0</v>
      </c>
      <c r="H539" s="2">
        <v>0</v>
      </c>
      <c r="I539">
        <v>4</v>
      </c>
      <c r="J539" t="s">
        <v>751</v>
      </c>
    </row>
    <row r="540" spans="1:10" hidden="1" x14ac:dyDescent="0.25">
      <c r="A540">
        <v>5</v>
      </c>
      <c r="B540" s="1">
        <v>45919</v>
      </c>
      <c r="C540" t="s">
        <v>8</v>
      </c>
      <c r="D540" t="s">
        <v>278</v>
      </c>
      <c r="E540" t="s">
        <v>89</v>
      </c>
      <c r="F540" t="s">
        <v>448</v>
      </c>
      <c r="G540">
        <v>7</v>
      </c>
      <c r="H540" s="2">
        <v>700000</v>
      </c>
      <c r="I540">
        <v>4</v>
      </c>
      <c r="J540" t="s">
        <v>278</v>
      </c>
    </row>
    <row r="541" spans="1:10" hidden="1" x14ac:dyDescent="0.25">
      <c r="A541">
        <v>5</v>
      </c>
      <c r="B541" s="1">
        <v>45919</v>
      </c>
      <c r="C541" t="s">
        <v>7</v>
      </c>
      <c r="D541" t="s">
        <v>54</v>
      </c>
      <c r="E541" t="s">
        <v>77</v>
      </c>
      <c r="F541" t="s">
        <v>488</v>
      </c>
      <c r="G541">
        <v>4</v>
      </c>
      <c r="H541" s="2">
        <v>400000</v>
      </c>
      <c r="I541">
        <v>1</v>
      </c>
      <c r="J541" t="s">
        <v>54</v>
      </c>
    </row>
    <row r="542" spans="1:10" hidden="1" x14ac:dyDescent="0.25">
      <c r="A542">
        <v>5</v>
      </c>
      <c r="B542" s="1">
        <v>45919</v>
      </c>
      <c r="C542" t="s">
        <v>7</v>
      </c>
      <c r="D542" t="s">
        <v>100</v>
      </c>
      <c r="E542" t="s">
        <v>219</v>
      </c>
      <c r="F542" t="s">
        <v>488</v>
      </c>
      <c r="G542">
        <v>3</v>
      </c>
      <c r="H542" s="2">
        <v>300000</v>
      </c>
      <c r="I542">
        <v>2</v>
      </c>
      <c r="J542" t="s">
        <v>100</v>
      </c>
    </row>
    <row r="543" spans="1:10" hidden="1" x14ac:dyDescent="0.25">
      <c r="A543">
        <v>5</v>
      </c>
      <c r="B543" s="1">
        <v>45919</v>
      </c>
      <c r="C543" t="s">
        <v>7</v>
      </c>
      <c r="D543" t="s">
        <v>227</v>
      </c>
      <c r="E543" t="s">
        <v>219</v>
      </c>
      <c r="F543" t="s">
        <v>447</v>
      </c>
      <c r="G543">
        <v>9</v>
      </c>
      <c r="H543" s="2">
        <v>900000</v>
      </c>
      <c r="I543">
        <v>2</v>
      </c>
      <c r="J543" t="s">
        <v>617</v>
      </c>
    </row>
    <row r="544" spans="1:10" hidden="1" x14ac:dyDescent="0.25">
      <c r="A544">
        <v>5</v>
      </c>
      <c r="B544" s="1">
        <v>45919</v>
      </c>
      <c r="C544" t="s">
        <v>7</v>
      </c>
      <c r="D544" t="s">
        <v>181</v>
      </c>
      <c r="E544" t="s">
        <v>219</v>
      </c>
      <c r="F544" t="s">
        <v>498</v>
      </c>
      <c r="G544">
        <v>0</v>
      </c>
      <c r="H544" s="2">
        <v>0</v>
      </c>
      <c r="I544">
        <v>2</v>
      </c>
      <c r="J544" t="s">
        <v>406</v>
      </c>
    </row>
    <row r="545" spans="1:10" hidden="1" x14ac:dyDescent="0.25">
      <c r="A545">
        <v>5</v>
      </c>
      <c r="B545" s="1">
        <v>45919</v>
      </c>
      <c r="C545" t="s">
        <v>7</v>
      </c>
      <c r="D545" t="s">
        <v>99</v>
      </c>
      <c r="E545" t="s">
        <v>219</v>
      </c>
      <c r="F545" t="s">
        <v>474</v>
      </c>
      <c r="G545">
        <v>4</v>
      </c>
      <c r="H545" s="2">
        <v>400000</v>
      </c>
      <c r="I545">
        <v>2</v>
      </c>
      <c r="J545" t="s">
        <v>99</v>
      </c>
    </row>
    <row r="546" spans="1:10" hidden="1" x14ac:dyDescent="0.25">
      <c r="A546">
        <v>5</v>
      </c>
      <c r="B546" s="1">
        <v>45919</v>
      </c>
      <c r="C546" t="s">
        <v>7</v>
      </c>
      <c r="D546" t="s">
        <v>115</v>
      </c>
      <c r="E546" t="s">
        <v>219</v>
      </c>
      <c r="F546" t="s">
        <v>472</v>
      </c>
      <c r="G546">
        <v>3</v>
      </c>
      <c r="H546" s="2">
        <v>300000</v>
      </c>
      <c r="I546">
        <v>2</v>
      </c>
      <c r="J546" t="s">
        <v>115</v>
      </c>
    </row>
    <row r="547" spans="1:10" hidden="1" x14ac:dyDescent="0.25">
      <c r="A547">
        <v>5</v>
      </c>
      <c r="B547" s="1">
        <v>45919</v>
      </c>
      <c r="C547" t="s">
        <v>7</v>
      </c>
      <c r="D547" t="s">
        <v>101</v>
      </c>
      <c r="E547" t="s">
        <v>459</v>
      </c>
      <c r="F547" t="s">
        <v>465</v>
      </c>
      <c r="G547">
        <v>7</v>
      </c>
      <c r="H547" s="2">
        <v>700000</v>
      </c>
      <c r="I547">
        <v>3</v>
      </c>
      <c r="J547" t="s">
        <v>101</v>
      </c>
    </row>
    <row r="548" spans="1:10" hidden="1" x14ac:dyDescent="0.25">
      <c r="A548">
        <v>5</v>
      </c>
      <c r="B548" s="1">
        <v>45919</v>
      </c>
      <c r="C548" t="s">
        <v>7</v>
      </c>
      <c r="D548" t="s">
        <v>104</v>
      </c>
      <c r="E548" t="s">
        <v>459</v>
      </c>
      <c r="F548" t="s">
        <v>465</v>
      </c>
      <c r="G548">
        <v>12</v>
      </c>
      <c r="H548" s="2">
        <v>1200000</v>
      </c>
      <c r="I548">
        <v>3</v>
      </c>
      <c r="J548" t="s">
        <v>104</v>
      </c>
    </row>
    <row r="549" spans="1:10" hidden="1" x14ac:dyDescent="0.25">
      <c r="A549">
        <v>5</v>
      </c>
      <c r="B549" s="1">
        <v>45919</v>
      </c>
      <c r="C549" t="s">
        <v>7</v>
      </c>
      <c r="D549" t="s">
        <v>231</v>
      </c>
      <c r="E549" t="s">
        <v>459</v>
      </c>
      <c r="F549" t="s">
        <v>464</v>
      </c>
      <c r="G549">
        <v>7</v>
      </c>
      <c r="H549" s="2">
        <v>700000</v>
      </c>
      <c r="I549">
        <v>3</v>
      </c>
      <c r="J549" t="s">
        <v>414</v>
      </c>
    </row>
    <row r="550" spans="1:10" hidden="1" x14ac:dyDescent="0.25">
      <c r="A550">
        <v>5</v>
      </c>
      <c r="B550" s="1">
        <v>45919</v>
      </c>
      <c r="C550" t="s">
        <v>7</v>
      </c>
      <c r="D550" t="s">
        <v>330</v>
      </c>
      <c r="E550" t="s">
        <v>459</v>
      </c>
      <c r="F550" t="s">
        <v>451</v>
      </c>
      <c r="G550">
        <v>0</v>
      </c>
      <c r="H550" s="2">
        <v>0</v>
      </c>
      <c r="I550">
        <v>3</v>
      </c>
      <c r="J550" t="s">
        <v>356</v>
      </c>
    </row>
    <row r="551" spans="1:10" hidden="1" x14ac:dyDescent="0.25">
      <c r="A551">
        <v>5</v>
      </c>
      <c r="B551" s="1">
        <v>45919</v>
      </c>
      <c r="C551" t="s">
        <v>7</v>
      </c>
      <c r="D551" t="s">
        <v>281</v>
      </c>
      <c r="E551" t="s">
        <v>89</v>
      </c>
      <c r="F551" t="s">
        <v>496</v>
      </c>
      <c r="G551">
        <v>9</v>
      </c>
      <c r="H551" s="2">
        <v>900000</v>
      </c>
      <c r="I551">
        <v>4</v>
      </c>
      <c r="J551" t="s">
        <v>397</v>
      </c>
    </row>
    <row r="552" spans="1:10" hidden="1" x14ac:dyDescent="0.25">
      <c r="A552">
        <v>6</v>
      </c>
      <c r="B552" s="1">
        <v>45923</v>
      </c>
      <c r="C552" t="s">
        <v>10</v>
      </c>
      <c r="D552" t="s">
        <v>228</v>
      </c>
      <c r="E552" t="s">
        <v>77</v>
      </c>
      <c r="F552" t="s">
        <v>451</v>
      </c>
      <c r="G552">
        <v>7</v>
      </c>
      <c r="H552" s="2">
        <v>700000</v>
      </c>
      <c r="I552">
        <v>1</v>
      </c>
      <c r="J552" t="s">
        <v>228</v>
      </c>
    </row>
    <row r="553" spans="1:10" hidden="1" x14ac:dyDescent="0.25">
      <c r="A553">
        <v>6</v>
      </c>
      <c r="B553" s="1">
        <v>45923</v>
      </c>
      <c r="C553" t="s">
        <v>10</v>
      </c>
      <c r="D553" t="s">
        <v>296</v>
      </c>
      <c r="E553" t="s">
        <v>219</v>
      </c>
      <c r="F553" t="s">
        <v>461</v>
      </c>
      <c r="G553">
        <v>5</v>
      </c>
      <c r="H553" s="2">
        <v>500000</v>
      </c>
      <c r="I553">
        <v>2</v>
      </c>
      <c r="J553" t="s">
        <v>296</v>
      </c>
    </row>
    <row r="554" spans="1:10" hidden="1" x14ac:dyDescent="0.25">
      <c r="A554">
        <v>6</v>
      </c>
      <c r="B554" s="1">
        <v>45923</v>
      </c>
      <c r="C554" t="s">
        <v>10</v>
      </c>
      <c r="D554" t="s">
        <v>313</v>
      </c>
      <c r="E554" t="s">
        <v>219</v>
      </c>
      <c r="F554" t="s">
        <v>447</v>
      </c>
      <c r="G554">
        <v>4</v>
      </c>
      <c r="H554" s="2">
        <v>400000</v>
      </c>
      <c r="I554">
        <v>2</v>
      </c>
      <c r="J554" t="s">
        <v>647</v>
      </c>
    </row>
    <row r="555" spans="1:10" hidden="1" x14ac:dyDescent="0.25">
      <c r="A555">
        <v>6</v>
      </c>
      <c r="B555" s="1">
        <v>45923</v>
      </c>
      <c r="C555" t="s">
        <v>10</v>
      </c>
      <c r="D555" t="s">
        <v>277</v>
      </c>
      <c r="E555" t="s">
        <v>219</v>
      </c>
      <c r="F555" t="s">
        <v>498</v>
      </c>
      <c r="G555">
        <v>3</v>
      </c>
      <c r="H555" s="2">
        <v>300000</v>
      </c>
      <c r="I555">
        <v>2</v>
      </c>
      <c r="J555" t="s">
        <v>355</v>
      </c>
    </row>
    <row r="556" spans="1:10" hidden="1" x14ac:dyDescent="0.25">
      <c r="A556">
        <v>6</v>
      </c>
      <c r="B556" s="1">
        <v>45923</v>
      </c>
      <c r="C556" t="s">
        <v>10</v>
      </c>
      <c r="D556" t="s">
        <v>271</v>
      </c>
      <c r="E556" t="s">
        <v>459</v>
      </c>
      <c r="F556" t="s">
        <v>514</v>
      </c>
      <c r="G556">
        <v>14</v>
      </c>
      <c r="H556" s="2">
        <v>1400000</v>
      </c>
      <c r="I556">
        <v>3</v>
      </c>
      <c r="J556" t="s">
        <v>558</v>
      </c>
    </row>
    <row r="557" spans="1:10" hidden="1" x14ac:dyDescent="0.25">
      <c r="A557">
        <v>6</v>
      </c>
      <c r="B557" s="1">
        <v>45923</v>
      </c>
      <c r="C557" t="s">
        <v>10</v>
      </c>
      <c r="D557" t="s">
        <v>285</v>
      </c>
      <c r="E557" t="s">
        <v>459</v>
      </c>
      <c r="F557" t="s">
        <v>449</v>
      </c>
      <c r="G557">
        <v>2</v>
      </c>
      <c r="H557" s="2">
        <v>200000</v>
      </c>
      <c r="I557">
        <v>3</v>
      </c>
      <c r="J557" t="s">
        <v>285</v>
      </c>
    </row>
    <row r="558" spans="1:10" hidden="1" x14ac:dyDescent="0.25">
      <c r="A558">
        <v>6</v>
      </c>
      <c r="B558" s="1">
        <v>45923</v>
      </c>
      <c r="C558" t="s">
        <v>10</v>
      </c>
      <c r="D558" t="s">
        <v>302</v>
      </c>
      <c r="E558" t="s">
        <v>459</v>
      </c>
      <c r="F558" t="s">
        <v>447</v>
      </c>
      <c r="G558">
        <v>1</v>
      </c>
      <c r="H558" s="2">
        <v>100000</v>
      </c>
      <c r="I558">
        <v>3</v>
      </c>
      <c r="J558" t="s">
        <v>507</v>
      </c>
    </row>
    <row r="559" spans="1:10" hidden="1" x14ac:dyDescent="0.25">
      <c r="A559">
        <v>6</v>
      </c>
      <c r="B559" s="1">
        <v>45923</v>
      </c>
      <c r="C559" t="s">
        <v>10</v>
      </c>
      <c r="D559" t="s">
        <v>358</v>
      </c>
      <c r="E559" t="s">
        <v>459</v>
      </c>
      <c r="F559" t="s">
        <v>485</v>
      </c>
      <c r="G559">
        <v>2</v>
      </c>
      <c r="H559" s="2">
        <v>200000</v>
      </c>
      <c r="I559">
        <v>3</v>
      </c>
      <c r="J559" t="s">
        <v>547</v>
      </c>
    </row>
    <row r="560" spans="1:10" hidden="1" x14ac:dyDescent="0.25">
      <c r="A560">
        <v>6</v>
      </c>
      <c r="B560" s="1">
        <v>45923</v>
      </c>
      <c r="C560" t="s">
        <v>10</v>
      </c>
      <c r="D560" t="s">
        <v>88</v>
      </c>
      <c r="E560" t="s">
        <v>459</v>
      </c>
      <c r="F560" t="s">
        <v>472</v>
      </c>
      <c r="G560">
        <v>6</v>
      </c>
      <c r="H560" s="2">
        <v>600000</v>
      </c>
      <c r="I560">
        <v>3</v>
      </c>
      <c r="J560" t="s">
        <v>88</v>
      </c>
    </row>
    <row r="561" spans="1:10" hidden="1" x14ac:dyDescent="0.25">
      <c r="A561">
        <v>6</v>
      </c>
      <c r="B561" s="1">
        <v>45923</v>
      </c>
      <c r="C561" t="s">
        <v>10</v>
      </c>
      <c r="D561" t="s">
        <v>314</v>
      </c>
      <c r="E561" t="s">
        <v>89</v>
      </c>
      <c r="F561" t="s">
        <v>485</v>
      </c>
      <c r="G561">
        <v>2</v>
      </c>
      <c r="H561" s="2">
        <v>200000</v>
      </c>
      <c r="I561">
        <v>4</v>
      </c>
      <c r="J561" t="s">
        <v>509</v>
      </c>
    </row>
    <row r="562" spans="1:10" hidden="1" x14ac:dyDescent="0.25">
      <c r="A562">
        <v>6</v>
      </c>
      <c r="B562" s="1">
        <v>45923</v>
      </c>
      <c r="C562" t="s">
        <v>10</v>
      </c>
      <c r="D562" t="s">
        <v>274</v>
      </c>
      <c r="E562" t="s">
        <v>89</v>
      </c>
      <c r="F562" t="s">
        <v>496</v>
      </c>
      <c r="G562">
        <v>5</v>
      </c>
      <c r="H562" s="2">
        <v>500000</v>
      </c>
      <c r="I562">
        <v>4</v>
      </c>
      <c r="J562" t="s">
        <v>274</v>
      </c>
    </row>
    <row r="563" spans="1:10" hidden="1" x14ac:dyDescent="0.25">
      <c r="A563">
        <v>6</v>
      </c>
      <c r="B563" s="1">
        <v>45923</v>
      </c>
      <c r="C563" t="s">
        <v>14</v>
      </c>
      <c r="D563" t="s">
        <v>229</v>
      </c>
      <c r="E563" t="s">
        <v>77</v>
      </c>
      <c r="F563" t="s">
        <v>480</v>
      </c>
      <c r="G563">
        <v>8</v>
      </c>
      <c r="H563" s="2">
        <v>800000</v>
      </c>
      <c r="I563">
        <v>1</v>
      </c>
      <c r="J563" t="s">
        <v>738</v>
      </c>
    </row>
    <row r="564" spans="1:10" hidden="1" x14ac:dyDescent="0.25">
      <c r="A564">
        <v>6</v>
      </c>
      <c r="B564" s="1">
        <v>45923</v>
      </c>
      <c r="C564" t="s">
        <v>14</v>
      </c>
      <c r="D564" t="s">
        <v>182</v>
      </c>
      <c r="E564" t="s">
        <v>219</v>
      </c>
      <c r="F564" t="s">
        <v>474</v>
      </c>
      <c r="G564">
        <v>8</v>
      </c>
      <c r="H564" s="2">
        <v>800000</v>
      </c>
      <c r="I564">
        <v>2</v>
      </c>
      <c r="J564" t="s">
        <v>711</v>
      </c>
    </row>
    <row r="565" spans="1:10" hidden="1" x14ac:dyDescent="0.25">
      <c r="A565">
        <v>6</v>
      </c>
      <c r="B565" s="1">
        <v>45923</v>
      </c>
      <c r="C565" t="s">
        <v>14</v>
      </c>
      <c r="D565" t="s">
        <v>307</v>
      </c>
      <c r="E565" t="s">
        <v>219</v>
      </c>
      <c r="F565" t="s">
        <v>465</v>
      </c>
      <c r="G565">
        <v>2</v>
      </c>
      <c r="H565" s="2">
        <v>200000</v>
      </c>
      <c r="I565">
        <v>2</v>
      </c>
      <c r="J565" t="s">
        <v>307</v>
      </c>
    </row>
    <row r="566" spans="1:10" hidden="1" x14ac:dyDescent="0.25">
      <c r="A566">
        <v>6</v>
      </c>
      <c r="B566" s="1">
        <v>45923</v>
      </c>
      <c r="C566" t="s">
        <v>14</v>
      </c>
      <c r="D566" t="s">
        <v>362</v>
      </c>
      <c r="E566" t="s">
        <v>219</v>
      </c>
      <c r="F566" t="s">
        <v>458</v>
      </c>
      <c r="G566">
        <v>0</v>
      </c>
      <c r="H566" s="2">
        <v>0</v>
      </c>
      <c r="I566">
        <v>2</v>
      </c>
      <c r="J566" t="s">
        <v>362</v>
      </c>
    </row>
    <row r="567" spans="1:10" hidden="1" x14ac:dyDescent="0.25">
      <c r="A567">
        <v>6</v>
      </c>
      <c r="B567" s="1">
        <v>45923</v>
      </c>
      <c r="C567" t="s">
        <v>14</v>
      </c>
      <c r="D567" t="s">
        <v>144</v>
      </c>
      <c r="E567" t="s">
        <v>459</v>
      </c>
      <c r="F567" t="s">
        <v>453</v>
      </c>
      <c r="G567">
        <v>2</v>
      </c>
      <c r="H567" s="2">
        <v>200000</v>
      </c>
      <c r="I567">
        <v>3</v>
      </c>
      <c r="J567" t="s">
        <v>144</v>
      </c>
    </row>
    <row r="568" spans="1:10" hidden="1" x14ac:dyDescent="0.25">
      <c r="A568">
        <v>6</v>
      </c>
      <c r="B568" s="1">
        <v>45923</v>
      </c>
      <c r="C568" t="s">
        <v>14</v>
      </c>
      <c r="D568" t="s">
        <v>60</v>
      </c>
      <c r="E568" t="s">
        <v>459</v>
      </c>
      <c r="F568" t="s">
        <v>464</v>
      </c>
      <c r="G568">
        <v>7</v>
      </c>
      <c r="H568" s="2">
        <v>700000</v>
      </c>
      <c r="I568">
        <v>3</v>
      </c>
      <c r="J568" t="s">
        <v>340</v>
      </c>
    </row>
    <row r="569" spans="1:10" hidden="1" x14ac:dyDescent="0.25">
      <c r="A569">
        <v>6</v>
      </c>
      <c r="B569" s="1">
        <v>45923</v>
      </c>
      <c r="C569" t="s">
        <v>14</v>
      </c>
      <c r="D569" t="s">
        <v>68</v>
      </c>
      <c r="E569" t="s">
        <v>459</v>
      </c>
      <c r="F569" t="s">
        <v>461</v>
      </c>
      <c r="G569">
        <v>0</v>
      </c>
      <c r="H569" s="2">
        <v>0</v>
      </c>
      <c r="I569">
        <v>3</v>
      </c>
      <c r="J569" t="s">
        <v>68</v>
      </c>
    </row>
    <row r="570" spans="1:10" hidden="1" x14ac:dyDescent="0.25">
      <c r="A570">
        <v>6</v>
      </c>
      <c r="B570" s="1">
        <v>45923</v>
      </c>
      <c r="C570" t="s">
        <v>14</v>
      </c>
      <c r="D570" t="s">
        <v>176</v>
      </c>
      <c r="E570" t="s">
        <v>459</v>
      </c>
      <c r="F570" t="s">
        <v>480</v>
      </c>
      <c r="G570">
        <v>13</v>
      </c>
      <c r="H570" s="2">
        <v>1300000</v>
      </c>
      <c r="I570">
        <v>3</v>
      </c>
      <c r="J570" t="s">
        <v>176</v>
      </c>
    </row>
    <row r="571" spans="1:10" hidden="1" x14ac:dyDescent="0.25">
      <c r="A571">
        <v>6</v>
      </c>
      <c r="B571" s="1">
        <v>45923</v>
      </c>
      <c r="C571" t="s">
        <v>14</v>
      </c>
      <c r="D571" t="s">
        <v>327</v>
      </c>
      <c r="E571" t="s">
        <v>459</v>
      </c>
      <c r="F571" t="s">
        <v>458</v>
      </c>
      <c r="G571">
        <v>0</v>
      </c>
      <c r="H571" s="2">
        <v>0</v>
      </c>
      <c r="I571">
        <v>3</v>
      </c>
      <c r="J571" t="s">
        <v>327</v>
      </c>
    </row>
    <row r="572" spans="1:10" hidden="1" x14ac:dyDescent="0.25">
      <c r="A572">
        <v>6</v>
      </c>
      <c r="B572" s="1">
        <v>45923</v>
      </c>
      <c r="C572" t="s">
        <v>14</v>
      </c>
      <c r="D572" t="s">
        <v>195</v>
      </c>
      <c r="E572" t="s">
        <v>89</v>
      </c>
      <c r="F572" t="s">
        <v>472</v>
      </c>
      <c r="G572">
        <v>4</v>
      </c>
      <c r="H572" s="2">
        <v>400000</v>
      </c>
      <c r="I572">
        <v>4</v>
      </c>
      <c r="J572" t="s">
        <v>195</v>
      </c>
    </row>
    <row r="573" spans="1:10" hidden="1" x14ac:dyDescent="0.25">
      <c r="A573">
        <v>6</v>
      </c>
      <c r="B573" s="1">
        <v>45923</v>
      </c>
      <c r="C573" t="s">
        <v>14</v>
      </c>
      <c r="D573" t="s">
        <v>159</v>
      </c>
      <c r="E573" t="s">
        <v>89</v>
      </c>
      <c r="F573" t="s">
        <v>465</v>
      </c>
      <c r="G573">
        <v>1</v>
      </c>
      <c r="H573" s="2">
        <v>100000</v>
      </c>
      <c r="I573">
        <v>4</v>
      </c>
      <c r="J573" t="s">
        <v>352</v>
      </c>
    </row>
    <row r="574" spans="1:10" hidden="1" x14ac:dyDescent="0.25">
      <c r="A574">
        <v>6</v>
      </c>
      <c r="B574" s="1">
        <v>45923</v>
      </c>
      <c r="C574" t="s">
        <v>768</v>
      </c>
      <c r="D574" t="s">
        <v>297</v>
      </c>
      <c r="E574" t="s">
        <v>77</v>
      </c>
      <c r="F574" t="s">
        <v>447</v>
      </c>
      <c r="G574">
        <v>7</v>
      </c>
      <c r="H574" s="2">
        <v>700000</v>
      </c>
      <c r="I574">
        <v>1</v>
      </c>
      <c r="J574" t="s">
        <v>297</v>
      </c>
    </row>
    <row r="575" spans="1:10" hidden="1" x14ac:dyDescent="0.25">
      <c r="A575">
        <v>6</v>
      </c>
      <c r="B575" s="1">
        <v>45923</v>
      </c>
      <c r="C575" t="s">
        <v>768</v>
      </c>
      <c r="D575" t="s">
        <v>114</v>
      </c>
      <c r="E575" t="s">
        <v>219</v>
      </c>
      <c r="F575" t="s">
        <v>469</v>
      </c>
      <c r="G575">
        <v>8</v>
      </c>
      <c r="H575" s="2">
        <v>800000</v>
      </c>
      <c r="I575">
        <v>2</v>
      </c>
      <c r="J575" t="s">
        <v>114</v>
      </c>
    </row>
    <row r="576" spans="1:10" hidden="1" x14ac:dyDescent="0.25">
      <c r="A576">
        <v>6</v>
      </c>
      <c r="B576" s="1">
        <v>45923</v>
      </c>
      <c r="C576" t="s">
        <v>768</v>
      </c>
      <c r="D576" t="s">
        <v>172</v>
      </c>
      <c r="E576" t="s">
        <v>219</v>
      </c>
      <c r="F576" t="s">
        <v>498</v>
      </c>
      <c r="G576">
        <v>0</v>
      </c>
      <c r="H576" s="2">
        <v>0</v>
      </c>
      <c r="I576">
        <v>2</v>
      </c>
      <c r="J576" t="s">
        <v>389</v>
      </c>
    </row>
    <row r="577" spans="1:10" hidden="1" x14ac:dyDescent="0.25">
      <c r="A577">
        <v>6</v>
      </c>
      <c r="B577" s="1">
        <v>45923</v>
      </c>
      <c r="C577" t="s">
        <v>768</v>
      </c>
      <c r="D577" t="s">
        <v>276</v>
      </c>
      <c r="E577" t="s">
        <v>219</v>
      </c>
      <c r="F577" t="s">
        <v>514</v>
      </c>
      <c r="G577">
        <v>1</v>
      </c>
      <c r="H577" s="2">
        <v>100000</v>
      </c>
      <c r="I577">
        <v>2</v>
      </c>
      <c r="J577" t="s">
        <v>276</v>
      </c>
    </row>
    <row r="578" spans="1:10" hidden="1" x14ac:dyDescent="0.25">
      <c r="A578">
        <v>6</v>
      </c>
      <c r="B578" s="1">
        <v>45923</v>
      </c>
      <c r="C578" t="s">
        <v>768</v>
      </c>
      <c r="D578" t="s">
        <v>175</v>
      </c>
      <c r="E578" t="s">
        <v>219</v>
      </c>
      <c r="F578" t="s">
        <v>472</v>
      </c>
      <c r="G578">
        <v>8</v>
      </c>
      <c r="H578" s="2">
        <v>800000</v>
      </c>
      <c r="I578">
        <v>2</v>
      </c>
      <c r="J578" t="s">
        <v>175</v>
      </c>
    </row>
    <row r="579" spans="1:10" hidden="1" x14ac:dyDescent="0.25">
      <c r="A579">
        <v>6</v>
      </c>
      <c r="B579" s="1">
        <v>45923</v>
      </c>
      <c r="C579" t="s">
        <v>768</v>
      </c>
      <c r="D579" t="s">
        <v>47</v>
      </c>
      <c r="E579" t="s">
        <v>459</v>
      </c>
      <c r="F579" t="s">
        <v>469</v>
      </c>
      <c r="G579">
        <v>14</v>
      </c>
      <c r="H579" s="2">
        <v>1400000</v>
      </c>
      <c r="I579">
        <v>3</v>
      </c>
      <c r="J579" t="s">
        <v>47</v>
      </c>
    </row>
    <row r="580" spans="1:10" hidden="1" x14ac:dyDescent="0.25">
      <c r="A580">
        <v>6</v>
      </c>
      <c r="B580" s="1">
        <v>45923</v>
      </c>
      <c r="C580" t="s">
        <v>768</v>
      </c>
      <c r="D580" t="s">
        <v>45</v>
      </c>
      <c r="E580" t="s">
        <v>459</v>
      </c>
      <c r="F580" t="s">
        <v>474</v>
      </c>
      <c r="G580">
        <v>4</v>
      </c>
      <c r="H580" s="2">
        <v>400000</v>
      </c>
      <c r="I580">
        <v>3</v>
      </c>
      <c r="J580" t="s">
        <v>396</v>
      </c>
    </row>
    <row r="581" spans="1:10" hidden="1" x14ac:dyDescent="0.25">
      <c r="A581">
        <v>6</v>
      </c>
      <c r="B581" s="1">
        <v>45923</v>
      </c>
      <c r="C581" t="s">
        <v>768</v>
      </c>
      <c r="D581" t="s">
        <v>263</v>
      </c>
      <c r="E581" t="s">
        <v>459</v>
      </c>
      <c r="F581" t="s">
        <v>496</v>
      </c>
      <c r="G581">
        <v>0</v>
      </c>
      <c r="H581" s="2">
        <v>0</v>
      </c>
      <c r="I581">
        <v>3</v>
      </c>
      <c r="J581" t="s">
        <v>412</v>
      </c>
    </row>
    <row r="582" spans="1:10" hidden="1" x14ac:dyDescent="0.25">
      <c r="A582">
        <v>6</v>
      </c>
      <c r="B582" s="1">
        <v>45923</v>
      </c>
      <c r="C582" t="s">
        <v>768</v>
      </c>
      <c r="D582" t="s">
        <v>326</v>
      </c>
      <c r="E582" t="s">
        <v>459</v>
      </c>
      <c r="F582" t="s">
        <v>456</v>
      </c>
      <c r="G582">
        <v>6</v>
      </c>
      <c r="H582" s="2">
        <v>600000</v>
      </c>
      <c r="I582">
        <v>3</v>
      </c>
      <c r="J582" t="s">
        <v>404</v>
      </c>
    </row>
    <row r="583" spans="1:10" hidden="1" x14ac:dyDescent="0.25">
      <c r="A583">
        <v>6</v>
      </c>
      <c r="B583" s="1">
        <v>45923</v>
      </c>
      <c r="C583" t="s">
        <v>768</v>
      </c>
      <c r="D583" t="s">
        <v>120</v>
      </c>
      <c r="E583" t="s">
        <v>459</v>
      </c>
      <c r="F583" t="s">
        <v>451</v>
      </c>
      <c r="G583">
        <v>4</v>
      </c>
      <c r="H583" s="2">
        <v>400000</v>
      </c>
      <c r="I583">
        <v>3</v>
      </c>
      <c r="J583" t="s">
        <v>120</v>
      </c>
    </row>
    <row r="584" spans="1:10" hidden="1" x14ac:dyDescent="0.25">
      <c r="A584">
        <v>6</v>
      </c>
      <c r="B584" s="1">
        <v>45923</v>
      </c>
      <c r="C584" t="s">
        <v>768</v>
      </c>
      <c r="D584" t="s">
        <v>295</v>
      </c>
      <c r="E584" t="s">
        <v>89</v>
      </c>
      <c r="F584" t="s">
        <v>514</v>
      </c>
      <c r="G584">
        <v>0</v>
      </c>
      <c r="H584" s="2">
        <v>0</v>
      </c>
      <c r="I584">
        <v>4</v>
      </c>
      <c r="J584" t="s">
        <v>295</v>
      </c>
    </row>
    <row r="585" spans="1:10" hidden="1" x14ac:dyDescent="0.25">
      <c r="A585">
        <v>6</v>
      </c>
      <c r="B585" s="1">
        <v>45923</v>
      </c>
      <c r="C585" t="s">
        <v>11</v>
      </c>
      <c r="D585" t="s">
        <v>171</v>
      </c>
      <c r="E585" t="s">
        <v>77</v>
      </c>
      <c r="F585" t="s">
        <v>464</v>
      </c>
      <c r="G585">
        <v>3</v>
      </c>
      <c r="H585" s="2">
        <v>300000</v>
      </c>
      <c r="I585">
        <v>1</v>
      </c>
      <c r="J585" t="s">
        <v>171</v>
      </c>
    </row>
    <row r="586" spans="1:10" hidden="1" x14ac:dyDescent="0.25">
      <c r="A586">
        <v>6</v>
      </c>
      <c r="B586" s="1">
        <v>45923</v>
      </c>
      <c r="C586" t="s">
        <v>11</v>
      </c>
      <c r="D586" t="s">
        <v>294</v>
      </c>
      <c r="E586" t="s">
        <v>219</v>
      </c>
      <c r="F586" t="s">
        <v>456</v>
      </c>
      <c r="G586">
        <v>5</v>
      </c>
      <c r="H586" s="2">
        <v>500000</v>
      </c>
      <c r="I586">
        <v>2</v>
      </c>
      <c r="J586" t="s">
        <v>294</v>
      </c>
    </row>
    <row r="587" spans="1:10" hidden="1" x14ac:dyDescent="0.25">
      <c r="A587">
        <v>6</v>
      </c>
      <c r="B587" s="1">
        <v>45923</v>
      </c>
      <c r="C587" t="s">
        <v>11</v>
      </c>
      <c r="D587" t="s">
        <v>70</v>
      </c>
      <c r="E587" t="s">
        <v>219</v>
      </c>
      <c r="F587" t="s">
        <v>474</v>
      </c>
      <c r="G587">
        <v>5</v>
      </c>
      <c r="H587" s="2">
        <v>500000</v>
      </c>
      <c r="I587">
        <v>2</v>
      </c>
      <c r="J587" t="s">
        <v>70</v>
      </c>
    </row>
    <row r="588" spans="1:10" hidden="1" x14ac:dyDescent="0.25">
      <c r="A588">
        <v>6</v>
      </c>
      <c r="B588" s="1">
        <v>45923</v>
      </c>
      <c r="C588" t="s">
        <v>11</v>
      </c>
      <c r="D588" t="s">
        <v>174</v>
      </c>
      <c r="E588" t="s">
        <v>219</v>
      </c>
      <c r="F588" t="s">
        <v>488</v>
      </c>
      <c r="G588">
        <v>0</v>
      </c>
      <c r="H588" s="2">
        <v>0</v>
      </c>
      <c r="I588">
        <v>2</v>
      </c>
      <c r="J588" t="s">
        <v>174</v>
      </c>
    </row>
    <row r="589" spans="1:10" hidden="1" x14ac:dyDescent="0.25">
      <c r="A589">
        <v>6</v>
      </c>
      <c r="B589" s="1">
        <v>45923</v>
      </c>
      <c r="C589" t="s">
        <v>11</v>
      </c>
      <c r="D589" t="s">
        <v>226</v>
      </c>
      <c r="E589" t="s">
        <v>219</v>
      </c>
      <c r="F589" t="s">
        <v>464</v>
      </c>
      <c r="G589">
        <v>7</v>
      </c>
      <c r="H589" s="2">
        <v>700000</v>
      </c>
      <c r="I589">
        <v>2</v>
      </c>
      <c r="J589" t="s">
        <v>380</v>
      </c>
    </row>
    <row r="590" spans="1:10" hidden="1" x14ac:dyDescent="0.25">
      <c r="A590">
        <v>6</v>
      </c>
      <c r="B590" s="1">
        <v>45923</v>
      </c>
      <c r="C590" t="s">
        <v>11</v>
      </c>
      <c r="D590" t="s">
        <v>43</v>
      </c>
      <c r="E590" t="s">
        <v>219</v>
      </c>
      <c r="F590" t="s">
        <v>480</v>
      </c>
      <c r="G590">
        <v>5</v>
      </c>
      <c r="H590" s="2">
        <v>500000</v>
      </c>
      <c r="I590">
        <v>2</v>
      </c>
      <c r="J590" t="s">
        <v>43</v>
      </c>
    </row>
    <row r="591" spans="1:10" hidden="1" x14ac:dyDescent="0.25">
      <c r="A591">
        <v>6</v>
      </c>
      <c r="B591" s="1">
        <v>45923</v>
      </c>
      <c r="C591" t="s">
        <v>11</v>
      </c>
      <c r="D591" t="s">
        <v>38</v>
      </c>
      <c r="E591" t="s">
        <v>459</v>
      </c>
      <c r="F591" t="s">
        <v>448</v>
      </c>
      <c r="G591">
        <v>12</v>
      </c>
      <c r="H591" s="2">
        <v>1200000</v>
      </c>
      <c r="I591">
        <v>3</v>
      </c>
      <c r="J591" t="s">
        <v>373</v>
      </c>
    </row>
    <row r="592" spans="1:10" hidden="1" x14ac:dyDescent="0.25">
      <c r="A592">
        <v>6</v>
      </c>
      <c r="B592" s="1">
        <v>45923</v>
      </c>
      <c r="C592" t="s">
        <v>11</v>
      </c>
      <c r="D592" t="s">
        <v>239</v>
      </c>
      <c r="E592" t="s">
        <v>459</v>
      </c>
      <c r="F592" t="s">
        <v>474</v>
      </c>
      <c r="G592">
        <v>4</v>
      </c>
      <c r="H592" s="2">
        <v>400000</v>
      </c>
      <c r="I592">
        <v>3</v>
      </c>
      <c r="J592" t="s">
        <v>239</v>
      </c>
    </row>
    <row r="593" spans="1:10" hidden="1" x14ac:dyDescent="0.25">
      <c r="A593">
        <v>6</v>
      </c>
      <c r="B593" s="1">
        <v>45923</v>
      </c>
      <c r="C593" t="s">
        <v>11</v>
      </c>
      <c r="D593" t="s">
        <v>104</v>
      </c>
      <c r="E593" t="s">
        <v>459</v>
      </c>
      <c r="F593" t="s">
        <v>465</v>
      </c>
      <c r="G593">
        <v>1</v>
      </c>
      <c r="H593" s="2">
        <v>100000</v>
      </c>
      <c r="I593">
        <v>3</v>
      </c>
      <c r="J593" t="s">
        <v>104</v>
      </c>
    </row>
    <row r="594" spans="1:10" hidden="1" x14ac:dyDescent="0.25">
      <c r="A594">
        <v>6</v>
      </c>
      <c r="B594" s="1">
        <v>45923</v>
      </c>
      <c r="C594" t="s">
        <v>11</v>
      </c>
      <c r="D594" t="s">
        <v>308</v>
      </c>
      <c r="E594" t="s">
        <v>89</v>
      </c>
      <c r="F594" t="s">
        <v>474</v>
      </c>
      <c r="G594">
        <v>9</v>
      </c>
      <c r="H594" s="2">
        <v>900000</v>
      </c>
      <c r="I594">
        <v>4</v>
      </c>
      <c r="J594" t="s">
        <v>308</v>
      </c>
    </row>
    <row r="595" spans="1:10" hidden="1" x14ac:dyDescent="0.25">
      <c r="A595">
        <v>6</v>
      </c>
      <c r="B595" s="1">
        <v>45923</v>
      </c>
      <c r="C595" t="s">
        <v>11</v>
      </c>
      <c r="D595" t="s">
        <v>105</v>
      </c>
      <c r="E595" t="s">
        <v>89</v>
      </c>
      <c r="F595" t="s">
        <v>474</v>
      </c>
      <c r="G595">
        <v>2</v>
      </c>
      <c r="H595" s="2">
        <v>200000</v>
      </c>
      <c r="I595">
        <v>4</v>
      </c>
      <c r="J595" t="s">
        <v>415</v>
      </c>
    </row>
    <row r="596" spans="1:10" hidden="1" x14ac:dyDescent="0.25">
      <c r="A596">
        <v>6</v>
      </c>
      <c r="B596" s="1">
        <v>45923</v>
      </c>
      <c r="C596" t="s">
        <v>12</v>
      </c>
      <c r="D596" t="s">
        <v>332</v>
      </c>
      <c r="E596" t="s">
        <v>77</v>
      </c>
      <c r="F596" t="s">
        <v>474</v>
      </c>
      <c r="G596">
        <v>0</v>
      </c>
      <c r="H596" s="2">
        <v>0</v>
      </c>
      <c r="I596">
        <v>1</v>
      </c>
      <c r="J596" t="s">
        <v>403</v>
      </c>
    </row>
    <row r="597" spans="1:10" hidden="1" x14ac:dyDescent="0.25">
      <c r="A597">
        <v>6</v>
      </c>
      <c r="B597" s="1">
        <v>45923</v>
      </c>
      <c r="C597" t="s">
        <v>12</v>
      </c>
      <c r="D597" t="s">
        <v>233</v>
      </c>
      <c r="E597" t="s">
        <v>219</v>
      </c>
      <c r="F597" t="s">
        <v>458</v>
      </c>
      <c r="G597">
        <v>5</v>
      </c>
      <c r="H597" s="2">
        <v>500000</v>
      </c>
      <c r="I597">
        <v>2</v>
      </c>
      <c r="J597" t="s">
        <v>233</v>
      </c>
    </row>
    <row r="598" spans="1:10" hidden="1" x14ac:dyDescent="0.25">
      <c r="A598">
        <v>6</v>
      </c>
      <c r="B598" s="1">
        <v>45923</v>
      </c>
      <c r="C598" t="s">
        <v>12</v>
      </c>
      <c r="D598" t="s">
        <v>335</v>
      </c>
      <c r="E598" t="s">
        <v>219</v>
      </c>
      <c r="F598" t="s">
        <v>480</v>
      </c>
      <c r="G598">
        <v>6</v>
      </c>
      <c r="H598" s="2">
        <v>600000</v>
      </c>
      <c r="I598">
        <v>2</v>
      </c>
      <c r="J598" t="s">
        <v>335</v>
      </c>
    </row>
    <row r="599" spans="1:10" hidden="1" x14ac:dyDescent="0.25">
      <c r="A599">
        <v>6</v>
      </c>
      <c r="B599" s="1">
        <v>45923</v>
      </c>
      <c r="C599" t="s">
        <v>12</v>
      </c>
      <c r="D599" t="s">
        <v>334</v>
      </c>
      <c r="E599" t="s">
        <v>219</v>
      </c>
      <c r="F599" t="s">
        <v>456</v>
      </c>
      <c r="G599">
        <v>3</v>
      </c>
      <c r="H599" s="2">
        <v>300000</v>
      </c>
      <c r="I599">
        <v>2</v>
      </c>
      <c r="J599" t="s">
        <v>565</v>
      </c>
    </row>
    <row r="600" spans="1:10" hidden="1" x14ac:dyDescent="0.25">
      <c r="A600">
        <v>6</v>
      </c>
      <c r="B600" s="1">
        <v>45923</v>
      </c>
      <c r="C600" t="s">
        <v>12</v>
      </c>
      <c r="D600" t="s">
        <v>152</v>
      </c>
      <c r="E600" t="s">
        <v>219</v>
      </c>
      <c r="F600" t="s">
        <v>447</v>
      </c>
      <c r="G600">
        <v>11</v>
      </c>
      <c r="H600" s="2">
        <v>1100000</v>
      </c>
      <c r="I600">
        <v>2</v>
      </c>
      <c r="J600" t="s">
        <v>390</v>
      </c>
    </row>
    <row r="601" spans="1:10" hidden="1" x14ac:dyDescent="0.25">
      <c r="A601">
        <v>6</v>
      </c>
      <c r="B601" s="1">
        <v>45923</v>
      </c>
      <c r="C601" t="s">
        <v>12</v>
      </c>
      <c r="D601" t="s">
        <v>119</v>
      </c>
      <c r="E601" t="s">
        <v>459</v>
      </c>
      <c r="F601" t="s">
        <v>464</v>
      </c>
      <c r="G601">
        <v>0</v>
      </c>
      <c r="H601" s="2">
        <v>0</v>
      </c>
      <c r="I601">
        <v>3</v>
      </c>
      <c r="J601" t="s">
        <v>119</v>
      </c>
    </row>
    <row r="602" spans="1:10" hidden="1" x14ac:dyDescent="0.25">
      <c r="A602">
        <v>6</v>
      </c>
      <c r="B602" s="1">
        <v>45923</v>
      </c>
      <c r="C602" t="s">
        <v>12</v>
      </c>
      <c r="D602" t="s">
        <v>363</v>
      </c>
      <c r="E602" t="s">
        <v>459</v>
      </c>
      <c r="F602" t="s">
        <v>453</v>
      </c>
      <c r="G602">
        <v>0</v>
      </c>
      <c r="H602" s="2">
        <v>0</v>
      </c>
      <c r="I602">
        <v>3</v>
      </c>
      <c r="J602" t="s">
        <v>363</v>
      </c>
    </row>
    <row r="603" spans="1:10" hidden="1" x14ac:dyDescent="0.25">
      <c r="A603">
        <v>6</v>
      </c>
      <c r="B603" s="1">
        <v>45923</v>
      </c>
      <c r="C603" t="s">
        <v>12</v>
      </c>
      <c r="D603" t="s">
        <v>158</v>
      </c>
      <c r="E603" t="s">
        <v>459</v>
      </c>
      <c r="F603" t="s">
        <v>469</v>
      </c>
      <c r="G603">
        <v>3</v>
      </c>
      <c r="H603" s="2">
        <v>300000</v>
      </c>
      <c r="I603">
        <v>3</v>
      </c>
      <c r="J603" t="s">
        <v>374</v>
      </c>
    </row>
    <row r="604" spans="1:10" hidden="1" x14ac:dyDescent="0.25">
      <c r="A604">
        <v>6</v>
      </c>
      <c r="B604" s="1">
        <v>45923</v>
      </c>
      <c r="C604" t="s">
        <v>12</v>
      </c>
      <c r="D604" t="s">
        <v>319</v>
      </c>
      <c r="E604" t="s">
        <v>89</v>
      </c>
      <c r="F604" t="s">
        <v>458</v>
      </c>
      <c r="G604">
        <v>2</v>
      </c>
      <c r="H604" s="2">
        <v>200000</v>
      </c>
      <c r="I604">
        <v>4</v>
      </c>
      <c r="J604" t="s">
        <v>490</v>
      </c>
    </row>
    <row r="605" spans="1:10" hidden="1" x14ac:dyDescent="0.25">
      <c r="A605">
        <v>6</v>
      </c>
      <c r="B605" s="1">
        <v>45923</v>
      </c>
      <c r="C605" t="s">
        <v>12</v>
      </c>
      <c r="D605" t="s">
        <v>161</v>
      </c>
      <c r="E605" t="s">
        <v>89</v>
      </c>
      <c r="F605" t="s">
        <v>447</v>
      </c>
      <c r="G605">
        <v>4</v>
      </c>
      <c r="H605" s="2">
        <v>400000</v>
      </c>
      <c r="I605">
        <v>4</v>
      </c>
      <c r="J605" t="s">
        <v>161</v>
      </c>
    </row>
    <row r="606" spans="1:10" hidden="1" x14ac:dyDescent="0.25">
      <c r="A606">
        <v>6</v>
      </c>
      <c r="B606" s="1">
        <v>45923</v>
      </c>
      <c r="C606" t="s">
        <v>12</v>
      </c>
      <c r="D606" t="s">
        <v>35</v>
      </c>
      <c r="E606" t="s">
        <v>89</v>
      </c>
      <c r="F606" t="s">
        <v>453</v>
      </c>
      <c r="G606">
        <v>3</v>
      </c>
      <c r="H606" s="2">
        <v>300000</v>
      </c>
      <c r="I606">
        <v>4</v>
      </c>
      <c r="J606" t="s">
        <v>339</v>
      </c>
    </row>
    <row r="607" spans="1:10" hidden="1" x14ac:dyDescent="0.25">
      <c r="A607">
        <v>6</v>
      </c>
      <c r="B607" s="1">
        <v>45923</v>
      </c>
      <c r="C607" t="s">
        <v>6</v>
      </c>
      <c r="D607" t="s">
        <v>137</v>
      </c>
      <c r="E607" t="s">
        <v>77</v>
      </c>
      <c r="F607" t="s">
        <v>485</v>
      </c>
      <c r="G607">
        <v>3</v>
      </c>
      <c r="H607" s="2">
        <v>300000</v>
      </c>
      <c r="I607">
        <v>1</v>
      </c>
      <c r="J607" t="s">
        <v>137</v>
      </c>
    </row>
    <row r="608" spans="1:10" hidden="1" x14ac:dyDescent="0.25">
      <c r="A608">
        <v>6</v>
      </c>
      <c r="B608" s="1">
        <v>45923</v>
      </c>
      <c r="C608" t="s">
        <v>6</v>
      </c>
      <c r="D608" t="s">
        <v>118</v>
      </c>
      <c r="E608" t="s">
        <v>219</v>
      </c>
      <c r="F608" t="s">
        <v>451</v>
      </c>
      <c r="G608">
        <v>6</v>
      </c>
      <c r="H608" s="2">
        <v>600000</v>
      </c>
      <c r="I608">
        <v>2</v>
      </c>
      <c r="J608" t="s">
        <v>118</v>
      </c>
    </row>
    <row r="609" spans="1:10" hidden="1" x14ac:dyDescent="0.25">
      <c r="A609">
        <v>6</v>
      </c>
      <c r="B609" s="1">
        <v>45923</v>
      </c>
      <c r="C609" t="s">
        <v>6</v>
      </c>
      <c r="D609" t="s">
        <v>288</v>
      </c>
      <c r="E609" t="s">
        <v>219</v>
      </c>
      <c r="F609" t="s">
        <v>485</v>
      </c>
      <c r="G609">
        <v>0</v>
      </c>
      <c r="H609" s="2">
        <v>0</v>
      </c>
      <c r="I609">
        <v>2</v>
      </c>
      <c r="J609" t="s">
        <v>288</v>
      </c>
    </row>
    <row r="610" spans="1:10" hidden="1" x14ac:dyDescent="0.25">
      <c r="A610">
        <v>6</v>
      </c>
      <c r="B610" s="1">
        <v>45923</v>
      </c>
      <c r="C610" t="s">
        <v>6</v>
      </c>
      <c r="D610" t="s">
        <v>337</v>
      </c>
      <c r="E610" t="s">
        <v>219</v>
      </c>
      <c r="F610" t="s">
        <v>461</v>
      </c>
      <c r="G610">
        <v>3</v>
      </c>
      <c r="H610" s="2">
        <v>300000</v>
      </c>
      <c r="I610">
        <v>2</v>
      </c>
      <c r="J610" t="s">
        <v>337</v>
      </c>
    </row>
    <row r="611" spans="1:10" hidden="1" x14ac:dyDescent="0.25">
      <c r="A611">
        <v>6</v>
      </c>
      <c r="B611" s="1">
        <v>45923</v>
      </c>
      <c r="C611" t="s">
        <v>6</v>
      </c>
      <c r="D611" t="s">
        <v>164</v>
      </c>
      <c r="E611" t="s">
        <v>219</v>
      </c>
      <c r="F611" t="s">
        <v>448</v>
      </c>
      <c r="G611">
        <v>0</v>
      </c>
      <c r="H611" s="2">
        <v>0</v>
      </c>
      <c r="I611">
        <v>2</v>
      </c>
      <c r="J611" t="s">
        <v>409</v>
      </c>
    </row>
    <row r="612" spans="1:10" hidden="1" x14ac:dyDescent="0.25">
      <c r="A612">
        <v>6</v>
      </c>
      <c r="B612" s="1">
        <v>45923</v>
      </c>
      <c r="C612" t="s">
        <v>6</v>
      </c>
      <c r="D612" t="s">
        <v>86</v>
      </c>
      <c r="E612" t="s">
        <v>459</v>
      </c>
      <c r="F612" t="s">
        <v>472</v>
      </c>
      <c r="G612">
        <v>5</v>
      </c>
      <c r="H612" s="2">
        <v>500000</v>
      </c>
      <c r="I612">
        <v>3</v>
      </c>
      <c r="J612" t="s">
        <v>732</v>
      </c>
    </row>
    <row r="613" spans="1:10" hidden="1" x14ac:dyDescent="0.25">
      <c r="A613">
        <v>6</v>
      </c>
      <c r="B613" s="1">
        <v>45923</v>
      </c>
      <c r="C613" t="s">
        <v>6</v>
      </c>
      <c r="D613" t="s">
        <v>218</v>
      </c>
      <c r="E613" t="s">
        <v>459</v>
      </c>
      <c r="F613" t="s">
        <v>514</v>
      </c>
      <c r="G613">
        <v>2</v>
      </c>
      <c r="H613" s="2">
        <v>200000</v>
      </c>
      <c r="I613">
        <v>3</v>
      </c>
      <c r="J613" t="s">
        <v>416</v>
      </c>
    </row>
    <row r="614" spans="1:10" hidden="1" x14ac:dyDescent="0.25">
      <c r="A614">
        <v>6</v>
      </c>
      <c r="B614" s="1">
        <v>45923</v>
      </c>
      <c r="C614" t="s">
        <v>6</v>
      </c>
      <c r="D614" t="s">
        <v>216</v>
      </c>
      <c r="E614" t="s">
        <v>459</v>
      </c>
      <c r="F614" t="s">
        <v>458</v>
      </c>
      <c r="G614">
        <v>4</v>
      </c>
      <c r="H614" s="2">
        <v>400000</v>
      </c>
      <c r="I614">
        <v>3</v>
      </c>
      <c r="J614" t="s">
        <v>216</v>
      </c>
    </row>
    <row r="615" spans="1:10" hidden="1" x14ac:dyDescent="0.25">
      <c r="A615">
        <v>6</v>
      </c>
      <c r="B615" s="1">
        <v>45923</v>
      </c>
      <c r="C615" t="s">
        <v>6</v>
      </c>
      <c r="D615" t="s">
        <v>186</v>
      </c>
      <c r="E615" t="s">
        <v>89</v>
      </c>
      <c r="F615" t="s">
        <v>480</v>
      </c>
      <c r="G615">
        <v>7</v>
      </c>
      <c r="H615" s="2">
        <v>700000</v>
      </c>
      <c r="I615">
        <v>4</v>
      </c>
      <c r="J615" t="s">
        <v>186</v>
      </c>
    </row>
    <row r="616" spans="1:10" hidden="1" x14ac:dyDescent="0.25">
      <c r="A616">
        <v>6</v>
      </c>
      <c r="B616" s="1">
        <v>45923</v>
      </c>
      <c r="C616" t="s">
        <v>6</v>
      </c>
      <c r="D616" t="s">
        <v>309</v>
      </c>
      <c r="E616" t="s">
        <v>89</v>
      </c>
      <c r="F616" t="s">
        <v>461</v>
      </c>
      <c r="G616">
        <v>2</v>
      </c>
      <c r="H616" s="2">
        <v>200000</v>
      </c>
      <c r="I616">
        <v>4</v>
      </c>
      <c r="J616" t="s">
        <v>484</v>
      </c>
    </row>
    <row r="617" spans="1:10" hidden="1" x14ac:dyDescent="0.25">
      <c r="A617">
        <v>6</v>
      </c>
      <c r="B617" s="1">
        <v>45923</v>
      </c>
      <c r="C617" t="s">
        <v>6</v>
      </c>
      <c r="D617" t="s">
        <v>270</v>
      </c>
      <c r="E617" t="s">
        <v>89</v>
      </c>
      <c r="F617" t="s">
        <v>472</v>
      </c>
      <c r="G617">
        <v>11</v>
      </c>
      <c r="H617" s="2">
        <v>1100000</v>
      </c>
      <c r="I617">
        <v>4</v>
      </c>
      <c r="J617" t="s">
        <v>423</v>
      </c>
    </row>
    <row r="618" spans="1:10" hidden="1" x14ac:dyDescent="0.25">
      <c r="A618">
        <v>6</v>
      </c>
      <c r="B618" s="1">
        <v>45923</v>
      </c>
      <c r="C618" t="s">
        <v>9</v>
      </c>
      <c r="D618" t="s">
        <v>253</v>
      </c>
      <c r="E618" t="s">
        <v>77</v>
      </c>
      <c r="F618" t="s">
        <v>465</v>
      </c>
      <c r="G618">
        <v>5</v>
      </c>
      <c r="H618" s="2">
        <v>500000</v>
      </c>
      <c r="I618">
        <v>1</v>
      </c>
      <c r="J618" t="s">
        <v>253</v>
      </c>
    </row>
    <row r="619" spans="1:10" hidden="1" x14ac:dyDescent="0.25">
      <c r="A619">
        <v>6</v>
      </c>
      <c r="B619" s="1">
        <v>45923</v>
      </c>
      <c r="C619" t="s">
        <v>9</v>
      </c>
      <c r="D619" t="s">
        <v>214</v>
      </c>
      <c r="E619" t="s">
        <v>219</v>
      </c>
      <c r="F619" t="s">
        <v>455</v>
      </c>
      <c r="G619">
        <v>4</v>
      </c>
      <c r="H619" s="2">
        <v>400000</v>
      </c>
      <c r="I619">
        <v>2</v>
      </c>
      <c r="J619" t="s">
        <v>435</v>
      </c>
    </row>
    <row r="620" spans="1:10" hidden="1" x14ac:dyDescent="0.25">
      <c r="A620">
        <v>6</v>
      </c>
      <c r="B620" s="1">
        <v>45923</v>
      </c>
      <c r="C620" t="s">
        <v>9</v>
      </c>
      <c r="D620" t="s">
        <v>139</v>
      </c>
      <c r="E620" t="s">
        <v>219</v>
      </c>
      <c r="F620" t="s">
        <v>458</v>
      </c>
      <c r="G620">
        <v>4</v>
      </c>
      <c r="H620" s="2">
        <v>400000</v>
      </c>
      <c r="I620">
        <v>2</v>
      </c>
      <c r="J620" t="s">
        <v>371</v>
      </c>
    </row>
    <row r="621" spans="1:10" hidden="1" x14ac:dyDescent="0.25">
      <c r="A621">
        <v>6</v>
      </c>
      <c r="B621" s="1">
        <v>45923</v>
      </c>
      <c r="C621" t="s">
        <v>9</v>
      </c>
      <c r="D621" t="s">
        <v>321</v>
      </c>
      <c r="E621" t="s">
        <v>219</v>
      </c>
      <c r="F621" t="s">
        <v>514</v>
      </c>
      <c r="G621">
        <v>1</v>
      </c>
      <c r="H621" s="2">
        <v>100000</v>
      </c>
      <c r="I621">
        <v>2</v>
      </c>
      <c r="J621" t="s">
        <v>399</v>
      </c>
    </row>
    <row r="622" spans="1:10" hidden="1" x14ac:dyDescent="0.25">
      <c r="A622">
        <v>6</v>
      </c>
      <c r="B622" s="1">
        <v>45923</v>
      </c>
      <c r="C622" t="s">
        <v>9</v>
      </c>
      <c r="D622" t="s">
        <v>291</v>
      </c>
      <c r="E622" t="s">
        <v>459</v>
      </c>
      <c r="F622" t="s">
        <v>469</v>
      </c>
      <c r="G622">
        <v>6</v>
      </c>
      <c r="H622" s="2">
        <v>600000</v>
      </c>
      <c r="I622">
        <v>3</v>
      </c>
      <c r="J622" t="s">
        <v>520</v>
      </c>
    </row>
    <row r="623" spans="1:10" hidden="1" x14ac:dyDescent="0.25">
      <c r="A623">
        <v>6</v>
      </c>
      <c r="B623" s="1">
        <v>45923</v>
      </c>
      <c r="C623" t="s">
        <v>9</v>
      </c>
      <c r="D623" t="s">
        <v>198</v>
      </c>
      <c r="E623" t="s">
        <v>459</v>
      </c>
      <c r="F623" t="s">
        <v>485</v>
      </c>
      <c r="G623">
        <v>2</v>
      </c>
      <c r="H623" s="2">
        <v>200000</v>
      </c>
      <c r="I623">
        <v>3</v>
      </c>
      <c r="J623" t="s">
        <v>341</v>
      </c>
    </row>
    <row r="624" spans="1:10" hidden="1" x14ac:dyDescent="0.25">
      <c r="A624">
        <v>6</v>
      </c>
      <c r="B624" s="1">
        <v>45923</v>
      </c>
      <c r="C624" t="s">
        <v>9</v>
      </c>
      <c r="D624" t="s">
        <v>331</v>
      </c>
      <c r="E624" t="s">
        <v>459</v>
      </c>
      <c r="F624" t="s">
        <v>496</v>
      </c>
      <c r="G624">
        <v>0</v>
      </c>
      <c r="H624" s="2">
        <v>0</v>
      </c>
      <c r="I624">
        <v>3</v>
      </c>
      <c r="J624" t="s">
        <v>376</v>
      </c>
    </row>
    <row r="625" spans="1:10" hidden="1" x14ac:dyDescent="0.25">
      <c r="A625">
        <v>6</v>
      </c>
      <c r="B625" s="1">
        <v>45923</v>
      </c>
      <c r="C625" t="s">
        <v>9</v>
      </c>
      <c r="D625" t="s">
        <v>299</v>
      </c>
      <c r="E625" t="s">
        <v>459</v>
      </c>
      <c r="F625" t="s">
        <v>451</v>
      </c>
      <c r="G625">
        <v>10</v>
      </c>
      <c r="H625" s="2">
        <v>1000000</v>
      </c>
      <c r="I625">
        <v>3</v>
      </c>
      <c r="J625" t="s">
        <v>299</v>
      </c>
    </row>
    <row r="626" spans="1:10" hidden="1" x14ac:dyDescent="0.25">
      <c r="A626">
        <v>6</v>
      </c>
      <c r="B626" s="1">
        <v>45923</v>
      </c>
      <c r="C626" t="s">
        <v>9</v>
      </c>
      <c r="D626" t="s">
        <v>136</v>
      </c>
      <c r="E626" t="s">
        <v>89</v>
      </c>
      <c r="F626" t="s">
        <v>469</v>
      </c>
      <c r="G626">
        <v>12</v>
      </c>
      <c r="H626" s="2">
        <v>1200000</v>
      </c>
      <c r="I626">
        <v>4</v>
      </c>
      <c r="J626" t="s">
        <v>136</v>
      </c>
    </row>
    <row r="627" spans="1:10" hidden="1" x14ac:dyDescent="0.25">
      <c r="A627">
        <v>6</v>
      </c>
      <c r="B627" s="1">
        <v>45923</v>
      </c>
      <c r="C627" t="s">
        <v>9</v>
      </c>
      <c r="D627" t="s">
        <v>287</v>
      </c>
      <c r="E627" t="s">
        <v>89</v>
      </c>
      <c r="F627" t="s">
        <v>458</v>
      </c>
      <c r="G627">
        <v>1</v>
      </c>
      <c r="H627" s="2">
        <v>100000</v>
      </c>
      <c r="I627">
        <v>4</v>
      </c>
      <c r="J627" t="s">
        <v>287</v>
      </c>
    </row>
    <row r="628" spans="1:10" hidden="1" x14ac:dyDescent="0.25">
      <c r="A628">
        <v>6</v>
      </c>
      <c r="B628" s="1">
        <v>45923</v>
      </c>
      <c r="C628" t="s">
        <v>9</v>
      </c>
      <c r="D628" t="s">
        <v>359</v>
      </c>
      <c r="E628" t="s">
        <v>89</v>
      </c>
      <c r="F628" t="s">
        <v>488</v>
      </c>
      <c r="G628">
        <v>4</v>
      </c>
      <c r="H628" s="2">
        <v>400000</v>
      </c>
      <c r="I628">
        <v>4</v>
      </c>
      <c r="J628" t="s">
        <v>359</v>
      </c>
    </row>
    <row r="629" spans="1:10" hidden="1" x14ac:dyDescent="0.25">
      <c r="A629">
        <v>6</v>
      </c>
      <c r="B629" s="1">
        <v>45923</v>
      </c>
      <c r="C629" t="s">
        <v>13</v>
      </c>
      <c r="D629" t="s">
        <v>322</v>
      </c>
      <c r="E629" t="s">
        <v>77</v>
      </c>
      <c r="F629" t="s">
        <v>496</v>
      </c>
      <c r="G629">
        <v>3</v>
      </c>
      <c r="H629" s="2">
        <v>300000</v>
      </c>
      <c r="I629">
        <v>1</v>
      </c>
      <c r="J629" t="s">
        <v>322</v>
      </c>
    </row>
    <row r="630" spans="1:10" hidden="1" x14ac:dyDescent="0.25">
      <c r="A630">
        <v>6</v>
      </c>
      <c r="B630" s="1">
        <v>45923</v>
      </c>
      <c r="C630" t="s">
        <v>13</v>
      </c>
      <c r="D630" t="s">
        <v>202</v>
      </c>
      <c r="E630" t="s">
        <v>219</v>
      </c>
      <c r="F630" t="s">
        <v>465</v>
      </c>
      <c r="G630">
        <v>3</v>
      </c>
      <c r="H630" s="2">
        <v>300000</v>
      </c>
      <c r="I630">
        <v>2</v>
      </c>
      <c r="J630" t="s">
        <v>734</v>
      </c>
    </row>
    <row r="631" spans="1:10" hidden="1" x14ac:dyDescent="0.25">
      <c r="A631">
        <v>6</v>
      </c>
      <c r="B631" s="1">
        <v>45923</v>
      </c>
      <c r="C631" t="s">
        <v>13</v>
      </c>
      <c r="D631" t="s">
        <v>150</v>
      </c>
      <c r="E631" t="s">
        <v>219</v>
      </c>
      <c r="F631" t="s">
        <v>451</v>
      </c>
      <c r="G631">
        <v>14</v>
      </c>
      <c r="H631" s="2">
        <v>1400000</v>
      </c>
      <c r="I631">
        <v>2</v>
      </c>
      <c r="J631" t="s">
        <v>150</v>
      </c>
    </row>
    <row r="632" spans="1:10" hidden="1" x14ac:dyDescent="0.25">
      <c r="A632">
        <v>6</v>
      </c>
      <c r="B632" s="1">
        <v>45923</v>
      </c>
      <c r="C632" t="s">
        <v>13</v>
      </c>
      <c r="D632" t="s">
        <v>183</v>
      </c>
      <c r="E632" t="s">
        <v>219</v>
      </c>
      <c r="F632" t="s">
        <v>485</v>
      </c>
      <c r="G632">
        <v>2</v>
      </c>
      <c r="H632" s="2">
        <v>200000</v>
      </c>
      <c r="I632">
        <v>2</v>
      </c>
      <c r="J632" t="s">
        <v>393</v>
      </c>
    </row>
    <row r="633" spans="1:10" hidden="1" x14ac:dyDescent="0.25">
      <c r="A633">
        <v>6</v>
      </c>
      <c r="B633" s="1">
        <v>45923</v>
      </c>
      <c r="C633" t="s">
        <v>13</v>
      </c>
      <c r="D633" t="s">
        <v>108</v>
      </c>
      <c r="E633" t="s">
        <v>219</v>
      </c>
      <c r="F633" t="s">
        <v>456</v>
      </c>
      <c r="G633">
        <v>0</v>
      </c>
      <c r="H633" s="2">
        <v>0</v>
      </c>
      <c r="I633">
        <v>2</v>
      </c>
      <c r="J633" t="s">
        <v>388</v>
      </c>
    </row>
    <row r="634" spans="1:10" hidden="1" x14ac:dyDescent="0.25">
      <c r="A634">
        <v>6</v>
      </c>
      <c r="B634" s="1">
        <v>45923</v>
      </c>
      <c r="C634" t="s">
        <v>13</v>
      </c>
      <c r="D634" t="s">
        <v>325</v>
      </c>
      <c r="E634" t="s">
        <v>459</v>
      </c>
      <c r="F634" t="s">
        <v>458</v>
      </c>
      <c r="G634">
        <v>2</v>
      </c>
      <c r="H634" s="2">
        <v>200000</v>
      </c>
      <c r="I634">
        <v>3</v>
      </c>
      <c r="J634" t="s">
        <v>741</v>
      </c>
    </row>
    <row r="635" spans="1:10" hidden="1" x14ac:dyDescent="0.25">
      <c r="A635">
        <v>6</v>
      </c>
      <c r="B635" s="1">
        <v>45923</v>
      </c>
      <c r="C635" t="s">
        <v>13</v>
      </c>
      <c r="D635" t="s">
        <v>73</v>
      </c>
      <c r="E635" t="s">
        <v>459</v>
      </c>
      <c r="F635" t="s">
        <v>456</v>
      </c>
      <c r="G635">
        <v>13</v>
      </c>
      <c r="H635" s="2">
        <v>1300000</v>
      </c>
      <c r="I635">
        <v>3</v>
      </c>
      <c r="J635" t="s">
        <v>73</v>
      </c>
    </row>
    <row r="636" spans="1:10" hidden="1" x14ac:dyDescent="0.25">
      <c r="A636">
        <v>6</v>
      </c>
      <c r="B636" s="1">
        <v>45923</v>
      </c>
      <c r="C636" t="s">
        <v>13</v>
      </c>
      <c r="D636" t="s">
        <v>225</v>
      </c>
      <c r="E636" t="s">
        <v>459</v>
      </c>
      <c r="F636" t="s">
        <v>488</v>
      </c>
      <c r="G636">
        <v>3</v>
      </c>
      <c r="H636" s="2">
        <v>300000</v>
      </c>
      <c r="I636">
        <v>3</v>
      </c>
      <c r="J636" t="s">
        <v>225</v>
      </c>
    </row>
    <row r="637" spans="1:10" hidden="1" x14ac:dyDescent="0.25">
      <c r="A637">
        <v>6</v>
      </c>
      <c r="B637" s="1">
        <v>45923</v>
      </c>
      <c r="C637" t="s">
        <v>13</v>
      </c>
      <c r="D637" t="s">
        <v>275</v>
      </c>
      <c r="E637" t="s">
        <v>89</v>
      </c>
      <c r="F637" t="s">
        <v>465</v>
      </c>
      <c r="G637">
        <v>10</v>
      </c>
      <c r="H637" s="2">
        <v>1000000</v>
      </c>
      <c r="I637">
        <v>4</v>
      </c>
      <c r="J637" t="s">
        <v>275</v>
      </c>
    </row>
    <row r="638" spans="1:10" hidden="1" x14ac:dyDescent="0.25">
      <c r="A638">
        <v>6</v>
      </c>
      <c r="B638" s="1">
        <v>45923</v>
      </c>
      <c r="C638" t="s">
        <v>13</v>
      </c>
      <c r="D638" t="s">
        <v>301</v>
      </c>
      <c r="E638" t="s">
        <v>89</v>
      </c>
      <c r="F638" t="s">
        <v>461</v>
      </c>
      <c r="G638">
        <v>5</v>
      </c>
      <c r="H638" s="2">
        <v>500000</v>
      </c>
      <c r="I638">
        <v>4</v>
      </c>
      <c r="J638" t="s">
        <v>301</v>
      </c>
    </row>
    <row r="639" spans="1:10" hidden="1" x14ac:dyDescent="0.25">
      <c r="A639">
        <v>6</v>
      </c>
      <c r="B639" s="1">
        <v>45923</v>
      </c>
      <c r="C639" t="s">
        <v>13</v>
      </c>
      <c r="D639" t="s">
        <v>328</v>
      </c>
      <c r="E639" t="s">
        <v>89</v>
      </c>
      <c r="F639" t="s">
        <v>448</v>
      </c>
      <c r="G639">
        <v>18</v>
      </c>
      <c r="H639" s="2">
        <v>1800000</v>
      </c>
      <c r="I639">
        <v>4</v>
      </c>
      <c r="J639" t="s">
        <v>654</v>
      </c>
    </row>
    <row r="640" spans="1:10" hidden="1" x14ac:dyDescent="0.25">
      <c r="A640">
        <v>6</v>
      </c>
      <c r="B640" s="1">
        <v>45923</v>
      </c>
      <c r="C640" t="s">
        <v>8</v>
      </c>
      <c r="D640" t="s">
        <v>266</v>
      </c>
      <c r="E640" t="s">
        <v>77</v>
      </c>
      <c r="F640" t="s">
        <v>451</v>
      </c>
      <c r="G640">
        <v>0</v>
      </c>
      <c r="H640" s="2">
        <v>0</v>
      </c>
      <c r="I640">
        <v>1</v>
      </c>
      <c r="J640" t="s">
        <v>675</v>
      </c>
    </row>
    <row r="641" spans="1:10" hidden="1" x14ac:dyDescent="0.25">
      <c r="A641">
        <v>6</v>
      </c>
      <c r="B641" s="1">
        <v>45923</v>
      </c>
      <c r="C641" t="s">
        <v>8</v>
      </c>
      <c r="D641" t="s">
        <v>67</v>
      </c>
      <c r="E641" t="s">
        <v>219</v>
      </c>
      <c r="F641" t="s">
        <v>472</v>
      </c>
      <c r="G641">
        <v>3</v>
      </c>
      <c r="H641" s="2">
        <v>300000</v>
      </c>
      <c r="I641">
        <v>2</v>
      </c>
      <c r="J641" t="s">
        <v>512</v>
      </c>
    </row>
    <row r="642" spans="1:10" hidden="1" x14ac:dyDescent="0.25">
      <c r="A642">
        <v>6</v>
      </c>
      <c r="B642" s="1">
        <v>45923</v>
      </c>
      <c r="C642" t="s">
        <v>8</v>
      </c>
      <c r="D642" t="s">
        <v>200</v>
      </c>
      <c r="E642" t="s">
        <v>219</v>
      </c>
      <c r="F642" t="s">
        <v>514</v>
      </c>
      <c r="G642">
        <v>9</v>
      </c>
      <c r="H642" s="2">
        <v>900000</v>
      </c>
      <c r="I642">
        <v>2</v>
      </c>
      <c r="J642" t="s">
        <v>200</v>
      </c>
    </row>
    <row r="643" spans="1:10" hidden="1" x14ac:dyDescent="0.25">
      <c r="A643">
        <v>6</v>
      </c>
      <c r="B643" s="1">
        <v>45923</v>
      </c>
      <c r="C643" t="s">
        <v>8</v>
      </c>
      <c r="D643" t="s">
        <v>215</v>
      </c>
      <c r="E643" t="s">
        <v>219</v>
      </c>
      <c r="F643" t="s">
        <v>456</v>
      </c>
      <c r="G643">
        <v>2</v>
      </c>
      <c r="H643" s="2">
        <v>200000</v>
      </c>
      <c r="I643">
        <v>2</v>
      </c>
      <c r="J643" t="s">
        <v>402</v>
      </c>
    </row>
    <row r="644" spans="1:10" hidden="1" x14ac:dyDescent="0.25">
      <c r="A644">
        <v>6</v>
      </c>
      <c r="B644" s="1">
        <v>45923</v>
      </c>
      <c r="C644" t="s">
        <v>8</v>
      </c>
      <c r="D644" t="s">
        <v>111</v>
      </c>
      <c r="E644" t="s">
        <v>459</v>
      </c>
      <c r="F644" t="s">
        <v>474</v>
      </c>
      <c r="G644">
        <v>5</v>
      </c>
      <c r="H644" s="2">
        <v>500000</v>
      </c>
      <c r="I644">
        <v>3</v>
      </c>
      <c r="J644" t="s">
        <v>111</v>
      </c>
    </row>
    <row r="645" spans="1:10" hidden="1" x14ac:dyDescent="0.25">
      <c r="A645">
        <v>6</v>
      </c>
      <c r="B645" s="1">
        <v>45923</v>
      </c>
      <c r="C645" t="s">
        <v>8</v>
      </c>
      <c r="D645" t="s">
        <v>237</v>
      </c>
      <c r="E645" t="s">
        <v>459</v>
      </c>
      <c r="F645" t="s">
        <v>496</v>
      </c>
      <c r="G645">
        <v>2</v>
      </c>
      <c r="H645" s="2">
        <v>200000</v>
      </c>
      <c r="I645">
        <v>3</v>
      </c>
      <c r="J645" t="s">
        <v>418</v>
      </c>
    </row>
    <row r="646" spans="1:10" hidden="1" x14ac:dyDescent="0.25">
      <c r="A646">
        <v>6</v>
      </c>
      <c r="B646" s="1">
        <v>45923</v>
      </c>
      <c r="C646" t="s">
        <v>8</v>
      </c>
      <c r="D646" t="s">
        <v>300</v>
      </c>
      <c r="E646" t="s">
        <v>459</v>
      </c>
      <c r="F646" t="s">
        <v>498</v>
      </c>
      <c r="G646">
        <v>3</v>
      </c>
      <c r="H646" s="2">
        <v>300000</v>
      </c>
      <c r="I646">
        <v>3</v>
      </c>
      <c r="J646" t="s">
        <v>398</v>
      </c>
    </row>
    <row r="647" spans="1:10" hidden="1" x14ac:dyDescent="0.25">
      <c r="A647">
        <v>6</v>
      </c>
      <c r="B647" s="1">
        <v>45923</v>
      </c>
      <c r="C647" t="s">
        <v>8</v>
      </c>
      <c r="D647" t="s">
        <v>231</v>
      </c>
      <c r="E647" t="s">
        <v>459</v>
      </c>
      <c r="F647" t="s">
        <v>464</v>
      </c>
      <c r="G647">
        <v>0</v>
      </c>
      <c r="H647" s="2">
        <v>0</v>
      </c>
      <c r="I647">
        <v>3</v>
      </c>
      <c r="J647" t="s">
        <v>414</v>
      </c>
    </row>
    <row r="648" spans="1:10" hidden="1" x14ac:dyDescent="0.25">
      <c r="A648">
        <v>6</v>
      </c>
      <c r="B648" s="1">
        <v>45923</v>
      </c>
      <c r="C648" t="s">
        <v>8</v>
      </c>
      <c r="D648" t="s">
        <v>71</v>
      </c>
      <c r="E648" t="s">
        <v>89</v>
      </c>
      <c r="F648" t="s">
        <v>472</v>
      </c>
      <c r="G648">
        <v>2</v>
      </c>
      <c r="H648" s="2">
        <v>200000</v>
      </c>
      <c r="I648">
        <v>4</v>
      </c>
      <c r="J648" t="s">
        <v>693</v>
      </c>
    </row>
    <row r="649" spans="1:10" hidden="1" x14ac:dyDescent="0.25">
      <c r="A649">
        <v>6</v>
      </c>
      <c r="B649" s="1">
        <v>45923</v>
      </c>
      <c r="C649" t="s">
        <v>8</v>
      </c>
      <c r="D649" t="s">
        <v>267</v>
      </c>
      <c r="E649" t="s">
        <v>89</v>
      </c>
      <c r="F649" t="s">
        <v>447</v>
      </c>
      <c r="G649">
        <v>0</v>
      </c>
      <c r="H649" s="2">
        <v>0</v>
      </c>
      <c r="I649">
        <v>4</v>
      </c>
      <c r="J649" t="s">
        <v>751</v>
      </c>
    </row>
    <row r="650" spans="1:10" hidden="1" x14ac:dyDescent="0.25">
      <c r="A650">
        <v>6</v>
      </c>
      <c r="B650" s="1">
        <v>45923</v>
      </c>
      <c r="C650" t="s">
        <v>8</v>
      </c>
      <c r="D650" t="s">
        <v>278</v>
      </c>
      <c r="E650" t="s">
        <v>89</v>
      </c>
      <c r="F650" t="s">
        <v>448</v>
      </c>
      <c r="G650">
        <v>9</v>
      </c>
      <c r="H650" s="2">
        <v>900000</v>
      </c>
      <c r="I650">
        <v>4</v>
      </c>
      <c r="J650" t="s">
        <v>278</v>
      </c>
    </row>
    <row r="651" spans="1:10" hidden="1" x14ac:dyDescent="0.25">
      <c r="A651">
        <v>6</v>
      </c>
      <c r="B651" s="1">
        <v>45923</v>
      </c>
      <c r="C651" t="s">
        <v>7</v>
      </c>
      <c r="D651" t="s">
        <v>54</v>
      </c>
      <c r="E651" t="s">
        <v>77</v>
      </c>
      <c r="F651" t="s">
        <v>488</v>
      </c>
      <c r="G651">
        <v>0</v>
      </c>
      <c r="H651" s="2">
        <v>0</v>
      </c>
      <c r="I651">
        <v>1</v>
      </c>
      <c r="J651" t="s">
        <v>54</v>
      </c>
    </row>
    <row r="652" spans="1:10" hidden="1" x14ac:dyDescent="0.25">
      <c r="A652">
        <v>6</v>
      </c>
      <c r="B652" s="1">
        <v>45923</v>
      </c>
      <c r="C652" t="s">
        <v>7</v>
      </c>
      <c r="D652" t="s">
        <v>227</v>
      </c>
      <c r="E652" t="s">
        <v>219</v>
      </c>
      <c r="F652" t="s">
        <v>447</v>
      </c>
      <c r="G652">
        <v>0</v>
      </c>
      <c r="H652" s="2">
        <v>0</v>
      </c>
      <c r="I652">
        <v>2</v>
      </c>
      <c r="J652" t="s">
        <v>617</v>
      </c>
    </row>
    <row r="653" spans="1:10" hidden="1" x14ac:dyDescent="0.25">
      <c r="A653">
        <v>6</v>
      </c>
      <c r="B653" s="1">
        <v>45923</v>
      </c>
      <c r="C653" t="s">
        <v>7</v>
      </c>
      <c r="D653" t="s">
        <v>181</v>
      </c>
      <c r="E653" t="s">
        <v>219</v>
      </c>
      <c r="F653" t="s">
        <v>498</v>
      </c>
      <c r="G653">
        <v>0</v>
      </c>
      <c r="H653" s="2">
        <v>0</v>
      </c>
      <c r="I653">
        <v>2</v>
      </c>
      <c r="J653" t="s">
        <v>406</v>
      </c>
    </row>
    <row r="654" spans="1:10" hidden="1" x14ac:dyDescent="0.25">
      <c r="A654">
        <v>6</v>
      </c>
      <c r="B654" s="1">
        <v>45923</v>
      </c>
      <c r="C654" t="s">
        <v>7</v>
      </c>
      <c r="D654" t="s">
        <v>153</v>
      </c>
      <c r="E654" t="s">
        <v>219</v>
      </c>
      <c r="F654" t="s">
        <v>498</v>
      </c>
      <c r="G654">
        <v>0</v>
      </c>
      <c r="H654" s="2">
        <v>0</v>
      </c>
      <c r="I654">
        <v>2</v>
      </c>
      <c r="J654" t="s">
        <v>153</v>
      </c>
    </row>
    <row r="655" spans="1:10" hidden="1" x14ac:dyDescent="0.25">
      <c r="A655">
        <v>6</v>
      </c>
      <c r="B655" s="1">
        <v>45923</v>
      </c>
      <c r="C655" t="s">
        <v>7</v>
      </c>
      <c r="D655" t="s">
        <v>115</v>
      </c>
      <c r="E655" t="s">
        <v>219</v>
      </c>
      <c r="F655" t="s">
        <v>472</v>
      </c>
      <c r="G655">
        <v>0</v>
      </c>
      <c r="H655" s="2">
        <v>0</v>
      </c>
      <c r="I655">
        <v>2</v>
      </c>
      <c r="J655" t="s">
        <v>115</v>
      </c>
    </row>
    <row r="656" spans="1:10" hidden="1" x14ac:dyDescent="0.25">
      <c r="A656">
        <v>6</v>
      </c>
      <c r="B656" s="1">
        <v>45923</v>
      </c>
      <c r="C656" t="s">
        <v>7</v>
      </c>
      <c r="D656" t="s">
        <v>101</v>
      </c>
      <c r="E656" t="s">
        <v>459</v>
      </c>
      <c r="F656" t="s">
        <v>465</v>
      </c>
      <c r="G656">
        <v>0</v>
      </c>
      <c r="H656" s="2">
        <v>0</v>
      </c>
      <c r="I656">
        <v>3</v>
      </c>
      <c r="J656" t="s">
        <v>101</v>
      </c>
    </row>
    <row r="657" spans="1:10" hidden="1" x14ac:dyDescent="0.25">
      <c r="A657">
        <v>6</v>
      </c>
      <c r="B657" s="1">
        <v>45923</v>
      </c>
      <c r="C657" t="s">
        <v>7</v>
      </c>
      <c r="D657" t="s">
        <v>196</v>
      </c>
      <c r="E657" t="s">
        <v>459</v>
      </c>
      <c r="F657" t="s">
        <v>448</v>
      </c>
      <c r="G657">
        <v>0</v>
      </c>
      <c r="H657" s="2">
        <v>0</v>
      </c>
      <c r="I657">
        <v>3</v>
      </c>
      <c r="J657" t="s">
        <v>342</v>
      </c>
    </row>
    <row r="658" spans="1:10" hidden="1" x14ac:dyDescent="0.25">
      <c r="A658">
        <v>6</v>
      </c>
      <c r="B658" s="1">
        <v>45923</v>
      </c>
      <c r="C658" t="s">
        <v>7</v>
      </c>
      <c r="D658" t="s">
        <v>87</v>
      </c>
      <c r="E658" t="s">
        <v>459</v>
      </c>
      <c r="F658" t="s">
        <v>485</v>
      </c>
      <c r="G658">
        <v>0</v>
      </c>
      <c r="H658" s="2">
        <v>0</v>
      </c>
      <c r="I658">
        <v>3</v>
      </c>
      <c r="J658" t="s">
        <v>87</v>
      </c>
    </row>
    <row r="659" spans="1:10" hidden="1" x14ac:dyDescent="0.25">
      <c r="A659">
        <v>6</v>
      </c>
      <c r="B659" s="1">
        <v>45923</v>
      </c>
      <c r="C659" t="s">
        <v>7</v>
      </c>
      <c r="D659" t="s">
        <v>281</v>
      </c>
      <c r="E659" t="s">
        <v>89</v>
      </c>
      <c r="F659" t="s">
        <v>496</v>
      </c>
      <c r="G659">
        <v>0</v>
      </c>
      <c r="H659" s="2">
        <v>0</v>
      </c>
      <c r="I659">
        <v>4</v>
      </c>
      <c r="J659" t="s">
        <v>397</v>
      </c>
    </row>
    <row r="660" spans="1:10" hidden="1" x14ac:dyDescent="0.25">
      <c r="A660">
        <v>6</v>
      </c>
      <c r="B660" s="1">
        <v>45923</v>
      </c>
      <c r="C660" t="s">
        <v>7</v>
      </c>
      <c r="D660" t="s">
        <v>303</v>
      </c>
      <c r="E660" t="s">
        <v>89</v>
      </c>
      <c r="F660" t="s">
        <v>488</v>
      </c>
      <c r="G660">
        <v>0</v>
      </c>
      <c r="H660" s="2">
        <v>0</v>
      </c>
      <c r="I660">
        <v>4</v>
      </c>
      <c r="J660" t="s">
        <v>303</v>
      </c>
    </row>
    <row r="661" spans="1:10" hidden="1" x14ac:dyDescent="0.25">
      <c r="A661">
        <v>6</v>
      </c>
      <c r="B661" s="1">
        <v>45923</v>
      </c>
      <c r="C661" t="s">
        <v>7</v>
      </c>
      <c r="D661" t="s">
        <v>51</v>
      </c>
      <c r="E661" t="s">
        <v>89</v>
      </c>
      <c r="F661" t="s">
        <v>498</v>
      </c>
      <c r="G661">
        <v>0</v>
      </c>
      <c r="H661" s="2">
        <v>0</v>
      </c>
      <c r="I661">
        <v>4</v>
      </c>
      <c r="J661" t="s">
        <v>413</v>
      </c>
    </row>
    <row r="662" spans="1:10" hidden="1" x14ac:dyDescent="0.25">
      <c r="A662">
        <v>7</v>
      </c>
      <c r="B662" s="1">
        <v>45926</v>
      </c>
      <c r="C662" t="s">
        <v>10</v>
      </c>
      <c r="D662" t="s">
        <v>429</v>
      </c>
      <c r="E662" t="s">
        <v>77</v>
      </c>
      <c r="F662" t="s">
        <v>449</v>
      </c>
      <c r="G662">
        <v>13</v>
      </c>
      <c r="H662" s="2">
        <v>1300000</v>
      </c>
      <c r="I662">
        <v>1</v>
      </c>
      <c r="J662" t="s">
        <v>429</v>
      </c>
    </row>
    <row r="663" spans="1:10" hidden="1" x14ac:dyDescent="0.25">
      <c r="A663">
        <v>7</v>
      </c>
      <c r="B663" s="1">
        <v>45926</v>
      </c>
      <c r="C663" t="s">
        <v>10</v>
      </c>
      <c r="D663" t="s">
        <v>296</v>
      </c>
      <c r="E663" t="s">
        <v>219</v>
      </c>
      <c r="F663" t="s">
        <v>461</v>
      </c>
      <c r="G663">
        <v>8</v>
      </c>
      <c r="H663" s="2">
        <v>800000</v>
      </c>
      <c r="I663">
        <v>2</v>
      </c>
      <c r="J663" t="s">
        <v>296</v>
      </c>
    </row>
    <row r="664" spans="1:10" hidden="1" x14ac:dyDescent="0.25">
      <c r="A664">
        <v>7</v>
      </c>
      <c r="B664" s="1">
        <v>45926</v>
      </c>
      <c r="C664" t="s">
        <v>10</v>
      </c>
      <c r="D664" t="s">
        <v>310</v>
      </c>
      <c r="E664" t="s">
        <v>219</v>
      </c>
      <c r="F664" t="s">
        <v>464</v>
      </c>
      <c r="G664">
        <v>5</v>
      </c>
      <c r="H664" s="2">
        <v>500000</v>
      </c>
      <c r="I664">
        <v>2</v>
      </c>
      <c r="J664" t="s">
        <v>310</v>
      </c>
    </row>
    <row r="665" spans="1:10" hidden="1" x14ac:dyDescent="0.25">
      <c r="A665">
        <v>7</v>
      </c>
      <c r="B665" s="1">
        <v>45926</v>
      </c>
      <c r="C665" t="s">
        <v>10</v>
      </c>
      <c r="D665" t="s">
        <v>313</v>
      </c>
      <c r="E665" t="s">
        <v>219</v>
      </c>
      <c r="F665" t="s">
        <v>447</v>
      </c>
      <c r="G665">
        <v>3</v>
      </c>
      <c r="H665" s="2">
        <v>300000</v>
      </c>
      <c r="I665">
        <v>2</v>
      </c>
      <c r="J665" t="s">
        <v>647</v>
      </c>
    </row>
    <row r="666" spans="1:10" hidden="1" x14ac:dyDescent="0.25">
      <c r="A666">
        <v>7</v>
      </c>
      <c r="B666" s="1">
        <v>45926</v>
      </c>
      <c r="C666" t="s">
        <v>10</v>
      </c>
      <c r="D666" t="s">
        <v>428</v>
      </c>
      <c r="E666" t="s">
        <v>219</v>
      </c>
      <c r="F666" t="s">
        <v>448</v>
      </c>
      <c r="G666">
        <v>0</v>
      </c>
      <c r="H666" s="2">
        <v>0</v>
      </c>
      <c r="I666">
        <v>2</v>
      </c>
      <c r="J666" t="s">
        <v>428</v>
      </c>
    </row>
    <row r="667" spans="1:10" hidden="1" x14ac:dyDescent="0.25">
      <c r="A667">
        <v>7</v>
      </c>
      <c r="B667" s="1">
        <v>45926</v>
      </c>
      <c r="C667" t="s">
        <v>10</v>
      </c>
      <c r="D667" t="s">
        <v>271</v>
      </c>
      <c r="E667" t="s">
        <v>459</v>
      </c>
      <c r="F667" t="s">
        <v>514</v>
      </c>
      <c r="G667">
        <v>2</v>
      </c>
      <c r="H667" s="2">
        <v>200000</v>
      </c>
      <c r="I667">
        <v>3</v>
      </c>
      <c r="J667" t="s">
        <v>558</v>
      </c>
    </row>
    <row r="668" spans="1:10" hidden="1" x14ac:dyDescent="0.25">
      <c r="A668">
        <v>7</v>
      </c>
      <c r="B668" s="1">
        <v>45926</v>
      </c>
      <c r="C668" t="s">
        <v>10</v>
      </c>
      <c r="D668" t="s">
        <v>358</v>
      </c>
      <c r="E668" t="s">
        <v>459</v>
      </c>
      <c r="F668" t="s">
        <v>485</v>
      </c>
      <c r="G668">
        <v>2</v>
      </c>
      <c r="H668" s="2">
        <v>200000</v>
      </c>
      <c r="I668">
        <v>3</v>
      </c>
      <c r="J668" t="s">
        <v>547</v>
      </c>
    </row>
    <row r="669" spans="1:10" hidden="1" x14ac:dyDescent="0.25">
      <c r="A669">
        <v>7</v>
      </c>
      <c r="B669" s="1">
        <v>45926</v>
      </c>
      <c r="C669" t="s">
        <v>10</v>
      </c>
      <c r="D669" t="s">
        <v>88</v>
      </c>
      <c r="E669" t="s">
        <v>459</v>
      </c>
      <c r="F669" t="s">
        <v>472</v>
      </c>
      <c r="G669">
        <v>2</v>
      </c>
      <c r="H669" s="2">
        <v>200000</v>
      </c>
      <c r="I669">
        <v>3</v>
      </c>
      <c r="J669" t="s">
        <v>88</v>
      </c>
    </row>
    <row r="670" spans="1:10" hidden="1" x14ac:dyDescent="0.25">
      <c r="A670">
        <v>7</v>
      </c>
      <c r="B670" s="1">
        <v>45926</v>
      </c>
      <c r="C670" t="s">
        <v>10</v>
      </c>
      <c r="D670" t="s">
        <v>147</v>
      </c>
      <c r="E670" t="s">
        <v>89</v>
      </c>
      <c r="F670" t="s">
        <v>451</v>
      </c>
      <c r="G670">
        <v>10</v>
      </c>
      <c r="H670" s="2">
        <v>1000000</v>
      </c>
      <c r="I670">
        <v>4</v>
      </c>
      <c r="J670" t="s">
        <v>450</v>
      </c>
    </row>
    <row r="671" spans="1:10" hidden="1" x14ac:dyDescent="0.25">
      <c r="A671">
        <v>7</v>
      </c>
      <c r="B671" s="1">
        <v>45926</v>
      </c>
      <c r="C671" t="s">
        <v>10</v>
      </c>
      <c r="D671" t="s">
        <v>274</v>
      </c>
      <c r="E671" t="s">
        <v>89</v>
      </c>
      <c r="F671" t="s">
        <v>496</v>
      </c>
      <c r="G671">
        <v>3</v>
      </c>
      <c r="H671" s="2">
        <v>300000</v>
      </c>
      <c r="I671">
        <v>4</v>
      </c>
      <c r="J671" t="s">
        <v>274</v>
      </c>
    </row>
    <row r="672" spans="1:10" hidden="1" x14ac:dyDescent="0.25">
      <c r="A672">
        <v>7</v>
      </c>
      <c r="B672" s="1">
        <v>45926</v>
      </c>
      <c r="C672" t="s">
        <v>10</v>
      </c>
      <c r="D672" t="s">
        <v>301</v>
      </c>
      <c r="E672" t="s">
        <v>89</v>
      </c>
      <c r="F672" t="s">
        <v>461</v>
      </c>
      <c r="G672">
        <v>4</v>
      </c>
      <c r="H672" s="2">
        <v>400000</v>
      </c>
      <c r="I672">
        <v>4</v>
      </c>
      <c r="J672" t="s">
        <v>301</v>
      </c>
    </row>
    <row r="673" spans="1:10" hidden="1" x14ac:dyDescent="0.25">
      <c r="A673">
        <v>7</v>
      </c>
      <c r="B673" s="1">
        <v>45926</v>
      </c>
      <c r="C673" t="s">
        <v>14</v>
      </c>
      <c r="D673" t="s">
        <v>229</v>
      </c>
      <c r="E673" t="s">
        <v>77</v>
      </c>
      <c r="F673" t="s">
        <v>480</v>
      </c>
      <c r="G673">
        <v>7</v>
      </c>
      <c r="H673" s="2">
        <v>700000</v>
      </c>
      <c r="I673">
        <v>1</v>
      </c>
      <c r="J673" t="s">
        <v>738</v>
      </c>
    </row>
    <row r="674" spans="1:10" hidden="1" x14ac:dyDescent="0.25">
      <c r="A674">
        <v>7</v>
      </c>
      <c r="B674" s="1">
        <v>45926</v>
      </c>
      <c r="C674" t="s">
        <v>14</v>
      </c>
      <c r="D674" t="s">
        <v>182</v>
      </c>
      <c r="E674" t="s">
        <v>219</v>
      </c>
      <c r="F674" t="s">
        <v>474</v>
      </c>
      <c r="G674">
        <v>6</v>
      </c>
      <c r="H674" s="2">
        <v>600000</v>
      </c>
      <c r="I674">
        <v>2</v>
      </c>
      <c r="J674" t="s">
        <v>711</v>
      </c>
    </row>
    <row r="675" spans="1:10" hidden="1" x14ac:dyDescent="0.25">
      <c r="A675">
        <v>7</v>
      </c>
      <c r="B675" s="1">
        <v>45926</v>
      </c>
      <c r="C675" t="s">
        <v>14</v>
      </c>
      <c r="D675" t="s">
        <v>273</v>
      </c>
      <c r="E675" t="s">
        <v>219</v>
      </c>
      <c r="F675" t="s">
        <v>453</v>
      </c>
      <c r="G675">
        <v>2</v>
      </c>
      <c r="H675" s="2">
        <v>200000</v>
      </c>
      <c r="I675">
        <v>2</v>
      </c>
      <c r="J675" t="s">
        <v>273</v>
      </c>
    </row>
    <row r="676" spans="1:10" hidden="1" x14ac:dyDescent="0.25">
      <c r="A676">
        <v>7</v>
      </c>
      <c r="B676" s="1">
        <v>45926</v>
      </c>
      <c r="C676" t="s">
        <v>14</v>
      </c>
      <c r="D676" t="s">
        <v>307</v>
      </c>
      <c r="E676" t="s">
        <v>219</v>
      </c>
      <c r="F676" t="s">
        <v>465</v>
      </c>
      <c r="G676">
        <v>4</v>
      </c>
      <c r="H676" s="2">
        <v>400000</v>
      </c>
      <c r="I676">
        <v>2</v>
      </c>
      <c r="J676" t="s">
        <v>307</v>
      </c>
    </row>
    <row r="677" spans="1:10" hidden="1" x14ac:dyDescent="0.25">
      <c r="A677">
        <v>7</v>
      </c>
      <c r="B677" s="1">
        <v>45926</v>
      </c>
      <c r="C677" t="s">
        <v>14</v>
      </c>
      <c r="D677" t="s">
        <v>362</v>
      </c>
      <c r="E677" t="s">
        <v>219</v>
      </c>
      <c r="F677" t="s">
        <v>458</v>
      </c>
      <c r="G677">
        <v>5</v>
      </c>
      <c r="H677" s="2">
        <v>500000</v>
      </c>
      <c r="I677">
        <v>2</v>
      </c>
      <c r="J677" t="s">
        <v>362</v>
      </c>
    </row>
    <row r="678" spans="1:10" hidden="1" x14ac:dyDescent="0.25">
      <c r="A678">
        <v>7</v>
      </c>
      <c r="B678" s="1">
        <v>45926</v>
      </c>
      <c r="C678" t="s">
        <v>14</v>
      </c>
      <c r="D678" t="s">
        <v>144</v>
      </c>
      <c r="E678" t="s">
        <v>459</v>
      </c>
      <c r="F678" t="s">
        <v>453</v>
      </c>
      <c r="G678">
        <v>7</v>
      </c>
      <c r="H678" s="2">
        <v>700000</v>
      </c>
      <c r="I678">
        <v>3</v>
      </c>
      <c r="J678" t="s">
        <v>144</v>
      </c>
    </row>
    <row r="679" spans="1:10" hidden="1" x14ac:dyDescent="0.25">
      <c r="A679">
        <v>7</v>
      </c>
      <c r="B679" s="1">
        <v>45926</v>
      </c>
      <c r="C679" t="s">
        <v>14</v>
      </c>
      <c r="D679" t="s">
        <v>176</v>
      </c>
      <c r="E679" t="s">
        <v>459</v>
      </c>
      <c r="F679" t="s">
        <v>480</v>
      </c>
      <c r="G679">
        <v>3</v>
      </c>
      <c r="H679" s="2">
        <v>300000</v>
      </c>
      <c r="I679">
        <v>3</v>
      </c>
      <c r="J679" t="s">
        <v>176</v>
      </c>
    </row>
    <row r="680" spans="1:10" hidden="1" x14ac:dyDescent="0.25">
      <c r="A680">
        <v>7</v>
      </c>
      <c r="B680" s="1">
        <v>45926</v>
      </c>
      <c r="C680" t="s">
        <v>14</v>
      </c>
      <c r="D680" t="s">
        <v>327</v>
      </c>
      <c r="E680" t="s">
        <v>459</v>
      </c>
      <c r="F680" t="s">
        <v>458</v>
      </c>
      <c r="G680">
        <v>0</v>
      </c>
      <c r="H680" s="2">
        <v>0</v>
      </c>
      <c r="I680">
        <v>3</v>
      </c>
      <c r="J680" t="s">
        <v>327</v>
      </c>
    </row>
    <row r="681" spans="1:10" hidden="1" x14ac:dyDescent="0.25">
      <c r="A681">
        <v>7</v>
      </c>
      <c r="B681" s="1">
        <v>45926</v>
      </c>
      <c r="C681" t="s">
        <v>14</v>
      </c>
      <c r="D681" t="s">
        <v>360</v>
      </c>
      <c r="E681" t="s">
        <v>459</v>
      </c>
      <c r="F681" t="s">
        <v>456</v>
      </c>
      <c r="G681">
        <v>2</v>
      </c>
      <c r="H681" s="2">
        <v>200000</v>
      </c>
      <c r="I681">
        <v>3</v>
      </c>
      <c r="J681" t="s">
        <v>645</v>
      </c>
    </row>
    <row r="682" spans="1:10" hidden="1" x14ac:dyDescent="0.25">
      <c r="A682">
        <v>7</v>
      </c>
      <c r="B682" s="1">
        <v>45926</v>
      </c>
      <c r="C682" t="s">
        <v>14</v>
      </c>
      <c r="D682" t="s">
        <v>195</v>
      </c>
      <c r="E682" t="s">
        <v>89</v>
      </c>
      <c r="F682" t="s">
        <v>472</v>
      </c>
      <c r="G682">
        <v>2</v>
      </c>
      <c r="H682" s="2">
        <v>200000</v>
      </c>
      <c r="I682">
        <v>4</v>
      </c>
      <c r="J682" t="s">
        <v>195</v>
      </c>
    </row>
    <row r="683" spans="1:10" hidden="1" x14ac:dyDescent="0.25">
      <c r="A683">
        <v>7</v>
      </c>
      <c r="B683" s="1">
        <v>45926</v>
      </c>
      <c r="C683" t="s">
        <v>14</v>
      </c>
      <c r="D683" t="s">
        <v>159</v>
      </c>
      <c r="E683" t="s">
        <v>89</v>
      </c>
      <c r="F683" t="s">
        <v>465</v>
      </c>
      <c r="G683">
        <v>3</v>
      </c>
      <c r="H683" s="2">
        <v>300000</v>
      </c>
      <c r="I683">
        <v>4</v>
      </c>
      <c r="J683" t="s">
        <v>352</v>
      </c>
    </row>
    <row r="684" spans="1:10" hidden="1" x14ac:dyDescent="0.25">
      <c r="A684">
        <v>7</v>
      </c>
      <c r="B684" s="1">
        <v>45926</v>
      </c>
      <c r="C684" t="s">
        <v>768</v>
      </c>
      <c r="D684" t="s">
        <v>113</v>
      </c>
      <c r="E684" t="s">
        <v>77</v>
      </c>
      <c r="F684" t="s">
        <v>514</v>
      </c>
      <c r="G684">
        <v>12</v>
      </c>
      <c r="H684" s="2">
        <v>1200000</v>
      </c>
      <c r="I684">
        <v>1</v>
      </c>
      <c r="J684" t="s">
        <v>349</v>
      </c>
    </row>
    <row r="685" spans="1:10" hidden="1" x14ac:dyDescent="0.25">
      <c r="A685">
        <v>7</v>
      </c>
      <c r="B685" s="1">
        <v>45926</v>
      </c>
      <c r="C685" t="s">
        <v>768</v>
      </c>
      <c r="D685" t="s">
        <v>114</v>
      </c>
      <c r="E685" t="s">
        <v>219</v>
      </c>
      <c r="F685" t="s">
        <v>469</v>
      </c>
      <c r="G685">
        <v>2</v>
      </c>
      <c r="H685" s="2">
        <v>200000</v>
      </c>
      <c r="I685">
        <v>2</v>
      </c>
      <c r="J685" t="s">
        <v>114</v>
      </c>
    </row>
    <row r="686" spans="1:10" hidden="1" x14ac:dyDescent="0.25">
      <c r="A686">
        <v>7</v>
      </c>
      <c r="B686" s="1">
        <v>45926</v>
      </c>
      <c r="C686" t="s">
        <v>768</v>
      </c>
      <c r="D686" t="s">
        <v>172</v>
      </c>
      <c r="E686" t="s">
        <v>219</v>
      </c>
      <c r="F686" t="s">
        <v>498</v>
      </c>
      <c r="G686">
        <v>1</v>
      </c>
      <c r="H686" s="2">
        <v>100000</v>
      </c>
      <c r="I686">
        <v>2</v>
      </c>
      <c r="J686" t="s">
        <v>389</v>
      </c>
    </row>
    <row r="687" spans="1:10" hidden="1" x14ac:dyDescent="0.25">
      <c r="A687">
        <v>7</v>
      </c>
      <c r="B687" s="1">
        <v>45926</v>
      </c>
      <c r="C687" t="s">
        <v>768</v>
      </c>
      <c r="D687" t="s">
        <v>175</v>
      </c>
      <c r="E687" t="s">
        <v>219</v>
      </c>
      <c r="F687" t="s">
        <v>472</v>
      </c>
      <c r="G687">
        <v>5</v>
      </c>
      <c r="H687" s="2">
        <v>500000</v>
      </c>
      <c r="I687">
        <v>2</v>
      </c>
      <c r="J687" t="s">
        <v>175</v>
      </c>
    </row>
    <row r="688" spans="1:10" hidden="1" x14ac:dyDescent="0.25">
      <c r="A688">
        <v>7</v>
      </c>
      <c r="B688" s="1">
        <v>45926</v>
      </c>
      <c r="C688" t="s">
        <v>768</v>
      </c>
      <c r="D688" t="s">
        <v>226</v>
      </c>
      <c r="E688" t="s">
        <v>219</v>
      </c>
      <c r="F688" t="s">
        <v>464</v>
      </c>
      <c r="G688">
        <v>3</v>
      </c>
      <c r="H688" s="2">
        <v>300000</v>
      </c>
      <c r="I688">
        <v>2</v>
      </c>
      <c r="J688" t="s">
        <v>380</v>
      </c>
    </row>
    <row r="689" spans="1:10" hidden="1" x14ac:dyDescent="0.25">
      <c r="A689">
        <v>7</v>
      </c>
      <c r="B689" s="1">
        <v>45926</v>
      </c>
      <c r="C689" t="s">
        <v>768</v>
      </c>
      <c r="D689" t="s">
        <v>103</v>
      </c>
      <c r="E689" t="s">
        <v>459</v>
      </c>
      <c r="F689" t="s">
        <v>485</v>
      </c>
      <c r="G689">
        <v>5</v>
      </c>
      <c r="H689" s="2">
        <v>500000</v>
      </c>
      <c r="I689">
        <v>3</v>
      </c>
      <c r="J689" t="s">
        <v>103</v>
      </c>
    </row>
    <row r="690" spans="1:10" hidden="1" x14ac:dyDescent="0.25">
      <c r="A690">
        <v>7</v>
      </c>
      <c r="B690" s="1">
        <v>45926</v>
      </c>
      <c r="C690" t="s">
        <v>768</v>
      </c>
      <c r="D690" t="s">
        <v>263</v>
      </c>
      <c r="E690" t="s">
        <v>459</v>
      </c>
      <c r="F690" t="s">
        <v>496</v>
      </c>
      <c r="G690">
        <v>3</v>
      </c>
      <c r="H690" s="2">
        <v>300000</v>
      </c>
      <c r="I690">
        <v>3</v>
      </c>
      <c r="J690" t="s">
        <v>412</v>
      </c>
    </row>
    <row r="691" spans="1:10" hidden="1" x14ac:dyDescent="0.25">
      <c r="A691">
        <v>7</v>
      </c>
      <c r="B691" s="1">
        <v>45926</v>
      </c>
      <c r="C691" t="s">
        <v>768</v>
      </c>
      <c r="D691" t="s">
        <v>326</v>
      </c>
      <c r="E691" t="s">
        <v>459</v>
      </c>
      <c r="F691" t="s">
        <v>456</v>
      </c>
      <c r="G691">
        <v>7</v>
      </c>
      <c r="H691" s="2">
        <v>700000</v>
      </c>
      <c r="I691">
        <v>3</v>
      </c>
      <c r="J691" t="s">
        <v>404</v>
      </c>
    </row>
    <row r="692" spans="1:10" hidden="1" x14ac:dyDescent="0.25">
      <c r="A692">
        <v>7</v>
      </c>
      <c r="B692" s="1">
        <v>45926</v>
      </c>
      <c r="C692" t="s">
        <v>768</v>
      </c>
      <c r="D692" t="s">
        <v>120</v>
      </c>
      <c r="E692" t="s">
        <v>459</v>
      </c>
      <c r="F692" t="s">
        <v>451</v>
      </c>
      <c r="G692">
        <v>10</v>
      </c>
      <c r="H692" s="2">
        <v>1000000</v>
      </c>
      <c r="I692">
        <v>3</v>
      </c>
      <c r="J692" t="s">
        <v>120</v>
      </c>
    </row>
    <row r="693" spans="1:10" hidden="1" x14ac:dyDescent="0.25">
      <c r="A693">
        <v>7</v>
      </c>
      <c r="B693" s="1">
        <v>45926</v>
      </c>
      <c r="C693" t="s">
        <v>768</v>
      </c>
      <c r="D693" t="s">
        <v>295</v>
      </c>
      <c r="E693" t="s">
        <v>89</v>
      </c>
      <c r="F693" t="s">
        <v>514</v>
      </c>
      <c r="G693">
        <v>8</v>
      </c>
      <c r="H693" s="2">
        <v>800000</v>
      </c>
      <c r="I693">
        <v>4</v>
      </c>
      <c r="J693" t="s">
        <v>295</v>
      </c>
    </row>
    <row r="694" spans="1:10" hidden="1" x14ac:dyDescent="0.25">
      <c r="A694">
        <v>7</v>
      </c>
      <c r="B694" s="1">
        <v>45926</v>
      </c>
      <c r="C694" t="s">
        <v>768</v>
      </c>
      <c r="D694" t="s">
        <v>278</v>
      </c>
      <c r="E694" t="s">
        <v>89</v>
      </c>
      <c r="F694" t="s">
        <v>448</v>
      </c>
      <c r="G694">
        <v>0</v>
      </c>
      <c r="H694" s="2">
        <v>0</v>
      </c>
      <c r="I694">
        <v>4</v>
      </c>
      <c r="J694" t="s">
        <v>278</v>
      </c>
    </row>
    <row r="695" spans="1:10" hidden="1" x14ac:dyDescent="0.25">
      <c r="A695">
        <v>7</v>
      </c>
      <c r="B695" s="1">
        <v>45926</v>
      </c>
      <c r="C695" t="s">
        <v>11</v>
      </c>
      <c r="D695" t="s">
        <v>171</v>
      </c>
      <c r="E695" t="s">
        <v>77</v>
      </c>
      <c r="F695" t="s">
        <v>464</v>
      </c>
      <c r="G695">
        <v>3</v>
      </c>
      <c r="H695" s="2">
        <v>300000</v>
      </c>
      <c r="I695">
        <v>1</v>
      </c>
      <c r="J695" t="s">
        <v>171</v>
      </c>
    </row>
    <row r="696" spans="1:10" hidden="1" x14ac:dyDescent="0.25">
      <c r="A696">
        <v>7</v>
      </c>
      <c r="B696" s="1">
        <v>45926</v>
      </c>
      <c r="C696" t="s">
        <v>11</v>
      </c>
      <c r="D696" t="s">
        <v>294</v>
      </c>
      <c r="E696" t="s">
        <v>219</v>
      </c>
      <c r="F696" t="s">
        <v>456</v>
      </c>
      <c r="G696">
        <v>10</v>
      </c>
      <c r="H696" s="2">
        <v>1000000</v>
      </c>
      <c r="I696">
        <v>2</v>
      </c>
      <c r="J696" t="s">
        <v>294</v>
      </c>
    </row>
    <row r="697" spans="1:10" hidden="1" x14ac:dyDescent="0.25">
      <c r="A697">
        <v>7</v>
      </c>
      <c r="B697" s="1">
        <v>45926</v>
      </c>
      <c r="C697" t="s">
        <v>11</v>
      </c>
      <c r="D697" t="s">
        <v>70</v>
      </c>
      <c r="E697" t="s">
        <v>219</v>
      </c>
      <c r="F697" t="s">
        <v>474</v>
      </c>
      <c r="G697">
        <v>8</v>
      </c>
      <c r="H697" s="2">
        <v>800000</v>
      </c>
      <c r="I697">
        <v>2</v>
      </c>
      <c r="J697" t="s">
        <v>70</v>
      </c>
    </row>
    <row r="698" spans="1:10" hidden="1" x14ac:dyDescent="0.25">
      <c r="A698">
        <v>7</v>
      </c>
      <c r="B698" s="1">
        <v>45926</v>
      </c>
      <c r="C698" t="s">
        <v>11</v>
      </c>
      <c r="D698" t="s">
        <v>174</v>
      </c>
      <c r="E698" t="s">
        <v>219</v>
      </c>
      <c r="F698" t="s">
        <v>488</v>
      </c>
      <c r="G698">
        <v>3</v>
      </c>
      <c r="H698" s="2">
        <v>300000</v>
      </c>
      <c r="I698">
        <v>2</v>
      </c>
      <c r="J698" t="s">
        <v>174</v>
      </c>
    </row>
    <row r="699" spans="1:10" hidden="1" x14ac:dyDescent="0.25">
      <c r="A699">
        <v>7</v>
      </c>
      <c r="B699" s="1">
        <v>45926</v>
      </c>
      <c r="C699" t="s">
        <v>11</v>
      </c>
      <c r="D699" t="s">
        <v>43</v>
      </c>
      <c r="E699" t="s">
        <v>219</v>
      </c>
      <c r="F699" t="s">
        <v>480</v>
      </c>
      <c r="G699">
        <v>0</v>
      </c>
      <c r="H699" s="2">
        <v>0</v>
      </c>
      <c r="I699">
        <v>2</v>
      </c>
      <c r="J699" t="s">
        <v>43</v>
      </c>
    </row>
    <row r="700" spans="1:10" hidden="1" x14ac:dyDescent="0.25">
      <c r="A700">
        <v>7</v>
      </c>
      <c r="B700" s="1">
        <v>45926</v>
      </c>
      <c r="C700" t="s">
        <v>11</v>
      </c>
      <c r="D700" t="s">
        <v>38</v>
      </c>
      <c r="E700" t="s">
        <v>459</v>
      </c>
      <c r="F700" t="s">
        <v>448</v>
      </c>
      <c r="G700">
        <v>11</v>
      </c>
      <c r="H700" s="2">
        <v>1100000</v>
      </c>
      <c r="I700">
        <v>3</v>
      </c>
      <c r="J700" t="s">
        <v>373</v>
      </c>
    </row>
    <row r="701" spans="1:10" hidden="1" x14ac:dyDescent="0.25">
      <c r="A701">
        <v>7</v>
      </c>
      <c r="B701" s="1">
        <v>45926</v>
      </c>
      <c r="C701" t="s">
        <v>11</v>
      </c>
      <c r="D701" t="s">
        <v>239</v>
      </c>
      <c r="E701" t="s">
        <v>459</v>
      </c>
      <c r="F701" t="s">
        <v>474</v>
      </c>
      <c r="G701">
        <v>5</v>
      </c>
      <c r="H701" s="2">
        <v>500000</v>
      </c>
      <c r="I701">
        <v>3</v>
      </c>
      <c r="J701" t="s">
        <v>239</v>
      </c>
    </row>
    <row r="702" spans="1:10" hidden="1" x14ac:dyDescent="0.25">
      <c r="A702">
        <v>7</v>
      </c>
      <c r="B702" s="1">
        <v>45926</v>
      </c>
      <c r="C702" t="s">
        <v>11</v>
      </c>
      <c r="D702" t="s">
        <v>104</v>
      </c>
      <c r="E702" t="s">
        <v>459</v>
      </c>
      <c r="F702" t="s">
        <v>465</v>
      </c>
      <c r="G702">
        <v>3</v>
      </c>
      <c r="H702" s="2">
        <v>300000</v>
      </c>
      <c r="I702">
        <v>3</v>
      </c>
      <c r="J702" t="s">
        <v>104</v>
      </c>
    </row>
    <row r="703" spans="1:10" hidden="1" x14ac:dyDescent="0.25">
      <c r="A703">
        <v>7</v>
      </c>
      <c r="B703" s="1">
        <v>45926</v>
      </c>
      <c r="C703" t="s">
        <v>11</v>
      </c>
      <c r="D703" t="s">
        <v>248</v>
      </c>
      <c r="E703" t="s">
        <v>459</v>
      </c>
      <c r="F703" t="s">
        <v>464</v>
      </c>
      <c r="G703">
        <v>5</v>
      </c>
      <c r="H703" s="2">
        <v>500000</v>
      </c>
      <c r="I703">
        <v>3</v>
      </c>
      <c r="J703" t="s">
        <v>432</v>
      </c>
    </row>
    <row r="704" spans="1:10" hidden="1" x14ac:dyDescent="0.25">
      <c r="A704">
        <v>7</v>
      </c>
      <c r="B704" s="1">
        <v>45926</v>
      </c>
      <c r="C704" t="s">
        <v>11</v>
      </c>
      <c r="D704" t="s">
        <v>105</v>
      </c>
      <c r="E704" t="s">
        <v>89</v>
      </c>
      <c r="F704" t="s">
        <v>474</v>
      </c>
      <c r="G704">
        <v>9</v>
      </c>
      <c r="H704" s="2">
        <v>900000</v>
      </c>
      <c r="I704">
        <v>4</v>
      </c>
      <c r="J704" t="s">
        <v>415</v>
      </c>
    </row>
    <row r="705" spans="1:10" hidden="1" x14ac:dyDescent="0.25">
      <c r="A705">
        <v>7</v>
      </c>
      <c r="B705" s="1">
        <v>45926</v>
      </c>
      <c r="C705" t="s">
        <v>11</v>
      </c>
      <c r="D705" t="s">
        <v>257</v>
      </c>
      <c r="E705" t="s">
        <v>89</v>
      </c>
      <c r="F705" t="s">
        <v>488</v>
      </c>
      <c r="G705">
        <v>14</v>
      </c>
      <c r="H705" s="2">
        <v>1400000</v>
      </c>
      <c r="I705">
        <v>4</v>
      </c>
      <c r="J705" t="s">
        <v>257</v>
      </c>
    </row>
    <row r="706" spans="1:10" hidden="1" x14ac:dyDescent="0.25">
      <c r="A706">
        <v>7</v>
      </c>
      <c r="B706" s="1">
        <v>45926</v>
      </c>
      <c r="C706" t="s">
        <v>12</v>
      </c>
      <c r="D706" t="s">
        <v>332</v>
      </c>
      <c r="E706" t="s">
        <v>77</v>
      </c>
      <c r="F706" t="s">
        <v>474</v>
      </c>
      <c r="G706">
        <v>13</v>
      </c>
      <c r="H706" s="2">
        <v>1300000</v>
      </c>
      <c r="I706">
        <v>1</v>
      </c>
      <c r="J706" t="s">
        <v>403</v>
      </c>
    </row>
    <row r="707" spans="1:10" hidden="1" x14ac:dyDescent="0.25">
      <c r="A707">
        <v>7</v>
      </c>
      <c r="B707" s="1">
        <v>45926</v>
      </c>
      <c r="C707" t="s">
        <v>12</v>
      </c>
      <c r="D707" t="s">
        <v>233</v>
      </c>
      <c r="E707" t="s">
        <v>219</v>
      </c>
      <c r="F707" t="s">
        <v>458</v>
      </c>
      <c r="G707">
        <v>5</v>
      </c>
      <c r="H707" s="2">
        <v>500000</v>
      </c>
      <c r="I707">
        <v>2</v>
      </c>
      <c r="J707" t="s">
        <v>233</v>
      </c>
    </row>
    <row r="708" spans="1:10" hidden="1" x14ac:dyDescent="0.25">
      <c r="A708">
        <v>7</v>
      </c>
      <c r="B708" s="1">
        <v>45926</v>
      </c>
      <c r="C708" t="s">
        <v>12</v>
      </c>
      <c r="D708" t="s">
        <v>334</v>
      </c>
      <c r="E708" t="s">
        <v>219</v>
      </c>
      <c r="F708" t="s">
        <v>456</v>
      </c>
      <c r="G708">
        <v>5</v>
      </c>
      <c r="H708" s="2">
        <v>500000</v>
      </c>
      <c r="I708">
        <v>2</v>
      </c>
      <c r="J708" t="s">
        <v>565</v>
      </c>
    </row>
    <row r="709" spans="1:10" hidden="1" x14ac:dyDescent="0.25">
      <c r="A709">
        <v>7</v>
      </c>
      <c r="B709" s="1">
        <v>45926</v>
      </c>
      <c r="C709" t="s">
        <v>12</v>
      </c>
      <c r="D709" t="s">
        <v>180</v>
      </c>
      <c r="E709" t="s">
        <v>219</v>
      </c>
      <c r="F709" t="s">
        <v>465</v>
      </c>
      <c r="G709">
        <v>2</v>
      </c>
      <c r="H709" s="2">
        <v>200000</v>
      </c>
      <c r="I709">
        <v>2</v>
      </c>
      <c r="J709" t="s">
        <v>394</v>
      </c>
    </row>
    <row r="710" spans="1:10" hidden="1" x14ac:dyDescent="0.25">
      <c r="A710">
        <v>7</v>
      </c>
      <c r="B710" s="1">
        <v>45926</v>
      </c>
      <c r="C710" t="s">
        <v>12</v>
      </c>
      <c r="D710" t="s">
        <v>173</v>
      </c>
      <c r="E710" t="s">
        <v>219</v>
      </c>
      <c r="F710" t="s">
        <v>453</v>
      </c>
      <c r="G710">
        <v>9</v>
      </c>
      <c r="H710" s="2">
        <v>900000</v>
      </c>
      <c r="I710">
        <v>2</v>
      </c>
      <c r="J710" t="s">
        <v>173</v>
      </c>
    </row>
    <row r="711" spans="1:10" hidden="1" x14ac:dyDescent="0.25">
      <c r="A711">
        <v>7</v>
      </c>
      <c r="B711" s="1">
        <v>45926</v>
      </c>
      <c r="C711" t="s">
        <v>12</v>
      </c>
      <c r="D711" t="s">
        <v>119</v>
      </c>
      <c r="E711" t="s">
        <v>459</v>
      </c>
      <c r="F711" t="s">
        <v>464</v>
      </c>
      <c r="G711">
        <v>8</v>
      </c>
      <c r="H711" s="2">
        <v>800000</v>
      </c>
      <c r="I711">
        <v>3</v>
      </c>
      <c r="J711" t="s">
        <v>119</v>
      </c>
    </row>
    <row r="712" spans="1:10" hidden="1" x14ac:dyDescent="0.25">
      <c r="A712">
        <v>7</v>
      </c>
      <c r="B712" s="1">
        <v>45926</v>
      </c>
      <c r="C712" t="s">
        <v>12</v>
      </c>
      <c r="D712" t="s">
        <v>363</v>
      </c>
      <c r="E712" t="s">
        <v>459</v>
      </c>
      <c r="F712" t="s">
        <v>453</v>
      </c>
      <c r="G712">
        <v>9</v>
      </c>
      <c r="H712" s="2">
        <v>900000</v>
      </c>
      <c r="I712">
        <v>3</v>
      </c>
      <c r="J712" t="s">
        <v>363</v>
      </c>
    </row>
    <row r="713" spans="1:10" hidden="1" x14ac:dyDescent="0.25">
      <c r="A713">
        <v>7</v>
      </c>
      <c r="B713" s="1">
        <v>45926</v>
      </c>
      <c r="C713" t="s">
        <v>12</v>
      </c>
      <c r="D713" t="s">
        <v>198</v>
      </c>
      <c r="E713" t="s">
        <v>459</v>
      </c>
      <c r="F713" t="s">
        <v>485</v>
      </c>
      <c r="G713">
        <v>2</v>
      </c>
      <c r="H713" s="2">
        <v>200000</v>
      </c>
      <c r="I713">
        <v>3</v>
      </c>
      <c r="J713" t="s">
        <v>341</v>
      </c>
    </row>
    <row r="714" spans="1:10" hidden="1" x14ac:dyDescent="0.25">
      <c r="A714">
        <v>7</v>
      </c>
      <c r="B714" s="1">
        <v>45926</v>
      </c>
      <c r="C714" t="s">
        <v>12</v>
      </c>
      <c r="D714" t="s">
        <v>161</v>
      </c>
      <c r="E714" t="s">
        <v>89</v>
      </c>
      <c r="F714" t="s">
        <v>447</v>
      </c>
      <c r="G714">
        <v>4</v>
      </c>
      <c r="H714" s="2">
        <v>400000</v>
      </c>
      <c r="I714">
        <v>4</v>
      </c>
      <c r="J714" t="s">
        <v>161</v>
      </c>
    </row>
    <row r="715" spans="1:10" hidden="1" x14ac:dyDescent="0.25">
      <c r="A715">
        <v>7</v>
      </c>
      <c r="B715" s="1">
        <v>45926</v>
      </c>
      <c r="C715" t="s">
        <v>12</v>
      </c>
      <c r="D715" t="s">
        <v>35</v>
      </c>
      <c r="E715" t="s">
        <v>89</v>
      </c>
      <c r="F715" t="s">
        <v>453</v>
      </c>
      <c r="G715">
        <v>5</v>
      </c>
      <c r="H715" s="2">
        <v>500000</v>
      </c>
      <c r="I715">
        <v>4</v>
      </c>
      <c r="J715" t="s">
        <v>339</v>
      </c>
    </row>
    <row r="716" spans="1:10" hidden="1" x14ac:dyDescent="0.25">
      <c r="A716">
        <v>7</v>
      </c>
      <c r="B716" s="1">
        <v>45926</v>
      </c>
      <c r="C716" t="s">
        <v>12</v>
      </c>
      <c r="D716" t="s">
        <v>308</v>
      </c>
      <c r="E716" t="s">
        <v>89</v>
      </c>
      <c r="F716" t="s">
        <v>474</v>
      </c>
      <c r="G716">
        <v>4</v>
      </c>
      <c r="H716" s="2">
        <v>400000</v>
      </c>
      <c r="I716">
        <v>4</v>
      </c>
      <c r="J716" t="s">
        <v>308</v>
      </c>
    </row>
    <row r="717" spans="1:10" hidden="1" x14ac:dyDescent="0.25">
      <c r="A717">
        <v>7</v>
      </c>
      <c r="B717" s="1">
        <v>45926</v>
      </c>
      <c r="C717" t="s">
        <v>6</v>
      </c>
      <c r="D717" t="s">
        <v>137</v>
      </c>
      <c r="E717" t="s">
        <v>77</v>
      </c>
      <c r="F717" t="s">
        <v>485</v>
      </c>
      <c r="G717">
        <v>3</v>
      </c>
      <c r="H717" s="2">
        <v>300000</v>
      </c>
      <c r="I717">
        <v>1</v>
      </c>
      <c r="J717" t="s">
        <v>137</v>
      </c>
    </row>
    <row r="718" spans="1:10" hidden="1" x14ac:dyDescent="0.25">
      <c r="A718">
        <v>7</v>
      </c>
      <c r="B718" s="1">
        <v>45926</v>
      </c>
      <c r="C718" t="s">
        <v>6</v>
      </c>
      <c r="D718" t="s">
        <v>288</v>
      </c>
      <c r="E718" t="s">
        <v>219</v>
      </c>
      <c r="F718" t="s">
        <v>485</v>
      </c>
      <c r="G718">
        <v>6</v>
      </c>
      <c r="H718" s="2">
        <v>600000</v>
      </c>
      <c r="I718">
        <v>2</v>
      </c>
      <c r="J718" t="s">
        <v>288</v>
      </c>
    </row>
    <row r="719" spans="1:10" hidden="1" x14ac:dyDescent="0.25">
      <c r="A719">
        <v>7</v>
      </c>
      <c r="B719" s="1">
        <v>45926</v>
      </c>
      <c r="C719" t="s">
        <v>6</v>
      </c>
      <c r="D719" t="s">
        <v>164</v>
      </c>
      <c r="E719" t="s">
        <v>219</v>
      </c>
      <c r="F719" t="s">
        <v>448</v>
      </c>
      <c r="G719">
        <v>0</v>
      </c>
      <c r="H719" s="2">
        <v>0</v>
      </c>
      <c r="I719">
        <v>2</v>
      </c>
      <c r="J719" t="s">
        <v>409</v>
      </c>
    </row>
    <row r="720" spans="1:10" hidden="1" x14ac:dyDescent="0.25">
      <c r="A720">
        <v>7</v>
      </c>
      <c r="B720" s="1">
        <v>45926</v>
      </c>
      <c r="C720" t="s">
        <v>6</v>
      </c>
      <c r="D720" t="s">
        <v>430</v>
      </c>
      <c r="E720" t="s">
        <v>219</v>
      </c>
      <c r="F720" t="s">
        <v>474</v>
      </c>
      <c r="G720">
        <v>9</v>
      </c>
      <c r="H720" s="2">
        <v>900000</v>
      </c>
      <c r="I720">
        <v>2</v>
      </c>
      <c r="J720" t="s">
        <v>430</v>
      </c>
    </row>
    <row r="721" spans="1:10" hidden="1" x14ac:dyDescent="0.25">
      <c r="A721">
        <v>7</v>
      </c>
      <c r="B721" s="1">
        <v>45926</v>
      </c>
      <c r="C721" t="s">
        <v>6</v>
      </c>
      <c r="D721" t="s">
        <v>86</v>
      </c>
      <c r="E721" t="s">
        <v>459</v>
      </c>
      <c r="F721" t="s">
        <v>472</v>
      </c>
      <c r="G721">
        <v>1</v>
      </c>
      <c r="H721" s="2">
        <v>100000</v>
      </c>
      <c r="I721">
        <v>3</v>
      </c>
      <c r="J721" t="s">
        <v>732</v>
      </c>
    </row>
    <row r="722" spans="1:10" hidden="1" x14ac:dyDescent="0.25">
      <c r="A722">
        <v>7</v>
      </c>
      <c r="B722" s="1">
        <v>45926</v>
      </c>
      <c r="C722" t="s">
        <v>6</v>
      </c>
      <c r="D722" t="s">
        <v>155</v>
      </c>
      <c r="E722" t="s">
        <v>459</v>
      </c>
      <c r="F722" t="s">
        <v>480</v>
      </c>
      <c r="G722">
        <v>7</v>
      </c>
      <c r="H722" s="2">
        <v>700000</v>
      </c>
      <c r="I722">
        <v>3</v>
      </c>
      <c r="J722" t="s">
        <v>385</v>
      </c>
    </row>
    <row r="723" spans="1:10" hidden="1" x14ac:dyDescent="0.25">
      <c r="A723">
        <v>7</v>
      </c>
      <c r="B723" s="1">
        <v>45926</v>
      </c>
      <c r="C723" t="s">
        <v>6</v>
      </c>
      <c r="D723" t="s">
        <v>216</v>
      </c>
      <c r="E723" t="s">
        <v>459</v>
      </c>
      <c r="F723" t="s">
        <v>458</v>
      </c>
      <c r="G723">
        <v>8</v>
      </c>
      <c r="H723" s="2">
        <v>800000</v>
      </c>
      <c r="I723">
        <v>3</v>
      </c>
      <c r="J723" t="s">
        <v>216</v>
      </c>
    </row>
    <row r="724" spans="1:10" hidden="1" x14ac:dyDescent="0.25">
      <c r="A724">
        <v>7</v>
      </c>
      <c r="B724" s="1">
        <v>45926</v>
      </c>
      <c r="C724" t="s">
        <v>6</v>
      </c>
      <c r="D724" t="s">
        <v>47</v>
      </c>
      <c r="E724" t="s">
        <v>459</v>
      </c>
      <c r="F724" t="s">
        <v>469</v>
      </c>
      <c r="G724">
        <v>8</v>
      </c>
      <c r="H724" s="2">
        <v>800000</v>
      </c>
      <c r="I724">
        <v>3</v>
      </c>
      <c r="J724" t="s">
        <v>47</v>
      </c>
    </row>
    <row r="725" spans="1:10" hidden="1" x14ac:dyDescent="0.25">
      <c r="A725">
        <v>7</v>
      </c>
      <c r="B725" s="1">
        <v>45926</v>
      </c>
      <c r="C725" t="s">
        <v>6</v>
      </c>
      <c r="D725" t="s">
        <v>309</v>
      </c>
      <c r="E725" t="s">
        <v>89</v>
      </c>
      <c r="F725" t="s">
        <v>461</v>
      </c>
      <c r="G725">
        <v>5</v>
      </c>
      <c r="H725" s="2">
        <v>500000</v>
      </c>
      <c r="I725">
        <v>4</v>
      </c>
      <c r="J725" t="s">
        <v>484</v>
      </c>
    </row>
    <row r="726" spans="1:10" hidden="1" x14ac:dyDescent="0.25">
      <c r="A726">
        <v>7</v>
      </c>
      <c r="B726" s="1">
        <v>45926</v>
      </c>
      <c r="C726" t="s">
        <v>6</v>
      </c>
      <c r="D726" t="s">
        <v>323</v>
      </c>
      <c r="E726" t="s">
        <v>89</v>
      </c>
      <c r="F726" t="s">
        <v>451</v>
      </c>
      <c r="G726">
        <v>15</v>
      </c>
      <c r="H726" s="2">
        <v>1500000</v>
      </c>
      <c r="I726">
        <v>4</v>
      </c>
      <c r="J726" t="s">
        <v>323</v>
      </c>
    </row>
    <row r="727" spans="1:10" hidden="1" x14ac:dyDescent="0.25">
      <c r="A727">
        <v>7</v>
      </c>
      <c r="B727" s="1">
        <v>45926</v>
      </c>
      <c r="C727" t="s">
        <v>6</v>
      </c>
      <c r="D727" t="s">
        <v>270</v>
      </c>
      <c r="E727" t="s">
        <v>89</v>
      </c>
      <c r="F727" t="s">
        <v>472</v>
      </c>
      <c r="G727">
        <v>5</v>
      </c>
      <c r="H727" s="2">
        <v>500000</v>
      </c>
      <c r="I727">
        <v>4</v>
      </c>
      <c r="J727" t="s">
        <v>423</v>
      </c>
    </row>
    <row r="728" spans="1:10" hidden="1" x14ac:dyDescent="0.25">
      <c r="A728">
        <v>7</v>
      </c>
      <c r="B728" s="1">
        <v>45926</v>
      </c>
      <c r="C728" t="s">
        <v>9</v>
      </c>
      <c r="D728" t="s">
        <v>253</v>
      </c>
      <c r="E728" t="s">
        <v>77</v>
      </c>
      <c r="F728" t="s">
        <v>465</v>
      </c>
      <c r="G728">
        <v>4</v>
      </c>
      <c r="H728" s="2">
        <v>400000</v>
      </c>
      <c r="I728">
        <v>1</v>
      </c>
      <c r="J728" t="s">
        <v>253</v>
      </c>
    </row>
    <row r="729" spans="1:10" hidden="1" x14ac:dyDescent="0.25">
      <c r="A729">
        <v>7</v>
      </c>
      <c r="B729" s="1">
        <v>45926</v>
      </c>
      <c r="C729" t="s">
        <v>9</v>
      </c>
      <c r="D729" t="s">
        <v>214</v>
      </c>
      <c r="E729" t="s">
        <v>219</v>
      </c>
      <c r="F729" t="s">
        <v>455</v>
      </c>
      <c r="G729">
        <v>7</v>
      </c>
      <c r="H729" s="2">
        <v>700000</v>
      </c>
      <c r="I729">
        <v>2</v>
      </c>
      <c r="J729" t="s">
        <v>435</v>
      </c>
    </row>
    <row r="730" spans="1:10" hidden="1" x14ac:dyDescent="0.25">
      <c r="A730">
        <v>7</v>
      </c>
      <c r="B730" s="1">
        <v>45926</v>
      </c>
      <c r="C730" t="s">
        <v>9</v>
      </c>
      <c r="D730" t="s">
        <v>34</v>
      </c>
      <c r="E730" t="s">
        <v>219</v>
      </c>
      <c r="F730" t="s">
        <v>480</v>
      </c>
      <c r="G730">
        <v>1</v>
      </c>
      <c r="H730" s="2">
        <v>100000</v>
      </c>
      <c r="I730">
        <v>2</v>
      </c>
      <c r="J730" t="s">
        <v>34</v>
      </c>
    </row>
    <row r="731" spans="1:10" hidden="1" x14ac:dyDescent="0.25">
      <c r="A731">
        <v>7</v>
      </c>
      <c r="B731" s="1">
        <v>45926</v>
      </c>
      <c r="C731" t="s">
        <v>9</v>
      </c>
      <c r="D731" t="s">
        <v>139</v>
      </c>
      <c r="E731" t="s">
        <v>219</v>
      </c>
      <c r="F731" t="s">
        <v>458</v>
      </c>
      <c r="G731">
        <v>3</v>
      </c>
      <c r="H731" s="2">
        <v>300000</v>
      </c>
      <c r="I731">
        <v>2</v>
      </c>
      <c r="J731" t="s">
        <v>371</v>
      </c>
    </row>
    <row r="732" spans="1:10" hidden="1" x14ac:dyDescent="0.25">
      <c r="A732">
        <v>7</v>
      </c>
      <c r="B732" s="1">
        <v>45926</v>
      </c>
      <c r="C732" t="s">
        <v>9</v>
      </c>
      <c r="D732" t="s">
        <v>321</v>
      </c>
      <c r="E732" t="s">
        <v>219</v>
      </c>
      <c r="F732" t="s">
        <v>514</v>
      </c>
      <c r="G732">
        <v>8</v>
      </c>
      <c r="H732" s="2">
        <v>800000</v>
      </c>
      <c r="I732">
        <v>2</v>
      </c>
      <c r="J732" t="s">
        <v>399</v>
      </c>
    </row>
    <row r="733" spans="1:10" hidden="1" x14ac:dyDescent="0.25">
      <c r="A733">
        <v>7</v>
      </c>
      <c r="B733" s="1">
        <v>45926</v>
      </c>
      <c r="C733" t="s">
        <v>9</v>
      </c>
      <c r="D733" t="s">
        <v>291</v>
      </c>
      <c r="E733" t="s">
        <v>459</v>
      </c>
      <c r="F733" t="s">
        <v>469</v>
      </c>
      <c r="G733">
        <v>1</v>
      </c>
      <c r="H733" s="2">
        <v>100000</v>
      </c>
      <c r="I733">
        <v>3</v>
      </c>
      <c r="J733" t="s">
        <v>520</v>
      </c>
    </row>
    <row r="734" spans="1:10" hidden="1" x14ac:dyDescent="0.25">
      <c r="A734">
        <v>7</v>
      </c>
      <c r="B734" s="1">
        <v>45926</v>
      </c>
      <c r="C734" t="s">
        <v>9</v>
      </c>
      <c r="D734" t="s">
        <v>331</v>
      </c>
      <c r="E734" t="s">
        <v>459</v>
      </c>
      <c r="F734" t="s">
        <v>496</v>
      </c>
      <c r="G734">
        <v>3</v>
      </c>
      <c r="H734" s="2">
        <v>300000</v>
      </c>
      <c r="I734">
        <v>3</v>
      </c>
      <c r="J734" t="s">
        <v>376</v>
      </c>
    </row>
    <row r="735" spans="1:10" hidden="1" x14ac:dyDescent="0.25">
      <c r="A735">
        <v>7</v>
      </c>
      <c r="B735" s="1">
        <v>45926</v>
      </c>
      <c r="C735" t="s">
        <v>9</v>
      </c>
      <c r="D735" t="s">
        <v>299</v>
      </c>
      <c r="E735" t="s">
        <v>459</v>
      </c>
      <c r="F735" t="s">
        <v>451</v>
      </c>
      <c r="G735">
        <v>0</v>
      </c>
      <c r="H735" s="2">
        <v>0</v>
      </c>
      <c r="I735">
        <v>3</v>
      </c>
      <c r="J735" t="s">
        <v>299</v>
      </c>
    </row>
    <row r="736" spans="1:10" hidden="1" x14ac:dyDescent="0.25">
      <c r="A736">
        <v>7</v>
      </c>
      <c r="B736" s="1">
        <v>45926</v>
      </c>
      <c r="C736" t="s">
        <v>9</v>
      </c>
      <c r="D736" t="s">
        <v>136</v>
      </c>
      <c r="E736" t="s">
        <v>89</v>
      </c>
      <c r="F736" t="s">
        <v>469</v>
      </c>
      <c r="G736">
        <v>2</v>
      </c>
      <c r="H736" s="2">
        <v>200000</v>
      </c>
      <c r="I736">
        <v>4</v>
      </c>
      <c r="J736" t="s">
        <v>136</v>
      </c>
    </row>
    <row r="737" spans="1:10" hidden="1" x14ac:dyDescent="0.25">
      <c r="A737">
        <v>7</v>
      </c>
      <c r="B737" s="1">
        <v>45926</v>
      </c>
      <c r="C737" t="s">
        <v>9</v>
      </c>
      <c r="D737" t="s">
        <v>287</v>
      </c>
      <c r="E737" t="s">
        <v>89</v>
      </c>
      <c r="F737" t="s">
        <v>458</v>
      </c>
      <c r="G737">
        <v>1</v>
      </c>
      <c r="H737" s="2">
        <v>100000</v>
      </c>
      <c r="I737">
        <v>4</v>
      </c>
      <c r="J737" t="s">
        <v>287</v>
      </c>
    </row>
    <row r="738" spans="1:10" hidden="1" x14ac:dyDescent="0.25">
      <c r="A738">
        <v>7</v>
      </c>
      <c r="B738" s="1">
        <v>45926</v>
      </c>
      <c r="C738" t="s">
        <v>9</v>
      </c>
      <c r="D738" t="s">
        <v>359</v>
      </c>
      <c r="E738" t="s">
        <v>89</v>
      </c>
      <c r="F738" t="s">
        <v>488</v>
      </c>
      <c r="G738">
        <v>7</v>
      </c>
      <c r="H738" s="2">
        <v>700000</v>
      </c>
      <c r="I738">
        <v>4</v>
      </c>
      <c r="J738" t="s">
        <v>359</v>
      </c>
    </row>
    <row r="739" spans="1:10" hidden="1" x14ac:dyDescent="0.25">
      <c r="A739">
        <v>7</v>
      </c>
      <c r="B739" s="1">
        <v>45926</v>
      </c>
      <c r="C739" t="s">
        <v>13</v>
      </c>
      <c r="D739" t="s">
        <v>322</v>
      </c>
      <c r="E739" t="s">
        <v>77</v>
      </c>
      <c r="F739" t="s">
        <v>496</v>
      </c>
      <c r="G739">
        <v>4</v>
      </c>
      <c r="H739" s="2">
        <v>400000</v>
      </c>
      <c r="I739">
        <v>1</v>
      </c>
      <c r="J739" t="s">
        <v>322</v>
      </c>
    </row>
    <row r="740" spans="1:10" hidden="1" x14ac:dyDescent="0.25">
      <c r="A740">
        <v>7</v>
      </c>
      <c r="B740" s="1">
        <v>45926</v>
      </c>
      <c r="C740" t="s">
        <v>13</v>
      </c>
      <c r="D740" t="s">
        <v>202</v>
      </c>
      <c r="E740" t="s">
        <v>219</v>
      </c>
      <c r="F740" t="s">
        <v>465</v>
      </c>
      <c r="G740">
        <v>1</v>
      </c>
      <c r="H740" s="2">
        <v>100000</v>
      </c>
      <c r="I740">
        <v>2</v>
      </c>
      <c r="J740" t="s">
        <v>734</v>
      </c>
    </row>
    <row r="741" spans="1:10" hidden="1" x14ac:dyDescent="0.25">
      <c r="A741">
        <v>7</v>
      </c>
      <c r="B741" s="1">
        <v>45926</v>
      </c>
      <c r="C741" t="s">
        <v>13</v>
      </c>
      <c r="D741" t="s">
        <v>183</v>
      </c>
      <c r="E741" t="s">
        <v>219</v>
      </c>
      <c r="F741" t="s">
        <v>485</v>
      </c>
      <c r="G741">
        <v>0</v>
      </c>
      <c r="H741" s="2">
        <v>0</v>
      </c>
      <c r="I741">
        <v>2</v>
      </c>
      <c r="J741" t="s">
        <v>393</v>
      </c>
    </row>
    <row r="742" spans="1:10" hidden="1" x14ac:dyDescent="0.25">
      <c r="A742">
        <v>7</v>
      </c>
      <c r="B742" s="1">
        <v>45926</v>
      </c>
      <c r="C742" t="s">
        <v>13</v>
      </c>
      <c r="D742" t="s">
        <v>108</v>
      </c>
      <c r="E742" t="s">
        <v>219</v>
      </c>
      <c r="F742" t="s">
        <v>456</v>
      </c>
      <c r="G742">
        <v>3</v>
      </c>
      <c r="H742" s="2">
        <v>300000</v>
      </c>
      <c r="I742">
        <v>2</v>
      </c>
      <c r="J742" t="s">
        <v>388</v>
      </c>
    </row>
    <row r="743" spans="1:10" hidden="1" x14ac:dyDescent="0.25">
      <c r="A743">
        <v>7</v>
      </c>
      <c r="B743" s="1">
        <v>45926</v>
      </c>
      <c r="C743" t="s">
        <v>13</v>
      </c>
      <c r="D743" t="s">
        <v>325</v>
      </c>
      <c r="E743" t="s">
        <v>459</v>
      </c>
      <c r="F743" t="s">
        <v>458</v>
      </c>
      <c r="G743">
        <v>5</v>
      </c>
      <c r="H743" s="2">
        <v>500000</v>
      </c>
      <c r="I743">
        <v>3</v>
      </c>
      <c r="J743" t="s">
        <v>741</v>
      </c>
    </row>
    <row r="744" spans="1:10" hidden="1" x14ac:dyDescent="0.25">
      <c r="A744">
        <v>7</v>
      </c>
      <c r="B744" s="1">
        <v>45926</v>
      </c>
      <c r="C744" t="s">
        <v>13</v>
      </c>
      <c r="D744" t="s">
        <v>73</v>
      </c>
      <c r="E744" t="s">
        <v>459</v>
      </c>
      <c r="F744" t="s">
        <v>456</v>
      </c>
      <c r="G744">
        <v>2</v>
      </c>
      <c r="H744" s="2">
        <v>200000</v>
      </c>
      <c r="I744">
        <v>3</v>
      </c>
      <c r="J744" t="s">
        <v>73</v>
      </c>
    </row>
    <row r="745" spans="1:10" hidden="1" x14ac:dyDescent="0.25">
      <c r="A745">
        <v>7</v>
      </c>
      <c r="B745" s="1">
        <v>45926</v>
      </c>
      <c r="C745" t="s">
        <v>13</v>
      </c>
      <c r="D745" t="s">
        <v>45</v>
      </c>
      <c r="E745" t="s">
        <v>459</v>
      </c>
      <c r="F745" t="s">
        <v>474</v>
      </c>
      <c r="G745">
        <v>7</v>
      </c>
      <c r="H745" s="2">
        <v>700000</v>
      </c>
      <c r="I745">
        <v>3</v>
      </c>
      <c r="J745" t="s">
        <v>396</v>
      </c>
    </row>
    <row r="746" spans="1:10" hidden="1" x14ac:dyDescent="0.25">
      <c r="A746">
        <v>7</v>
      </c>
      <c r="B746" s="1">
        <v>45926</v>
      </c>
      <c r="C746" t="s">
        <v>13</v>
      </c>
      <c r="D746" t="s">
        <v>60</v>
      </c>
      <c r="E746" t="s">
        <v>459</v>
      </c>
      <c r="F746" t="s">
        <v>464</v>
      </c>
      <c r="G746">
        <v>6</v>
      </c>
      <c r="H746" s="2">
        <v>600000</v>
      </c>
      <c r="I746">
        <v>3</v>
      </c>
      <c r="J746" t="s">
        <v>340</v>
      </c>
    </row>
    <row r="747" spans="1:10" hidden="1" x14ac:dyDescent="0.25">
      <c r="A747">
        <v>7</v>
      </c>
      <c r="B747" s="1">
        <v>45926</v>
      </c>
      <c r="C747" t="s">
        <v>13</v>
      </c>
      <c r="D747" t="s">
        <v>275</v>
      </c>
      <c r="E747" t="s">
        <v>89</v>
      </c>
      <c r="F747" t="s">
        <v>465</v>
      </c>
      <c r="G747">
        <v>8</v>
      </c>
      <c r="H747" s="2">
        <v>800000</v>
      </c>
      <c r="I747">
        <v>4</v>
      </c>
      <c r="J747" t="s">
        <v>275</v>
      </c>
    </row>
    <row r="748" spans="1:10" hidden="1" x14ac:dyDescent="0.25">
      <c r="A748">
        <v>7</v>
      </c>
      <c r="B748" s="1">
        <v>45926</v>
      </c>
      <c r="C748" t="s">
        <v>13</v>
      </c>
      <c r="D748" t="s">
        <v>328</v>
      </c>
      <c r="E748" t="s">
        <v>89</v>
      </c>
      <c r="F748" t="s">
        <v>448</v>
      </c>
      <c r="G748">
        <v>8</v>
      </c>
      <c r="H748" s="2">
        <v>800000</v>
      </c>
      <c r="I748">
        <v>4</v>
      </c>
      <c r="J748" t="s">
        <v>654</v>
      </c>
    </row>
    <row r="749" spans="1:10" hidden="1" x14ac:dyDescent="0.25">
      <c r="A749">
        <v>7</v>
      </c>
      <c r="B749" s="1">
        <v>45926</v>
      </c>
      <c r="C749" t="s">
        <v>13</v>
      </c>
      <c r="D749" t="s">
        <v>168</v>
      </c>
      <c r="E749" t="s">
        <v>89</v>
      </c>
      <c r="F749" t="s">
        <v>455</v>
      </c>
      <c r="G749">
        <v>2</v>
      </c>
      <c r="H749" s="2">
        <v>200000</v>
      </c>
      <c r="I749">
        <v>4</v>
      </c>
      <c r="J749" t="s">
        <v>168</v>
      </c>
    </row>
    <row r="750" spans="1:10" hidden="1" x14ac:dyDescent="0.25">
      <c r="A750">
        <v>7</v>
      </c>
      <c r="B750" s="1">
        <v>45926</v>
      </c>
      <c r="C750" t="s">
        <v>8</v>
      </c>
      <c r="D750" t="s">
        <v>266</v>
      </c>
      <c r="E750" t="s">
        <v>77</v>
      </c>
      <c r="F750" t="s">
        <v>451</v>
      </c>
      <c r="G750">
        <v>10</v>
      </c>
      <c r="H750" s="2">
        <v>1000000</v>
      </c>
      <c r="I750">
        <v>1</v>
      </c>
      <c r="J750" t="s">
        <v>675</v>
      </c>
    </row>
    <row r="751" spans="1:10" hidden="1" x14ac:dyDescent="0.25">
      <c r="A751">
        <v>7</v>
      </c>
      <c r="B751" s="1">
        <v>45926</v>
      </c>
      <c r="C751" t="s">
        <v>8</v>
      </c>
      <c r="D751" t="s">
        <v>67</v>
      </c>
      <c r="E751" t="s">
        <v>219</v>
      </c>
      <c r="F751" t="s">
        <v>472</v>
      </c>
      <c r="G751">
        <v>1</v>
      </c>
      <c r="H751" s="2">
        <v>100000</v>
      </c>
      <c r="I751">
        <v>2</v>
      </c>
      <c r="J751" t="s">
        <v>512</v>
      </c>
    </row>
    <row r="752" spans="1:10" hidden="1" x14ac:dyDescent="0.25">
      <c r="A752">
        <v>7</v>
      </c>
      <c r="B752" s="1">
        <v>45926</v>
      </c>
      <c r="C752" t="s">
        <v>8</v>
      </c>
      <c r="D752" t="s">
        <v>200</v>
      </c>
      <c r="E752" t="s">
        <v>219</v>
      </c>
      <c r="F752" t="s">
        <v>514</v>
      </c>
      <c r="G752">
        <v>0</v>
      </c>
      <c r="H752" s="2">
        <v>0</v>
      </c>
      <c r="I752">
        <v>2</v>
      </c>
      <c r="J752" t="s">
        <v>200</v>
      </c>
    </row>
    <row r="753" spans="1:10" hidden="1" x14ac:dyDescent="0.25">
      <c r="A753">
        <v>7</v>
      </c>
      <c r="B753" s="1">
        <v>45926</v>
      </c>
      <c r="C753" t="s">
        <v>8</v>
      </c>
      <c r="D753" t="s">
        <v>215</v>
      </c>
      <c r="E753" t="s">
        <v>219</v>
      </c>
      <c r="F753" t="s">
        <v>456</v>
      </c>
      <c r="G753">
        <v>16</v>
      </c>
      <c r="H753" s="2">
        <v>1600000</v>
      </c>
      <c r="I753">
        <v>2</v>
      </c>
      <c r="J753" t="s">
        <v>402</v>
      </c>
    </row>
    <row r="754" spans="1:10" hidden="1" x14ac:dyDescent="0.25">
      <c r="A754">
        <v>7</v>
      </c>
      <c r="B754" s="1">
        <v>45926</v>
      </c>
      <c r="C754" t="s">
        <v>8</v>
      </c>
      <c r="D754" t="s">
        <v>111</v>
      </c>
      <c r="E754" t="s">
        <v>459</v>
      </c>
      <c r="F754" t="s">
        <v>474</v>
      </c>
      <c r="G754">
        <v>9</v>
      </c>
      <c r="H754" s="2">
        <v>900000</v>
      </c>
      <c r="I754">
        <v>3</v>
      </c>
      <c r="J754" t="s">
        <v>111</v>
      </c>
    </row>
    <row r="755" spans="1:10" hidden="1" x14ac:dyDescent="0.25">
      <c r="A755">
        <v>7</v>
      </c>
      <c r="B755" s="1">
        <v>45926</v>
      </c>
      <c r="C755" t="s">
        <v>8</v>
      </c>
      <c r="D755" t="s">
        <v>64</v>
      </c>
      <c r="E755" t="s">
        <v>459</v>
      </c>
      <c r="F755" t="s">
        <v>453</v>
      </c>
      <c r="G755">
        <v>2</v>
      </c>
      <c r="H755" s="2">
        <v>200000</v>
      </c>
      <c r="I755">
        <v>3</v>
      </c>
      <c r="J755" t="s">
        <v>491</v>
      </c>
    </row>
    <row r="756" spans="1:10" hidden="1" x14ac:dyDescent="0.25">
      <c r="A756">
        <v>7</v>
      </c>
      <c r="B756" s="1">
        <v>45926</v>
      </c>
      <c r="C756" t="s">
        <v>8</v>
      </c>
      <c r="D756" t="s">
        <v>237</v>
      </c>
      <c r="E756" t="s">
        <v>459</v>
      </c>
      <c r="F756" t="s">
        <v>496</v>
      </c>
      <c r="G756">
        <v>2</v>
      </c>
      <c r="H756" s="2">
        <v>200000</v>
      </c>
      <c r="I756">
        <v>3</v>
      </c>
      <c r="J756" t="s">
        <v>418</v>
      </c>
    </row>
    <row r="757" spans="1:10" hidden="1" x14ac:dyDescent="0.25">
      <c r="A757">
        <v>7</v>
      </c>
      <c r="B757" s="1">
        <v>45926</v>
      </c>
      <c r="C757" t="s">
        <v>8</v>
      </c>
      <c r="D757" t="s">
        <v>300</v>
      </c>
      <c r="E757" t="s">
        <v>459</v>
      </c>
      <c r="F757" t="s">
        <v>498</v>
      </c>
      <c r="G757">
        <v>7</v>
      </c>
      <c r="H757" s="2">
        <v>700000</v>
      </c>
      <c r="I757">
        <v>3</v>
      </c>
      <c r="J757" t="s">
        <v>398</v>
      </c>
    </row>
    <row r="758" spans="1:10" hidden="1" x14ac:dyDescent="0.25">
      <c r="A758">
        <v>7</v>
      </c>
      <c r="B758" s="1">
        <v>45926</v>
      </c>
      <c r="C758" t="s">
        <v>8</v>
      </c>
      <c r="D758" t="s">
        <v>71</v>
      </c>
      <c r="E758" t="s">
        <v>89</v>
      </c>
      <c r="F758" t="s">
        <v>472</v>
      </c>
      <c r="G758">
        <v>2</v>
      </c>
      <c r="H758" s="2">
        <v>200000</v>
      </c>
      <c r="I758">
        <v>4</v>
      </c>
      <c r="J758" t="s">
        <v>693</v>
      </c>
    </row>
    <row r="759" spans="1:10" hidden="1" x14ac:dyDescent="0.25">
      <c r="A759">
        <v>7</v>
      </c>
      <c r="B759" s="1">
        <v>45926</v>
      </c>
      <c r="C759" t="s">
        <v>8</v>
      </c>
      <c r="D759" t="s">
        <v>267</v>
      </c>
      <c r="E759" t="s">
        <v>89</v>
      </c>
      <c r="F759" t="s">
        <v>447</v>
      </c>
      <c r="G759">
        <v>10</v>
      </c>
      <c r="H759" s="2">
        <v>1000000</v>
      </c>
      <c r="I759">
        <v>4</v>
      </c>
      <c r="J759" t="s">
        <v>751</v>
      </c>
    </row>
    <row r="760" spans="1:10" hidden="1" x14ac:dyDescent="0.25">
      <c r="A760">
        <v>7</v>
      </c>
      <c r="B760" s="1">
        <v>45926</v>
      </c>
      <c r="C760" t="s">
        <v>8</v>
      </c>
      <c r="D760" t="s">
        <v>312</v>
      </c>
      <c r="E760" t="s">
        <v>89</v>
      </c>
      <c r="F760" t="s">
        <v>455</v>
      </c>
      <c r="G760">
        <v>3</v>
      </c>
      <c r="H760" s="2">
        <v>300000</v>
      </c>
      <c r="I760">
        <v>4</v>
      </c>
      <c r="J760" t="s">
        <v>312</v>
      </c>
    </row>
    <row r="761" spans="1:10" hidden="1" x14ac:dyDescent="0.25">
      <c r="A761">
        <v>7</v>
      </c>
      <c r="B761" s="1">
        <v>45926</v>
      </c>
      <c r="C761" t="s">
        <v>7</v>
      </c>
      <c r="D761" t="s">
        <v>54</v>
      </c>
      <c r="E761" t="s">
        <v>77</v>
      </c>
      <c r="F761" t="s">
        <v>488</v>
      </c>
      <c r="G761">
        <v>1</v>
      </c>
      <c r="H761" s="2">
        <v>100000</v>
      </c>
      <c r="I761">
        <v>1</v>
      </c>
      <c r="J761" t="s">
        <v>54</v>
      </c>
    </row>
    <row r="762" spans="1:10" hidden="1" x14ac:dyDescent="0.25">
      <c r="A762">
        <v>7</v>
      </c>
      <c r="B762" s="1">
        <v>45926</v>
      </c>
      <c r="C762" t="s">
        <v>7</v>
      </c>
      <c r="D762" t="s">
        <v>227</v>
      </c>
      <c r="E762" t="s">
        <v>219</v>
      </c>
      <c r="F762" t="s">
        <v>447</v>
      </c>
      <c r="G762">
        <v>8</v>
      </c>
      <c r="H762" s="2">
        <v>800000</v>
      </c>
      <c r="I762">
        <v>2</v>
      </c>
      <c r="J762" t="s">
        <v>617</v>
      </c>
    </row>
    <row r="763" spans="1:10" hidden="1" x14ac:dyDescent="0.25">
      <c r="A763">
        <v>7</v>
      </c>
      <c r="B763" s="1">
        <v>45926</v>
      </c>
      <c r="C763" t="s">
        <v>7</v>
      </c>
      <c r="D763" t="s">
        <v>181</v>
      </c>
      <c r="E763" t="s">
        <v>219</v>
      </c>
      <c r="F763" t="s">
        <v>498</v>
      </c>
      <c r="G763">
        <v>2</v>
      </c>
      <c r="H763" s="2">
        <v>200000</v>
      </c>
      <c r="I763">
        <v>2</v>
      </c>
      <c r="J763" t="s">
        <v>406</v>
      </c>
    </row>
    <row r="764" spans="1:10" hidden="1" x14ac:dyDescent="0.25">
      <c r="A764">
        <v>7</v>
      </c>
      <c r="B764" s="1">
        <v>45926</v>
      </c>
      <c r="C764" t="s">
        <v>7</v>
      </c>
      <c r="D764" t="s">
        <v>115</v>
      </c>
      <c r="E764" t="s">
        <v>219</v>
      </c>
      <c r="F764" t="s">
        <v>472</v>
      </c>
      <c r="G764">
        <v>2</v>
      </c>
      <c r="H764" s="2">
        <v>200000</v>
      </c>
      <c r="I764">
        <v>2</v>
      </c>
      <c r="J764" t="s">
        <v>115</v>
      </c>
    </row>
    <row r="765" spans="1:10" hidden="1" x14ac:dyDescent="0.25">
      <c r="A765">
        <v>7</v>
      </c>
      <c r="B765" s="1">
        <v>45926</v>
      </c>
      <c r="C765" t="s">
        <v>7</v>
      </c>
      <c r="D765" t="s">
        <v>151</v>
      </c>
      <c r="E765" t="s">
        <v>219</v>
      </c>
      <c r="F765" t="s">
        <v>447</v>
      </c>
      <c r="G765">
        <v>6</v>
      </c>
      <c r="H765" s="2">
        <v>600000</v>
      </c>
      <c r="I765">
        <v>2</v>
      </c>
      <c r="J765" t="s">
        <v>382</v>
      </c>
    </row>
    <row r="766" spans="1:10" hidden="1" x14ac:dyDescent="0.25">
      <c r="A766">
        <v>7</v>
      </c>
      <c r="B766" s="1">
        <v>45926</v>
      </c>
      <c r="C766" t="s">
        <v>7</v>
      </c>
      <c r="D766" t="s">
        <v>196</v>
      </c>
      <c r="E766" t="s">
        <v>459</v>
      </c>
      <c r="F766" t="s">
        <v>448</v>
      </c>
      <c r="G766">
        <v>0</v>
      </c>
      <c r="H766" s="2">
        <v>0</v>
      </c>
      <c r="I766">
        <v>3</v>
      </c>
      <c r="J766" t="s">
        <v>342</v>
      </c>
    </row>
    <row r="767" spans="1:10" hidden="1" x14ac:dyDescent="0.25">
      <c r="A767">
        <v>7</v>
      </c>
      <c r="B767" s="1">
        <v>45926</v>
      </c>
      <c r="C767" t="s">
        <v>7</v>
      </c>
      <c r="D767" t="s">
        <v>87</v>
      </c>
      <c r="E767" t="s">
        <v>459</v>
      </c>
      <c r="F767" t="s">
        <v>485</v>
      </c>
      <c r="G767">
        <v>0</v>
      </c>
      <c r="H767" s="2">
        <v>0</v>
      </c>
      <c r="I767">
        <v>3</v>
      </c>
      <c r="J767" t="s">
        <v>87</v>
      </c>
    </row>
    <row r="768" spans="1:10" hidden="1" x14ac:dyDescent="0.25">
      <c r="A768">
        <v>7</v>
      </c>
      <c r="B768" s="1">
        <v>45926</v>
      </c>
      <c r="C768" t="s">
        <v>7</v>
      </c>
      <c r="D768" t="s">
        <v>425</v>
      </c>
      <c r="E768" t="s">
        <v>459</v>
      </c>
      <c r="F768" t="s">
        <v>448</v>
      </c>
      <c r="G768">
        <v>2</v>
      </c>
      <c r="H768" s="2">
        <v>200000</v>
      </c>
      <c r="I768">
        <v>3</v>
      </c>
      <c r="J768" t="s">
        <v>425</v>
      </c>
    </row>
    <row r="769" spans="1:10" hidden="1" x14ac:dyDescent="0.25">
      <c r="A769">
        <v>7</v>
      </c>
      <c r="B769" s="1">
        <v>45926</v>
      </c>
      <c r="C769" t="s">
        <v>7</v>
      </c>
      <c r="D769" t="s">
        <v>281</v>
      </c>
      <c r="E769" t="s">
        <v>89</v>
      </c>
      <c r="F769" t="s">
        <v>496</v>
      </c>
      <c r="G769">
        <v>9</v>
      </c>
      <c r="H769" s="2">
        <v>900000</v>
      </c>
      <c r="I769">
        <v>4</v>
      </c>
      <c r="J769" t="s">
        <v>397</v>
      </c>
    </row>
    <row r="770" spans="1:10" hidden="1" x14ac:dyDescent="0.25">
      <c r="A770">
        <v>7</v>
      </c>
      <c r="B770" s="1">
        <v>45926</v>
      </c>
      <c r="C770" t="s">
        <v>7</v>
      </c>
      <c r="D770" t="s">
        <v>51</v>
      </c>
      <c r="E770" t="s">
        <v>89</v>
      </c>
      <c r="F770" t="s">
        <v>498</v>
      </c>
      <c r="G770">
        <v>0</v>
      </c>
      <c r="H770" s="2">
        <v>0</v>
      </c>
      <c r="I770">
        <v>4</v>
      </c>
      <c r="J770" t="s">
        <v>413</v>
      </c>
    </row>
    <row r="771" spans="1:10" hidden="1" x14ac:dyDescent="0.25">
      <c r="A771">
        <v>7</v>
      </c>
      <c r="B771" s="1">
        <v>45926</v>
      </c>
      <c r="C771" t="s">
        <v>7</v>
      </c>
      <c r="D771" t="s">
        <v>187</v>
      </c>
      <c r="E771" t="s">
        <v>89</v>
      </c>
      <c r="F771" t="s">
        <v>461</v>
      </c>
      <c r="G771">
        <v>4</v>
      </c>
      <c r="H771" s="2">
        <v>400000</v>
      </c>
      <c r="I771">
        <v>4</v>
      </c>
      <c r="J771" t="s">
        <v>399</v>
      </c>
    </row>
    <row r="772" spans="1:10" hidden="1" x14ac:dyDescent="0.25">
      <c r="A772">
        <v>8</v>
      </c>
      <c r="B772" s="1">
        <v>45933</v>
      </c>
      <c r="C772" t="s">
        <v>10</v>
      </c>
      <c r="D772" t="s">
        <v>429</v>
      </c>
      <c r="E772" t="s">
        <v>77</v>
      </c>
      <c r="F772" t="s">
        <v>449</v>
      </c>
      <c r="G772">
        <v>2</v>
      </c>
      <c r="H772" s="2">
        <v>200000</v>
      </c>
      <c r="I772">
        <v>1</v>
      </c>
      <c r="J772" t="s">
        <v>429</v>
      </c>
    </row>
    <row r="773" spans="1:10" hidden="1" x14ac:dyDescent="0.25">
      <c r="A773">
        <v>8</v>
      </c>
      <c r="B773" s="1">
        <v>45933</v>
      </c>
      <c r="C773" t="s">
        <v>10</v>
      </c>
      <c r="D773" t="s">
        <v>310</v>
      </c>
      <c r="E773" t="s">
        <v>219</v>
      </c>
      <c r="F773" t="s">
        <v>464</v>
      </c>
      <c r="G773">
        <v>13</v>
      </c>
      <c r="H773" s="2">
        <v>1300000</v>
      </c>
      <c r="I773">
        <v>2</v>
      </c>
      <c r="J773" t="s">
        <v>310</v>
      </c>
    </row>
    <row r="774" spans="1:10" hidden="1" x14ac:dyDescent="0.25">
      <c r="A774">
        <v>8</v>
      </c>
      <c r="B774" s="1">
        <v>45933</v>
      </c>
      <c r="C774" t="s">
        <v>10</v>
      </c>
      <c r="D774" t="s">
        <v>34</v>
      </c>
      <c r="E774" t="s">
        <v>219</v>
      </c>
      <c r="F774" t="s">
        <v>480</v>
      </c>
      <c r="G774">
        <v>10</v>
      </c>
      <c r="H774" s="2">
        <v>1000000</v>
      </c>
      <c r="I774">
        <v>2</v>
      </c>
      <c r="J774" t="s">
        <v>34</v>
      </c>
    </row>
    <row r="775" spans="1:10" hidden="1" x14ac:dyDescent="0.25">
      <c r="A775">
        <v>8</v>
      </c>
      <c r="B775" s="1">
        <v>45933</v>
      </c>
      <c r="C775" t="s">
        <v>10</v>
      </c>
      <c r="D775" t="s">
        <v>315</v>
      </c>
      <c r="E775" t="s">
        <v>219</v>
      </c>
      <c r="F775" t="s">
        <v>496</v>
      </c>
      <c r="G775">
        <v>3</v>
      </c>
      <c r="H775" s="2">
        <v>300000</v>
      </c>
      <c r="I775">
        <v>2</v>
      </c>
      <c r="J775" t="s">
        <v>730</v>
      </c>
    </row>
    <row r="776" spans="1:10" hidden="1" x14ac:dyDescent="0.25">
      <c r="A776">
        <v>8</v>
      </c>
      <c r="B776" s="1">
        <v>45933</v>
      </c>
      <c r="C776" t="s">
        <v>10</v>
      </c>
      <c r="D776" t="s">
        <v>358</v>
      </c>
      <c r="E776" t="s">
        <v>459</v>
      </c>
      <c r="F776" t="s">
        <v>485</v>
      </c>
      <c r="G776">
        <v>2</v>
      </c>
      <c r="H776" s="2">
        <v>200000</v>
      </c>
      <c r="I776">
        <v>3</v>
      </c>
      <c r="J776" t="s">
        <v>547</v>
      </c>
    </row>
    <row r="777" spans="1:10" hidden="1" x14ac:dyDescent="0.25">
      <c r="A777">
        <v>8</v>
      </c>
      <c r="B777" s="1">
        <v>45933</v>
      </c>
      <c r="C777" t="s">
        <v>10</v>
      </c>
      <c r="D777" t="s">
        <v>88</v>
      </c>
      <c r="E777" t="s">
        <v>459</v>
      </c>
      <c r="F777" t="s">
        <v>472</v>
      </c>
      <c r="G777">
        <v>3</v>
      </c>
      <c r="H777" s="2">
        <v>300000</v>
      </c>
      <c r="I777">
        <v>3</v>
      </c>
      <c r="J777" t="s">
        <v>88</v>
      </c>
    </row>
    <row r="778" spans="1:10" hidden="1" x14ac:dyDescent="0.25">
      <c r="A778">
        <v>8</v>
      </c>
      <c r="B778" s="1">
        <v>45933</v>
      </c>
      <c r="C778" t="s">
        <v>10</v>
      </c>
      <c r="D778" t="s">
        <v>325</v>
      </c>
      <c r="E778" t="s">
        <v>459</v>
      </c>
      <c r="F778" t="s">
        <v>458</v>
      </c>
      <c r="G778">
        <v>11</v>
      </c>
      <c r="H778" s="2">
        <v>1100000</v>
      </c>
      <c r="I778">
        <v>3</v>
      </c>
      <c r="J778" t="s">
        <v>741</v>
      </c>
    </row>
    <row r="779" spans="1:10" hidden="1" x14ac:dyDescent="0.25">
      <c r="A779">
        <v>8</v>
      </c>
      <c r="B779" s="1">
        <v>45933</v>
      </c>
      <c r="C779" t="s">
        <v>10</v>
      </c>
      <c r="D779" t="s">
        <v>761</v>
      </c>
      <c r="E779" t="s">
        <v>459</v>
      </c>
      <c r="F779" t="s">
        <v>453</v>
      </c>
      <c r="G779">
        <v>11</v>
      </c>
      <c r="H779" s="2">
        <v>1100000</v>
      </c>
      <c r="I779">
        <v>3</v>
      </c>
      <c r="J779" t="s">
        <v>716</v>
      </c>
    </row>
    <row r="780" spans="1:10" hidden="1" x14ac:dyDescent="0.25">
      <c r="A780">
        <v>8</v>
      </c>
      <c r="B780" s="1">
        <v>45933</v>
      </c>
      <c r="C780" t="s">
        <v>10</v>
      </c>
      <c r="D780" t="s">
        <v>147</v>
      </c>
      <c r="E780" t="s">
        <v>89</v>
      </c>
      <c r="F780" t="s">
        <v>451</v>
      </c>
      <c r="G780">
        <v>10</v>
      </c>
      <c r="H780" s="2">
        <v>1000000</v>
      </c>
      <c r="I780">
        <v>4</v>
      </c>
      <c r="J780" t="s">
        <v>450</v>
      </c>
    </row>
    <row r="781" spans="1:10" hidden="1" x14ac:dyDescent="0.25">
      <c r="A781">
        <v>8</v>
      </c>
      <c r="B781" s="1">
        <v>45933</v>
      </c>
      <c r="C781" t="s">
        <v>10</v>
      </c>
      <c r="D781" t="s">
        <v>301</v>
      </c>
      <c r="E781" t="s">
        <v>89</v>
      </c>
      <c r="F781" t="s">
        <v>461</v>
      </c>
      <c r="G781">
        <v>8</v>
      </c>
      <c r="H781" s="2">
        <v>800000</v>
      </c>
      <c r="I781">
        <v>4</v>
      </c>
      <c r="J781" t="s">
        <v>301</v>
      </c>
    </row>
    <row r="782" spans="1:10" hidden="1" x14ac:dyDescent="0.25">
      <c r="A782">
        <v>8</v>
      </c>
      <c r="B782" s="1">
        <v>45933</v>
      </c>
      <c r="C782" t="s">
        <v>10</v>
      </c>
      <c r="D782" t="s">
        <v>426</v>
      </c>
      <c r="E782" t="s">
        <v>89</v>
      </c>
      <c r="F782" t="s">
        <v>514</v>
      </c>
      <c r="G782">
        <v>4</v>
      </c>
      <c r="H782" s="2">
        <v>400000</v>
      </c>
      <c r="I782">
        <v>4</v>
      </c>
      <c r="J782" t="s">
        <v>426</v>
      </c>
    </row>
    <row r="783" spans="1:10" hidden="1" x14ac:dyDescent="0.25">
      <c r="A783">
        <v>8</v>
      </c>
      <c r="B783" s="1">
        <v>45933</v>
      </c>
      <c r="C783" t="s">
        <v>14</v>
      </c>
      <c r="D783" t="s">
        <v>229</v>
      </c>
      <c r="E783" t="s">
        <v>77</v>
      </c>
      <c r="F783" t="s">
        <v>480</v>
      </c>
      <c r="G783">
        <v>4</v>
      </c>
      <c r="H783" s="2">
        <v>400000</v>
      </c>
      <c r="I783">
        <v>1</v>
      </c>
      <c r="J783" t="s">
        <v>738</v>
      </c>
    </row>
    <row r="784" spans="1:10" hidden="1" x14ac:dyDescent="0.25">
      <c r="A784">
        <v>8</v>
      </c>
      <c r="B784" s="1">
        <v>45933</v>
      </c>
      <c r="C784" t="s">
        <v>14</v>
      </c>
      <c r="D784" t="s">
        <v>182</v>
      </c>
      <c r="E784" t="s">
        <v>219</v>
      </c>
      <c r="F784" t="s">
        <v>474</v>
      </c>
      <c r="G784">
        <v>0</v>
      </c>
      <c r="H784" s="2">
        <v>0</v>
      </c>
      <c r="I784">
        <v>2</v>
      </c>
      <c r="J784" t="s">
        <v>711</v>
      </c>
    </row>
    <row r="785" spans="1:10" hidden="1" x14ac:dyDescent="0.25">
      <c r="A785">
        <v>8</v>
      </c>
      <c r="B785" s="1">
        <v>45933</v>
      </c>
      <c r="C785" t="s">
        <v>14</v>
      </c>
      <c r="D785" t="s">
        <v>273</v>
      </c>
      <c r="E785" t="s">
        <v>219</v>
      </c>
      <c r="F785" t="s">
        <v>453</v>
      </c>
      <c r="G785">
        <v>2</v>
      </c>
      <c r="H785" s="2">
        <v>200000</v>
      </c>
      <c r="I785">
        <v>2</v>
      </c>
      <c r="J785" t="s">
        <v>273</v>
      </c>
    </row>
    <row r="786" spans="1:10" hidden="1" x14ac:dyDescent="0.25">
      <c r="A786">
        <v>8</v>
      </c>
      <c r="B786" s="1">
        <v>45933</v>
      </c>
      <c r="C786" t="s">
        <v>14</v>
      </c>
      <c r="D786" t="s">
        <v>362</v>
      </c>
      <c r="E786" t="s">
        <v>219</v>
      </c>
      <c r="F786" t="s">
        <v>458</v>
      </c>
      <c r="G786">
        <v>5</v>
      </c>
      <c r="H786" s="2">
        <v>500000</v>
      </c>
      <c r="I786">
        <v>2</v>
      </c>
      <c r="J786" t="s">
        <v>362</v>
      </c>
    </row>
    <row r="787" spans="1:10" hidden="1" x14ac:dyDescent="0.25">
      <c r="A787">
        <v>8</v>
      </c>
      <c r="B787" s="1">
        <v>45933</v>
      </c>
      <c r="C787" t="s">
        <v>14</v>
      </c>
      <c r="D787" t="s">
        <v>144</v>
      </c>
      <c r="E787" t="s">
        <v>459</v>
      </c>
      <c r="F787" t="s">
        <v>453</v>
      </c>
      <c r="G787">
        <v>-1</v>
      </c>
      <c r="H787" s="2">
        <v>-100000</v>
      </c>
      <c r="I787">
        <v>3</v>
      </c>
      <c r="J787" t="s">
        <v>144</v>
      </c>
    </row>
    <row r="788" spans="1:10" hidden="1" x14ac:dyDescent="0.25">
      <c r="A788">
        <v>8</v>
      </c>
      <c r="B788" s="1">
        <v>45933</v>
      </c>
      <c r="C788" t="s">
        <v>14</v>
      </c>
      <c r="D788" t="s">
        <v>360</v>
      </c>
      <c r="E788" t="s">
        <v>459</v>
      </c>
      <c r="F788" t="s">
        <v>456</v>
      </c>
      <c r="G788">
        <v>0</v>
      </c>
      <c r="H788" s="2">
        <v>0</v>
      </c>
      <c r="I788">
        <v>3</v>
      </c>
      <c r="J788" t="s">
        <v>645</v>
      </c>
    </row>
    <row r="789" spans="1:10" hidden="1" x14ac:dyDescent="0.25">
      <c r="A789">
        <v>8</v>
      </c>
      <c r="B789" s="1">
        <v>45933</v>
      </c>
      <c r="C789" t="s">
        <v>14</v>
      </c>
      <c r="D789" t="s">
        <v>73</v>
      </c>
      <c r="E789" t="s">
        <v>459</v>
      </c>
      <c r="F789" t="s">
        <v>456</v>
      </c>
      <c r="G789">
        <v>2</v>
      </c>
      <c r="H789" s="2">
        <v>200000</v>
      </c>
      <c r="I789">
        <v>3</v>
      </c>
      <c r="J789" t="s">
        <v>73</v>
      </c>
    </row>
    <row r="790" spans="1:10" hidden="1" x14ac:dyDescent="0.25">
      <c r="A790">
        <v>8</v>
      </c>
      <c r="B790" s="1">
        <v>45933</v>
      </c>
      <c r="C790" t="s">
        <v>14</v>
      </c>
      <c r="D790" t="s">
        <v>285</v>
      </c>
      <c r="E790" t="s">
        <v>459</v>
      </c>
      <c r="F790" t="s">
        <v>449</v>
      </c>
      <c r="G790">
        <v>3</v>
      </c>
      <c r="H790" s="2">
        <v>300000</v>
      </c>
      <c r="I790">
        <v>3</v>
      </c>
      <c r="J790" t="s">
        <v>285</v>
      </c>
    </row>
    <row r="791" spans="1:10" hidden="1" x14ac:dyDescent="0.25">
      <c r="A791">
        <v>8</v>
      </c>
      <c r="B791" s="1">
        <v>45933</v>
      </c>
      <c r="C791" t="s">
        <v>14</v>
      </c>
      <c r="D791" t="s">
        <v>195</v>
      </c>
      <c r="E791" t="s">
        <v>89</v>
      </c>
      <c r="F791" t="s">
        <v>472</v>
      </c>
      <c r="G791">
        <v>3</v>
      </c>
      <c r="H791" s="2">
        <v>300000</v>
      </c>
      <c r="I791">
        <v>4</v>
      </c>
      <c r="J791" t="s">
        <v>195</v>
      </c>
    </row>
    <row r="792" spans="1:10" hidden="1" x14ac:dyDescent="0.25">
      <c r="A792">
        <v>8</v>
      </c>
      <c r="B792" s="1">
        <v>45933</v>
      </c>
      <c r="C792" t="s">
        <v>14</v>
      </c>
      <c r="D792" t="s">
        <v>159</v>
      </c>
      <c r="E792" t="s">
        <v>89</v>
      </c>
      <c r="F792" t="s">
        <v>465</v>
      </c>
      <c r="G792">
        <v>9</v>
      </c>
      <c r="H792" s="2">
        <v>900000</v>
      </c>
      <c r="I792">
        <v>4</v>
      </c>
      <c r="J792" t="s">
        <v>352</v>
      </c>
    </row>
    <row r="793" spans="1:10" hidden="1" x14ac:dyDescent="0.25">
      <c r="A793">
        <v>8</v>
      </c>
      <c r="B793" s="1">
        <v>45933</v>
      </c>
      <c r="C793" t="s">
        <v>14</v>
      </c>
      <c r="D793" t="s">
        <v>323</v>
      </c>
      <c r="E793" t="s">
        <v>89</v>
      </c>
      <c r="F793" t="s">
        <v>451</v>
      </c>
      <c r="G793">
        <v>9</v>
      </c>
      <c r="H793" s="2">
        <v>900000</v>
      </c>
      <c r="I793">
        <v>4</v>
      </c>
      <c r="J793" t="s">
        <v>323</v>
      </c>
    </row>
    <row r="794" spans="1:10" hidden="1" x14ac:dyDescent="0.25">
      <c r="A794">
        <v>8</v>
      </c>
      <c r="B794" s="1">
        <v>45933</v>
      </c>
      <c r="C794" t="s">
        <v>768</v>
      </c>
      <c r="D794" t="s">
        <v>113</v>
      </c>
      <c r="E794" t="s">
        <v>77</v>
      </c>
      <c r="F794" t="s">
        <v>514</v>
      </c>
      <c r="G794">
        <v>3</v>
      </c>
      <c r="H794" s="2">
        <v>300000</v>
      </c>
      <c r="I794">
        <v>1</v>
      </c>
      <c r="J794" t="s">
        <v>349</v>
      </c>
    </row>
    <row r="795" spans="1:10" hidden="1" x14ac:dyDescent="0.25">
      <c r="A795">
        <v>8</v>
      </c>
      <c r="B795" s="1">
        <v>45933</v>
      </c>
      <c r="C795" t="s">
        <v>768</v>
      </c>
      <c r="D795" t="s">
        <v>276</v>
      </c>
      <c r="E795" t="s">
        <v>219</v>
      </c>
      <c r="F795" t="s">
        <v>514</v>
      </c>
      <c r="G795">
        <v>0</v>
      </c>
      <c r="H795" s="2">
        <v>0</v>
      </c>
      <c r="I795">
        <v>2</v>
      </c>
      <c r="J795" t="s">
        <v>276</v>
      </c>
    </row>
    <row r="796" spans="1:10" hidden="1" x14ac:dyDescent="0.25">
      <c r="A796">
        <v>8</v>
      </c>
      <c r="B796" s="1">
        <v>45933</v>
      </c>
      <c r="C796" t="s">
        <v>768</v>
      </c>
      <c r="D796" t="s">
        <v>226</v>
      </c>
      <c r="E796" t="s">
        <v>219</v>
      </c>
      <c r="F796" t="s">
        <v>464</v>
      </c>
      <c r="G796">
        <v>7</v>
      </c>
      <c r="H796" s="2">
        <v>700000</v>
      </c>
      <c r="I796">
        <v>2</v>
      </c>
      <c r="J796" t="s">
        <v>380</v>
      </c>
    </row>
    <row r="797" spans="1:10" hidden="1" x14ac:dyDescent="0.25">
      <c r="A797">
        <v>8</v>
      </c>
      <c r="B797" s="1">
        <v>45933</v>
      </c>
      <c r="C797" t="s">
        <v>768</v>
      </c>
      <c r="D797" t="s">
        <v>296</v>
      </c>
      <c r="E797" t="s">
        <v>219</v>
      </c>
      <c r="F797" t="s">
        <v>461</v>
      </c>
      <c r="G797">
        <v>5</v>
      </c>
      <c r="H797" s="2">
        <v>500000</v>
      </c>
      <c r="I797">
        <v>2</v>
      </c>
      <c r="J797" t="s">
        <v>296</v>
      </c>
    </row>
    <row r="798" spans="1:10" hidden="1" x14ac:dyDescent="0.25">
      <c r="A798">
        <v>8</v>
      </c>
      <c r="B798" s="1">
        <v>45933</v>
      </c>
      <c r="C798" t="s">
        <v>768</v>
      </c>
      <c r="D798" t="s">
        <v>294</v>
      </c>
      <c r="E798" t="s">
        <v>219</v>
      </c>
      <c r="F798" t="s">
        <v>456</v>
      </c>
      <c r="G798">
        <v>1</v>
      </c>
      <c r="H798" s="2">
        <v>100000</v>
      </c>
      <c r="I798">
        <v>2</v>
      </c>
      <c r="J798" t="s">
        <v>294</v>
      </c>
    </row>
    <row r="799" spans="1:10" hidden="1" x14ac:dyDescent="0.25">
      <c r="A799">
        <v>8</v>
      </c>
      <c r="B799" s="1">
        <v>45933</v>
      </c>
      <c r="C799" t="s">
        <v>768</v>
      </c>
      <c r="D799" t="s">
        <v>103</v>
      </c>
      <c r="E799" t="s">
        <v>459</v>
      </c>
      <c r="F799" t="s">
        <v>485</v>
      </c>
      <c r="G799">
        <v>5</v>
      </c>
      <c r="H799" s="2">
        <v>500000</v>
      </c>
      <c r="I799">
        <v>3</v>
      </c>
      <c r="J799" t="s">
        <v>103</v>
      </c>
    </row>
    <row r="800" spans="1:10" hidden="1" x14ac:dyDescent="0.25">
      <c r="A800">
        <v>8</v>
      </c>
      <c r="B800" s="1">
        <v>45933</v>
      </c>
      <c r="C800" t="s">
        <v>768</v>
      </c>
      <c r="D800" t="s">
        <v>436</v>
      </c>
      <c r="E800" t="s">
        <v>459</v>
      </c>
      <c r="F800" t="s">
        <v>498</v>
      </c>
      <c r="G800">
        <v>3</v>
      </c>
      <c r="H800" s="2">
        <v>300000</v>
      </c>
      <c r="I800">
        <v>3</v>
      </c>
      <c r="J800" t="s">
        <v>442</v>
      </c>
    </row>
    <row r="801" spans="1:10" hidden="1" x14ac:dyDescent="0.25">
      <c r="A801">
        <v>8</v>
      </c>
      <c r="B801" s="1">
        <v>45933</v>
      </c>
      <c r="C801" t="s">
        <v>768</v>
      </c>
      <c r="D801" t="s">
        <v>132</v>
      </c>
      <c r="E801" t="s">
        <v>459</v>
      </c>
      <c r="F801" t="s">
        <v>461</v>
      </c>
      <c r="G801">
        <v>4</v>
      </c>
      <c r="H801" s="2">
        <v>400000</v>
      </c>
      <c r="I801">
        <v>3</v>
      </c>
      <c r="J801" t="s">
        <v>132</v>
      </c>
    </row>
    <row r="802" spans="1:10" hidden="1" x14ac:dyDescent="0.25">
      <c r="A802">
        <v>8</v>
      </c>
      <c r="B802" s="1">
        <v>45933</v>
      </c>
      <c r="C802" t="s">
        <v>768</v>
      </c>
      <c r="D802" t="s">
        <v>38</v>
      </c>
      <c r="E802" t="s">
        <v>459</v>
      </c>
      <c r="F802" t="s">
        <v>448</v>
      </c>
      <c r="G802">
        <v>7</v>
      </c>
      <c r="H802" s="2">
        <v>700000</v>
      </c>
      <c r="I802">
        <v>3</v>
      </c>
      <c r="J802" t="s">
        <v>373</v>
      </c>
    </row>
    <row r="803" spans="1:10" hidden="1" x14ac:dyDescent="0.25">
      <c r="A803">
        <v>8</v>
      </c>
      <c r="B803" s="1">
        <v>45933</v>
      </c>
      <c r="C803" t="s">
        <v>768</v>
      </c>
      <c r="D803" t="s">
        <v>295</v>
      </c>
      <c r="E803" t="s">
        <v>89</v>
      </c>
      <c r="F803" t="s">
        <v>514</v>
      </c>
      <c r="G803">
        <v>1</v>
      </c>
      <c r="H803" s="2">
        <v>100000</v>
      </c>
      <c r="I803">
        <v>4</v>
      </c>
      <c r="J803" t="s">
        <v>295</v>
      </c>
    </row>
    <row r="804" spans="1:10" hidden="1" x14ac:dyDescent="0.25">
      <c r="A804">
        <v>8</v>
      </c>
      <c r="B804" s="1">
        <v>45933</v>
      </c>
      <c r="C804" t="s">
        <v>768</v>
      </c>
      <c r="D804" t="s">
        <v>275</v>
      </c>
      <c r="E804" t="s">
        <v>89</v>
      </c>
      <c r="F804" t="s">
        <v>465</v>
      </c>
      <c r="G804">
        <v>9</v>
      </c>
      <c r="H804" s="2">
        <v>900000</v>
      </c>
      <c r="I804">
        <v>4</v>
      </c>
      <c r="J804" t="s">
        <v>275</v>
      </c>
    </row>
    <row r="805" spans="1:10" hidden="1" x14ac:dyDescent="0.25">
      <c r="A805">
        <v>8</v>
      </c>
      <c r="B805" s="1">
        <v>45933</v>
      </c>
      <c r="C805" t="s">
        <v>11</v>
      </c>
      <c r="D805" t="s">
        <v>171</v>
      </c>
      <c r="E805" t="s">
        <v>77</v>
      </c>
      <c r="F805" t="s">
        <v>464</v>
      </c>
      <c r="G805">
        <v>10</v>
      </c>
      <c r="H805" s="2">
        <v>1000000</v>
      </c>
      <c r="I805">
        <v>1</v>
      </c>
      <c r="J805" t="s">
        <v>171</v>
      </c>
    </row>
    <row r="806" spans="1:10" hidden="1" x14ac:dyDescent="0.25">
      <c r="A806">
        <v>8</v>
      </c>
      <c r="B806" s="1">
        <v>45933</v>
      </c>
      <c r="C806" t="s">
        <v>11</v>
      </c>
      <c r="D806" t="s">
        <v>361</v>
      </c>
      <c r="E806" t="s">
        <v>219</v>
      </c>
      <c r="F806" t="s">
        <v>514</v>
      </c>
      <c r="G806">
        <v>0</v>
      </c>
      <c r="H806" s="2">
        <v>0</v>
      </c>
      <c r="I806">
        <v>2</v>
      </c>
      <c r="J806" t="s">
        <v>361</v>
      </c>
    </row>
    <row r="807" spans="1:10" hidden="1" x14ac:dyDescent="0.25">
      <c r="A807">
        <v>8</v>
      </c>
      <c r="B807" s="1">
        <v>45933</v>
      </c>
      <c r="C807" t="s">
        <v>11</v>
      </c>
      <c r="D807" t="s">
        <v>233</v>
      </c>
      <c r="E807" t="s">
        <v>219</v>
      </c>
      <c r="F807" t="s">
        <v>458</v>
      </c>
      <c r="G807">
        <v>4</v>
      </c>
      <c r="H807" s="2">
        <v>400000</v>
      </c>
      <c r="I807">
        <v>2</v>
      </c>
      <c r="J807" t="s">
        <v>233</v>
      </c>
    </row>
    <row r="808" spans="1:10" hidden="1" x14ac:dyDescent="0.25">
      <c r="A808">
        <v>8</v>
      </c>
      <c r="B808" s="1">
        <v>45933</v>
      </c>
      <c r="C808" t="s">
        <v>11</v>
      </c>
      <c r="D808" t="s">
        <v>115</v>
      </c>
      <c r="E808" t="s">
        <v>219</v>
      </c>
      <c r="F808" t="s">
        <v>472</v>
      </c>
      <c r="G808">
        <v>2</v>
      </c>
      <c r="H808" s="2">
        <v>200000</v>
      </c>
      <c r="I808">
        <v>2</v>
      </c>
      <c r="J808" t="s">
        <v>115</v>
      </c>
    </row>
    <row r="809" spans="1:10" hidden="1" x14ac:dyDescent="0.25">
      <c r="A809">
        <v>8</v>
      </c>
      <c r="B809" s="1">
        <v>45933</v>
      </c>
      <c r="C809" t="s">
        <v>11</v>
      </c>
      <c r="D809" t="s">
        <v>334</v>
      </c>
      <c r="E809" t="s">
        <v>219</v>
      </c>
      <c r="F809" t="s">
        <v>456</v>
      </c>
      <c r="G809">
        <v>2</v>
      </c>
      <c r="H809" s="2">
        <v>200000</v>
      </c>
      <c r="I809">
        <v>2</v>
      </c>
      <c r="J809" t="s">
        <v>565</v>
      </c>
    </row>
    <row r="810" spans="1:10" hidden="1" x14ac:dyDescent="0.25">
      <c r="A810">
        <v>8</v>
      </c>
      <c r="B810" s="1">
        <v>45933</v>
      </c>
      <c r="C810" t="s">
        <v>11</v>
      </c>
      <c r="D810" t="s">
        <v>104</v>
      </c>
      <c r="E810" t="s">
        <v>459</v>
      </c>
      <c r="F810" t="s">
        <v>465</v>
      </c>
      <c r="G810">
        <v>3</v>
      </c>
      <c r="H810" s="2">
        <v>300000</v>
      </c>
      <c r="I810">
        <v>3</v>
      </c>
      <c r="J810" t="s">
        <v>104</v>
      </c>
    </row>
    <row r="811" spans="1:10" hidden="1" x14ac:dyDescent="0.25">
      <c r="A811">
        <v>8</v>
      </c>
      <c r="B811" s="1">
        <v>45933</v>
      </c>
      <c r="C811" t="s">
        <v>11</v>
      </c>
      <c r="D811" t="s">
        <v>248</v>
      </c>
      <c r="E811" t="s">
        <v>459</v>
      </c>
      <c r="F811" t="s">
        <v>464</v>
      </c>
      <c r="G811">
        <v>2</v>
      </c>
      <c r="H811" s="2">
        <v>200000</v>
      </c>
      <c r="I811">
        <v>3</v>
      </c>
      <c r="J811" t="s">
        <v>432</v>
      </c>
    </row>
    <row r="812" spans="1:10" hidden="1" x14ac:dyDescent="0.25">
      <c r="A812">
        <v>8</v>
      </c>
      <c r="B812" s="1">
        <v>45933</v>
      </c>
      <c r="C812" t="s">
        <v>11</v>
      </c>
      <c r="D812" t="s">
        <v>271</v>
      </c>
      <c r="E812" t="s">
        <v>459</v>
      </c>
      <c r="F812" t="s">
        <v>514</v>
      </c>
      <c r="G812">
        <v>4</v>
      </c>
      <c r="H812" s="2">
        <v>400000</v>
      </c>
      <c r="I812">
        <v>3</v>
      </c>
      <c r="J812" t="s">
        <v>558</v>
      </c>
    </row>
    <row r="813" spans="1:10" hidden="1" x14ac:dyDescent="0.25">
      <c r="A813">
        <v>8</v>
      </c>
      <c r="B813" s="1">
        <v>45933</v>
      </c>
      <c r="C813" t="s">
        <v>11</v>
      </c>
      <c r="D813" t="s">
        <v>257</v>
      </c>
      <c r="E813" t="s">
        <v>89</v>
      </c>
      <c r="F813" t="s">
        <v>488</v>
      </c>
      <c r="G813">
        <v>5</v>
      </c>
      <c r="H813" s="2">
        <v>500000</v>
      </c>
      <c r="I813">
        <v>4</v>
      </c>
      <c r="J813" t="s">
        <v>257</v>
      </c>
    </row>
    <row r="814" spans="1:10" hidden="1" x14ac:dyDescent="0.25">
      <c r="A814">
        <v>8</v>
      </c>
      <c r="B814" s="1">
        <v>45933</v>
      </c>
      <c r="C814" t="s">
        <v>11</v>
      </c>
      <c r="D814" t="s">
        <v>270</v>
      </c>
      <c r="E814" t="s">
        <v>89</v>
      </c>
      <c r="F814" t="s">
        <v>472</v>
      </c>
      <c r="G814">
        <v>11</v>
      </c>
      <c r="H814" s="2">
        <v>1100000</v>
      </c>
      <c r="I814">
        <v>4</v>
      </c>
      <c r="J814" t="s">
        <v>423</v>
      </c>
    </row>
    <row r="815" spans="1:10" hidden="1" x14ac:dyDescent="0.25">
      <c r="A815">
        <v>8</v>
      </c>
      <c r="B815" s="1">
        <v>45933</v>
      </c>
      <c r="C815" t="s">
        <v>11</v>
      </c>
      <c r="D815" t="s">
        <v>324</v>
      </c>
      <c r="E815" t="s">
        <v>89</v>
      </c>
      <c r="F815" t="s">
        <v>451</v>
      </c>
      <c r="G815">
        <v>5</v>
      </c>
      <c r="H815" s="2">
        <v>500000</v>
      </c>
      <c r="I815">
        <v>4</v>
      </c>
      <c r="J815" t="s">
        <v>324</v>
      </c>
    </row>
    <row r="816" spans="1:10" hidden="1" x14ac:dyDescent="0.25">
      <c r="A816">
        <v>8</v>
      </c>
      <c r="B816" s="1">
        <v>45933</v>
      </c>
      <c r="C816" t="s">
        <v>12</v>
      </c>
      <c r="D816" t="s">
        <v>338</v>
      </c>
      <c r="E816" t="s">
        <v>77</v>
      </c>
      <c r="F816" t="s">
        <v>455</v>
      </c>
      <c r="G816">
        <v>7</v>
      </c>
      <c r="H816" s="2">
        <v>700000</v>
      </c>
      <c r="I816">
        <v>1</v>
      </c>
      <c r="J816" t="s">
        <v>338</v>
      </c>
    </row>
    <row r="817" spans="1:10" hidden="1" x14ac:dyDescent="0.25">
      <c r="A817">
        <v>8</v>
      </c>
      <c r="B817" s="1">
        <v>45933</v>
      </c>
      <c r="C817" t="s">
        <v>12</v>
      </c>
      <c r="D817" t="s">
        <v>335</v>
      </c>
      <c r="E817" t="s">
        <v>219</v>
      </c>
      <c r="F817" t="s">
        <v>480</v>
      </c>
      <c r="G817">
        <v>3</v>
      </c>
      <c r="H817" s="2">
        <v>300000</v>
      </c>
      <c r="I817">
        <v>2</v>
      </c>
      <c r="J817" t="s">
        <v>335</v>
      </c>
    </row>
    <row r="818" spans="1:10" hidden="1" x14ac:dyDescent="0.25">
      <c r="A818">
        <v>8</v>
      </c>
      <c r="B818" s="1">
        <v>45933</v>
      </c>
      <c r="C818" t="s">
        <v>12</v>
      </c>
      <c r="D818" t="s">
        <v>152</v>
      </c>
      <c r="E818" t="s">
        <v>219</v>
      </c>
      <c r="F818" t="s">
        <v>447</v>
      </c>
      <c r="G818">
        <v>-1</v>
      </c>
      <c r="H818" s="2">
        <v>-100000</v>
      </c>
      <c r="I818">
        <v>2</v>
      </c>
      <c r="J818" t="s">
        <v>390</v>
      </c>
    </row>
    <row r="819" spans="1:10" hidden="1" x14ac:dyDescent="0.25">
      <c r="A819">
        <v>8</v>
      </c>
      <c r="B819" s="1">
        <v>45933</v>
      </c>
      <c r="C819" t="s">
        <v>12</v>
      </c>
      <c r="D819" t="s">
        <v>238</v>
      </c>
      <c r="E819" t="s">
        <v>219</v>
      </c>
      <c r="F819" t="s">
        <v>465</v>
      </c>
      <c r="G819">
        <v>2</v>
      </c>
      <c r="H819" s="2">
        <v>200000</v>
      </c>
      <c r="I819">
        <v>2</v>
      </c>
      <c r="J819" t="s">
        <v>238</v>
      </c>
    </row>
    <row r="820" spans="1:10" hidden="1" x14ac:dyDescent="0.25">
      <c r="A820">
        <v>8</v>
      </c>
      <c r="B820" s="1">
        <v>45933</v>
      </c>
      <c r="C820" t="s">
        <v>12</v>
      </c>
      <c r="D820" t="s">
        <v>72</v>
      </c>
      <c r="E820" t="s">
        <v>219</v>
      </c>
      <c r="F820" t="s">
        <v>447</v>
      </c>
      <c r="G820">
        <v>-4</v>
      </c>
      <c r="H820" s="2">
        <v>-400000</v>
      </c>
      <c r="I820">
        <v>2</v>
      </c>
      <c r="J820" t="s">
        <v>372</v>
      </c>
    </row>
    <row r="821" spans="1:10" hidden="1" x14ac:dyDescent="0.25">
      <c r="A821">
        <v>8</v>
      </c>
      <c r="B821" s="1">
        <v>45933</v>
      </c>
      <c r="C821" t="s">
        <v>12</v>
      </c>
      <c r="D821" t="s">
        <v>119</v>
      </c>
      <c r="E821" t="s">
        <v>459</v>
      </c>
      <c r="F821" t="s">
        <v>464</v>
      </c>
      <c r="G821">
        <v>6</v>
      </c>
      <c r="H821" s="2">
        <v>600000</v>
      </c>
      <c r="I821">
        <v>3</v>
      </c>
      <c r="J821" t="s">
        <v>119</v>
      </c>
    </row>
    <row r="822" spans="1:10" hidden="1" x14ac:dyDescent="0.25">
      <c r="A822">
        <v>8</v>
      </c>
      <c r="B822" s="1">
        <v>45933</v>
      </c>
      <c r="C822" t="s">
        <v>12</v>
      </c>
      <c r="D822" t="s">
        <v>158</v>
      </c>
      <c r="E822" t="s">
        <v>459</v>
      </c>
      <c r="F822" t="s">
        <v>469</v>
      </c>
      <c r="G822">
        <v>5</v>
      </c>
      <c r="H822" s="2">
        <v>500000</v>
      </c>
      <c r="I822">
        <v>3</v>
      </c>
      <c r="J822" t="s">
        <v>374</v>
      </c>
    </row>
    <row r="823" spans="1:10" hidden="1" x14ac:dyDescent="0.25">
      <c r="A823">
        <v>8</v>
      </c>
      <c r="B823" s="1">
        <v>45933</v>
      </c>
      <c r="C823" t="s">
        <v>12</v>
      </c>
      <c r="D823" t="s">
        <v>101</v>
      </c>
      <c r="E823" t="s">
        <v>459</v>
      </c>
      <c r="F823" t="s">
        <v>465</v>
      </c>
      <c r="G823">
        <v>1</v>
      </c>
      <c r="H823" s="2">
        <v>100000</v>
      </c>
      <c r="I823">
        <v>3</v>
      </c>
      <c r="J823" t="s">
        <v>101</v>
      </c>
    </row>
    <row r="824" spans="1:10" hidden="1" x14ac:dyDescent="0.25">
      <c r="A824">
        <v>8</v>
      </c>
      <c r="B824" s="1">
        <v>45933</v>
      </c>
      <c r="C824" t="s">
        <v>12</v>
      </c>
      <c r="D824" t="s">
        <v>120</v>
      </c>
      <c r="E824" t="s">
        <v>459</v>
      </c>
      <c r="F824" t="s">
        <v>451</v>
      </c>
      <c r="G824">
        <v>9</v>
      </c>
      <c r="H824" s="2">
        <v>900000</v>
      </c>
      <c r="I824">
        <v>3</v>
      </c>
      <c r="J824" t="s">
        <v>120</v>
      </c>
    </row>
    <row r="825" spans="1:10" hidden="1" x14ac:dyDescent="0.25">
      <c r="A825">
        <v>8</v>
      </c>
      <c r="B825" s="1">
        <v>45933</v>
      </c>
      <c r="C825" t="s">
        <v>12</v>
      </c>
      <c r="D825" t="s">
        <v>35</v>
      </c>
      <c r="E825" t="s">
        <v>89</v>
      </c>
      <c r="F825" t="s">
        <v>453</v>
      </c>
      <c r="G825">
        <v>0</v>
      </c>
      <c r="H825" s="2">
        <v>0</v>
      </c>
      <c r="I825">
        <v>4</v>
      </c>
      <c r="J825" t="s">
        <v>339</v>
      </c>
    </row>
    <row r="826" spans="1:10" hidden="1" x14ac:dyDescent="0.25">
      <c r="A826">
        <v>8</v>
      </c>
      <c r="B826" s="1">
        <v>45933</v>
      </c>
      <c r="C826" t="s">
        <v>12</v>
      </c>
      <c r="D826" t="s">
        <v>308</v>
      </c>
      <c r="E826" t="s">
        <v>89</v>
      </c>
      <c r="F826" t="s">
        <v>474</v>
      </c>
      <c r="G826">
        <v>6</v>
      </c>
      <c r="H826" s="2">
        <v>600000</v>
      </c>
      <c r="I826">
        <v>4</v>
      </c>
      <c r="J826" t="s">
        <v>308</v>
      </c>
    </row>
    <row r="827" spans="1:10" hidden="1" x14ac:dyDescent="0.25">
      <c r="A827">
        <v>8</v>
      </c>
      <c r="B827" s="1">
        <v>45933</v>
      </c>
      <c r="C827" t="s">
        <v>6</v>
      </c>
      <c r="D827" t="s">
        <v>137</v>
      </c>
      <c r="E827" t="s">
        <v>77</v>
      </c>
      <c r="F827" t="s">
        <v>485</v>
      </c>
      <c r="G827">
        <v>4</v>
      </c>
      <c r="H827" s="2">
        <v>400000</v>
      </c>
      <c r="I827">
        <v>1</v>
      </c>
      <c r="J827" t="s">
        <v>137</v>
      </c>
    </row>
    <row r="828" spans="1:10" hidden="1" x14ac:dyDescent="0.25">
      <c r="A828">
        <v>8</v>
      </c>
      <c r="B828" s="1">
        <v>45933</v>
      </c>
      <c r="C828" t="s">
        <v>6</v>
      </c>
      <c r="D828" t="s">
        <v>207</v>
      </c>
      <c r="E828" t="s">
        <v>219</v>
      </c>
      <c r="F828" t="s">
        <v>449</v>
      </c>
      <c r="G828">
        <v>2</v>
      </c>
      <c r="H828" s="2">
        <v>200000</v>
      </c>
      <c r="I828">
        <v>2</v>
      </c>
      <c r="J828" t="s">
        <v>486</v>
      </c>
    </row>
    <row r="829" spans="1:10" hidden="1" x14ac:dyDescent="0.25">
      <c r="A829">
        <v>8</v>
      </c>
      <c r="B829" s="1">
        <v>45933</v>
      </c>
      <c r="C829" t="s">
        <v>6</v>
      </c>
      <c r="D829" t="s">
        <v>118</v>
      </c>
      <c r="E829" t="s">
        <v>219</v>
      </c>
      <c r="F829" t="s">
        <v>451</v>
      </c>
      <c r="G829">
        <v>10</v>
      </c>
      <c r="H829" s="2">
        <v>1000000</v>
      </c>
      <c r="I829">
        <v>2</v>
      </c>
      <c r="J829" t="s">
        <v>118</v>
      </c>
    </row>
    <row r="830" spans="1:10" hidden="1" x14ac:dyDescent="0.25">
      <c r="A830">
        <v>8</v>
      </c>
      <c r="B830" s="1">
        <v>45933</v>
      </c>
      <c r="C830" t="s">
        <v>6</v>
      </c>
      <c r="D830" t="s">
        <v>430</v>
      </c>
      <c r="E830" t="s">
        <v>219</v>
      </c>
      <c r="F830" t="s">
        <v>474</v>
      </c>
      <c r="G830">
        <v>1</v>
      </c>
      <c r="H830" s="2">
        <v>100000</v>
      </c>
      <c r="I830">
        <v>2</v>
      </c>
      <c r="J830" t="s">
        <v>430</v>
      </c>
    </row>
    <row r="831" spans="1:10" hidden="1" x14ac:dyDescent="0.25">
      <c r="A831">
        <v>8</v>
      </c>
      <c r="B831" s="1">
        <v>45933</v>
      </c>
      <c r="C831" t="s">
        <v>6</v>
      </c>
      <c r="D831" t="s">
        <v>86</v>
      </c>
      <c r="E831" t="s">
        <v>459</v>
      </c>
      <c r="F831" t="s">
        <v>472</v>
      </c>
      <c r="G831">
        <v>2</v>
      </c>
      <c r="H831" s="2">
        <v>200000</v>
      </c>
      <c r="I831">
        <v>3</v>
      </c>
      <c r="J831" t="s">
        <v>732</v>
      </c>
    </row>
    <row r="832" spans="1:10" hidden="1" x14ac:dyDescent="0.25">
      <c r="A832">
        <v>8</v>
      </c>
      <c r="B832" s="1">
        <v>45933</v>
      </c>
      <c r="C832" t="s">
        <v>6</v>
      </c>
      <c r="D832" t="s">
        <v>155</v>
      </c>
      <c r="E832" t="s">
        <v>459</v>
      </c>
      <c r="F832" t="s">
        <v>480</v>
      </c>
      <c r="G832">
        <v>1</v>
      </c>
      <c r="H832" s="2">
        <v>100000</v>
      </c>
      <c r="I832">
        <v>3</v>
      </c>
      <c r="J832" t="s">
        <v>385</v>
      </c>
    </row>
    <row r="833" spans="1:10" hidden="1" x14ac:dyDescent="0.25">
      <c r="A833">
        <v>8</v>
      </c>
      <c r="B833" s="1">
        <v>45933</v>
      </c>
      <c r="C833" t="s">
        <v>6</v>
      </c>
      <c r="D833" t="s">
        <v>216</v>
      </c>
      <c r="E833" t="s">
        <v>459</v>
      </c>
      <c r="F833" t="s">
        <v>458</v>
      </c>
      <c r="G833">
        <v>5</v>
      </c>
      <c r="H833" s="2">
        <v>500000</v>
      </c>
      <c r="I833">
        <v>3</v>
      </c>
      <c r="J833" t="s">
        <v>216</v>
      </c>
    </row>
    <row r="834" spans="1:10" hidden="1" x14ac:dyDescent="0.25">
      <c r="A834">
        <v>8</v>
      </c>
      <c r="B834" s="1">
        <v>45933</v>
      </c>
      <c r="C834" t="s">
        <v>6</v>
      </c>
      <c r="D834" t="s">
        <v>47</v>
      </c>
      <c r="E834" t="s">
        <v>459</v>
      </c>
      <c r="F834" t="s">
        <v>469</v>
      </c>
      <c r="G834">
        <v>6</v>
      </c>
      <c r="H834" s="2">
        <v>600000</v>
      </c>
      <c r="I834">
        <v>3</v>
      </c>
      <c r="J834" t="s">
        <v>47</v>
      </c>
    </row>
    <row r="835" spans="1:10" hidden="1" x14ac:dyDescent="0.25">
      <c r="A835">
        <v>8</v>
      </c>
      <c r="B835" s="1">
        <v>45933</v>
      </c>
      <c r="C835" t="s">
        <v>6</v>
      </c>
      <c r="D835" t="s">
        <v>326</v>
      </c>
      <c r="E835" t="s">
        <v>459</v>
      </c>
      <c r="F835" t="s">
        <v>456</v>
      </c>
      <c r="G835">
        <v>10</v>
      </c>
      <c r="H835" s="2">
        <v>1000000</v>
      </c>
      <c r="I835">
        <v>3</v>
      </c>
      <c r="J835" t="s">
        <v>404</v>
      </c>
    </row>
    <row r="836" spans="1:10" hidden="1" x14ac:dyDescent="0.25">
      <c r="A836">
        <v>8</v>
      </c>
      <c r="B836" s="1">
        <v>45933</v>
      </c>
      <c r="C836" t="s">
        <v>6</v>
      </c>
      <c r="D836" t="s">
        <v>274</v>
      </c>
      <c r="E836" t="s">
        <v>89</v>
      </c>
      <c r="F836" t="s">
        <v>496</v>
      </c>
      <c r="G836">
        <v>11</v>
      </c>
      <c r="H836" s="2">
        <v>1100000</v>
      </c>
      <c r="I836">
        <v>4</v>
      </c>
      <c r="J836" t="s">
        <v>274</v>
      </c>
    </row>
    <row r="837" spans="1:10" hidden="1" x14ac:dyDescent="0.25">
      <c r="A837">
        <v>8</v>
      </c>
      <c r="B837" s="1">
        <v>45933</v>
      </c>
      <c r="C837" t="s">
        <v>6</v>
      </c>
      <c r="D837" t="s">
        <v>439</v>
      </c>
      <c r="E837" t="s">
        <v>89</v>
      </c>
      <c r="F837" t="s">
        <v>480</v>
      </c>
      <c r="G837">
        <v>12</v>
      </c>
      <c r="H837" s="2">
        <v>1200000</v>
      </c>
      <c r="I837">
        <v>4</v>
      </c>
      <c r="J837" t="s">
        <v>583</v>
      </c>
    </row>
    <row r="838" spans="1:10" hidden="1" x14ac:dyDescent="0.25">
      <c r="A838">
        <v>8</v>
      </c>
      <c r="B838" s="1">
        <v>45933</v>
      </c>
      <c r="C838" t="s">
        <v>9</v>
      </c>
      <c r="D838" t="s">
        <v>253</v>
      </c>
      <c r="E838" t="s">
        <v>77</v>
      </c>
      <c r="F838" t="s">
        <v>465</v>
      </c>
      <c r="G838">
        <v>3</v>
      </c>
      <c r="H838" s="2">
        <v>300000</v>
      </c>
      <c r="I838">
        <v>1</v>
      </c>
      <c r="J838" t="s">
        <v>253</v>
      </c>
    </row>
    <row r="839" spans="1:10" hidden="1" x14ac:dyDescent="0.25">
      <c r="A839">
        <v>8</v>
      </c>
      <c r="B839" s="1">
        <v>45933</v>
      </c>
      <c r="C839" t="s">
        <v>9</v>
      </c>
      <c r="D839" t="s">
        <v>129</v>
      </c>
      <c r="E839" t="s">
        <v>219</v>
      </c>
      <c r="F839" t="s">
        <v>461</v>
      </c>
      <c r="G839">
        <v>3</v>
      </c>
      <c r="H839" s="2">
        <v>300000</v>
      </c>
      <c r="I839">
        <v>2</v>
      </c>
      <c r="J839" t="s">
        <v>644</v>
      </c>
    </row>
    <row r="840" spans="1:10" hidden="1" x14ac:dyDescent="0.25">
      <c r="A840">
        <v>8</v>
      </c>
      <c r="B840" s="1">
        <v>45933</v>
      </c>
      <c r="C840" t="s">
        <v>9</v>
      </c>
      <c r="D840" t="s">
        <v>214</v>
      </c>
      <c r="E840" t="s">
        <v>219</v>
      </c>
      <c r="F840" t="s">
        <v>455</v>
      </c>
      <c r="G840">
        <v>4</v>
      </c>
      <c r="H840" s="2">
        <v>400000</v>
      </c>
      <c r="I840">
        <v>2</v>
      </c>
      <c r="J840" t="s">
        <v>435</v>
      </c>
    </row>
    <row r="841" spans="1:10" hidden="1" x14ac:dyDescent="0.25">
      <c r="A841">
        <v>8</v>
      </c>
      <c r="B841" s="1">
        <v>45933</v>
      </c>
      <c r="C841" t="s">
        <v>9</v>
      </c>
      <c r="D841" t="s">
        <v>139</v>
      </c>
      <c r="E841" t="s">
        <v>219</v>
      </c>
      <c r="F841" t="s">
        <v>458</v>
      </c>
      <c r="G841">
        <v>-2</v>
      </c>
      <c r="H841" s="2">
        <v>-200000</v>
      </c>
      <c r="I841">
        <v>2</v>
      </c>
      <c r="J841" t="s">
        <v>371</v>
      </c>
    </row>
    <row r="842" spans="1:10" hidden="1" x14ac:dyDescent="0.25">
      <c r="A842">
        <v>8</v>
      </c>
      <c r="B842" s="1">
        <v>45933</v>
      </c>
      <c r="C842" t="s">
        <v>9</v>
      </c>
      <c r="D842" t="s">
        <v>313</v>
      </c>
      <c r="E842" t="s">
        <v>219</v>
      </c>
      <c r="F842" t="s">
        <v>447</v>
      </c>
      <c r="G842">
        <v>-1</v>
      </c>
      <c r="H842" s="2">
        <v>-100000</v>
      </c>
      <c r="I842">
        <v>2</v>
      </c>
      <c r="J842" t="s">
        <v>647</v>
      </c>
    </row>
    <row r="843" spans="1:10" hidden="1" x14ac:dyDescent="0.25">
      <c r="A843">
        <v>8</v>
      </c>
      <c r="B843" s="1">
        <v>45933</v>
      </c>
      <c r="C843" t="s">
        <v>9</v>
      </c>
      <c r="D843" t="s">
        <v>291</v>
      </c>
      <c r="E843" t="s">
        <v>459</v>
      </c>
      <c r="F843" t="s">
        <v>469</v>
      </c>
      <c r="G843">
        <v>4</v>
      </c>
      <c r="H843" s="2">
        <v>400000</v>
      </c>
      <c r="I843">
        <v>3</v>
      </c>
      <c r="J843" t="s">
        <v>520</v>
      </c>
    </row>
    <row r="844" spans="1:10" hidden="1" x14ac:dyDescent="0.25">
      <c r="A844">
        <v>8</v>
      </c>
      <c r="B844" s="1">
        <v>45933</v>
      </c>
      <c r="C844" t="s">
        <v>9</v>
      </c>
      <c r="D844" t="s">
        <v>331</v>
      </c>
      <c r="E844" t="s">
        <v>459</v>
      </c>
      <c r="F844" t="s">
        <v>496</v>
      </c>
      <c r="G844">
        <v>13</v>
      </c>
      <c r="H844" s="2">
        <v>1300000</v>
      </c>
      <c r="I844">
        <v>3</v>
      </c>
      <c r="J844" t="s">
        <v>376</v>
      </c>
    </row>
    <row r="845" spans="1:10" hidden="1" x14ac:dyDescent="0.25">
      <c r="A845">
        <v>8</v>
      </c>
      <c r="B845" s="1">
        <v>45933</v>
      </c>
      <c r="C845" t="s">
        <v>9</v>
      </c>
      <c r="D845" t="s">
        <v>302</v>
      </c>
      <c r="E845" t="s">
        <v>459</v>
      </c>
      <c r="F845" t="s">
        <v>447</v>
      </c>
      <c r="G845">
        <v>0</v>
      </c>
      <c r="H845" s="2">
        <v>0</v>
      </c>
      <c r="I845">
        <v>3</v>
      </c>
      <c r="J845" t="s">
        <v>507</v>
      </c>
    </row>
    <row r="846" spans="1:10" hidden="1" x14ac:dyDescent="0.25">
      <c r="A846">
        <v>8</v>
      </c>
      <c r="B846" s="1">
        <v>45933</v>
      </c>
      <c r="C846" t="s">
        <v>9</v>
      </c>
      <c r="D846" t="s">
        <v>287</v>
      </c>
      <c r="E846" t="s">
        <v>89</v>
      </c>
      <c r="F846" t="s">
        <v>458</v>
      </c>
      <c r="G846">
        <v>4</v>
      </c>
      <c r="H846" s="2">
        <v>400000</v>
      </c>
      <c r="I846">
        <v>4</v>
      </c>
      <c r="J846" t="s">
        <v>287</v>
      </c>
    </row>
    <row r="847" spans="1:10" hidden="1" x14ac:dyDescent="0.25">
      <c r="A847">
        <v>8</v>
      </c>
      <c r="B847" s="1">
        <v>45933</v>
      </c>
      <c r="C847" t="s">
        <v>9</v>
      </c>
      <c r="D847" t="s">
        <v>328</v>
      </c>
      <c r="E847" t="s">
        <v>89</v>
      </c>
      <c r="F847" t="s">
        <v>448</v>
      </c>
      <c r="G847">
        <v>15</v>
      </c>
      <c r="H847" s="2">
        <v>1500000</v>
      </c>
      <c r="I847">
        <v>4</v>
      </c>
      <c r="J847" t="s">
        <v>654</v>
      </c>
    </row>
    <row r="848" spans="1:10" hidden="1" x14ac:dyDescent="0.25">
      <c r="A848">
        <v>8</v>
      </c>
      <c r="B848" s="1">
        <v>45933</v>
      </c>
      <c r="C848" t="s">
        <v>9</v>
      </c>
      <c r="D848" t="s">
        <v>314</v>
      </c>
      <c r="E848" t="s">
        <v>89</v>
      </c>
      <c r="F848" t="s">
        <v>485</v>
      </c>
      <c r="G848">
        <v>8</v>
      </c>
      <c r="H848" s="2">
        <v>800000</v>
      </c>
      <c r="I848">
        <v>4</v>
      </c>
      <c r="J848" t="s">
        <v>509</v>
      </c>
    </row>
    <row r="849" spans="1:10" hidden="1" x14ac:dyDescent="0.25">
      <c r="A849">
        <v>8</v>
      </c>
      <c r="B849" s="1">
        <v>45933</v>
      </c>
      <c r="C849" t="s">
        <v>13</v>
      </c>
      <c r="D849" t="s">
        <v>322</v>
      </c>
      <c r="E849" t="s">
        <v>77</v>
      </c>
      <c r="F849" t="s">
        <v>496</v>
      </c>
      <c r="G849">
        <v>10</v>
      </c>
      <c r="H849" s="2">
        <v>1000000</v>
      </c>
      <c r="I849">
        <v>1</v>
      </c>
      <c r="J849" t="s">
        <v>322</v>
      </c>
    </row>
    <row r="850" spans="1:10" hidden="1" x14ac:dyDescent="0.25">
      <c r="A850">
        <v>8</v>
      </c>
      <c r="B850" s="1">
        <v>45933</v>
      </c>
      <c r="C850" t="s">
        <v>13</v>
      </c>
      <c r="D850" t="s">
        <v>202</v>
      </c>
      <c r="E850" t="s">
        <v>219</v>
      </c>
      <c r="F850" t="s">
        <v>465</v>
      </c>
      <c r="G850">
        <v>3</v>
      </c>
      <c r="H850" s="2">
        <v>300000</v>
      </c>
      <c r="I850">
        <v>2</v>
      </c>
      <c r="J850" t="s">
        <v>734</v>
      </c>
    </row>
    <row r="851" spans="1:10" hidden="1" x14ac:dyDescent="0.25">
      <c r="A851">
        <v>8</v>
      </c>
      <c r="B851" s="1">
        <v>45933</v>
      </c>
      <c r="C851" t="s">
        <v>13</v>
      </c>
      <c r="D851" t="s">
        <v>108</v>
      </c>
      <c r="E851" t="s">
        <v>219</v>
      </c>
      <c r="F851" t="s">
        <v>456</v>
      </c>
      <c r="G851">
        <v>6</v>
      </c>
      <c r="H851" s="2">
        <v>600000</v>
      </c>
      <c r="I851">
        <v>2</v>
      </c>
      <c r="J851" t="s">
        <v>388</v>
      </c>
    </row>
    <row r="852" spans="1:10" hidden="1" x14ac:dyDescent="0.25">
      <c r="A852">
        <v>8</v>
      </c>
      <c r="B852" s="1">
        <v>45933</v>
      </c>
      <c r="C852" t="s">
        <v>13</v>
      </c>
      <c r="D852" t="s">
        <v>288</v>
      </c>
      <c r="E852" t="s">
        <v>219</v>
      </c>
      <c r="F852" t="s">
        <v>485</v>
      </c>
      <c r="G852">
        <v>6</v>
      </c>
      <c r="H852" s="2">
        <v>600000</v>
      </c>
      <c r="I852">
        <v>2</v>
      </c>
      <c r="J852" t="s">
        <v>288</v>
      </c>
    </row>
    <row r="853" spans="1:10" hidden="1" x14ac:dyDescent="0.25">
      <c r="A853">
        <v>8</v>
      </c>
      <c r="B853" s="1">
        <v>45933</v>
      </c>
      <c r="C853" t="s">
        <v>13</v>
      </c>
      <c r="D853" t="s">
        <v>175</v>
      </c>
      <c r="E853" t="s">
        <v>219</v>
      </c>
      <c r="F853" t="s">
        <v>472</v>
      </c>
      <c r="G853">
        <v>14</v>
      </c>
      <c r="H853" s="2">
        <v>1400000</v>
      </c>
      <c r="I853">
        <v>2</v>
      </c>
      <c r="J853" t="s">
        <v>175</v>
      </c>
    </row>
    <row r="854" spans="1:10" hidden="1" x14ac:dyDescent="0.25">
      <c r="A854">
        <v>8</v>
      </c>
      <c r="B854" s="1">
        <v>45933</v>
      </c>
      <c r="C854" t="s">
        <v>13</v>
      </c>
      <c r="D854" t="s">
        <v>225</v>
      </c>
      <c r="E854" t="s">
        <v>459</v>
      </c>
      <c r="F854" t="s">
        <v>488</v>
      </c>
      <c r="G854">
        <v>5</v>
      </c>
      <c r="H854" s="2">
        <v>500000</v>
      </c>
      <c r="I854">
        <v>3</v>
      </c>
      <c r="J854" t="s">
        <v>225</v>
      </c>
    </row>
    <row r="855" spans="1:10" hidden="1" x14ac:dyDescent="0.25">
      <c r="A855">
        <v>8</v>
      </c>
      <c r="B855" s="1">
        <v>45933</v>
      </c>
      <c r="C855" t="s">
        <v>13</v>
      </c>
      <c r="D855" t="s">
        <v>45</v>
      </c>
      <c r="E855" t="s">
        <v>459</v>
      </c>
      <c r="F855" t="s">
        <v>474</v>
      </c>
      <c r="G855">
        <v>5</v>
      </c>
      <c r="H855" s="2">
        <v>500000</v>
      </c>
      <c r="I855">
        <v>3</v>
      </c>
      <c r="J855" t="s">
        <v>396</v>
      </c>
    </row>
    <row r="856" spans="1:10" hidden="1" x14ac:dyDescent="0.25">
      <c r="A856">
        <v>8</v>
      </c>
      <c r="B856" s="1">
        <v>45933</v>
      </c>
      <c r="C856" t="s">
        <v>13</v>
      </c>
      <c r="D856" t="s">
        <v>60</v>
      </c>
      <c r="E856" t="s">
        <v>459</v>
      </c>
      <c r="F856" t="s">
        <v>464</v>
      </c>
      <c r="G856">
        <v>2</v>
      </c>
      <c r="H856" s="2">
        <v>200000</v>
      </c>
      <c r="I856">
        <v>3</v>
      </c>
      <c r="J856" t="s">
        <v>340</v>
      </c>
    </row>
    <row r="857" spans="1:10" hidden="1" x14ac:dyDescent="0.25">
      <c r="A857">
        <v>8</v>
      </c>
      <c r="B857" s="1">
        <v>45933</v>
      </c>
      <c r="C857" t="s">
        <v>13</v>
      </c>
      <c r="D857" t="s">
        <v>319</v>
      </c>
      <c r="E857" t="s">
        <v>89</v>
      </c>
      <c r="F857" t="s">
        <v>458</v>
      </c>
      <c r="G857">
        <v>5</v>
      </c>
      <c r="H857" s="2">
        <v>500000</v>
      </c>
      <c r="I857">
        <v>4</v>
      </c>
      <c r="J857" t="s">
        <v>490</v>
      </c>
    </row>
    <row r="858" spans="1:10" hidden="1" x14ac:dyDescent="0.25">
      <c r="A858">
        <v>8</v>
      </c>
      <c r="B858" s="1">
        <v>45933</v>
      </c>
      <c r="C858" t="s">
        <v>13</v>
      </c>
      <c r="D858" t="s">
        <v>105</v>
      </c>
      <c r="E858" t="s">
        <v>89</v>
      </c>
      <c r="F858" t="s">
        <v>474</v>
      </c>
      <c r="G858">
        <v>4</v>
      </c>
      <c r="H858" s="2">
        <v>400000</v>
      </c>
      <c r="I858">
        <v>4</v>
      </c>
      <c r="J858" t="s">
        <v>415</v>
      </c>
    </row>
    <row r="859" spans="1:10" hidden="1" x14ac:dyDescent="0.25">
      <c r="A859">
        <v>8</v>
      </c>
      <c r="B859" s="1">
        <v>45933</v>
      </c>
      <c r="C859" t="s">
        <v>13</v>
      </c>
      <c r="D859" t="s">
        <v>161</v>
      </c>
      <c r="E859" t="s">
        <v>89</v>
      </c>
      <c r="F859" t="s">
        <v>447</v>
      </c>
      <c r="G859">
        <v>0</v>
      </c>
      <c r="H859" s="2">
        <v>0</v>
      </c>
      <c r="I859">
        <v>4</v>
      </c>
      <c r="J859" t="s">
        <v>161</v>
      </c>
    </row>
    <row r="860" spans="1:10" hidden="1" x14ac:dyDescent="0.25">
      <c r="A860">
        <v>8</v>
      </c>
      <c r="B860" s="1">
        <v>45933</v>
      </c>
      <c r="C860" t="s">
        <v>8</v>
      </c>
      <c r="D860" t="s">
        <v>266</v>
      </c>
      <c r="E860" t="s">
        <v>77</v>
      </c>
      <c r="F860" t="s">
        <v>451</v>
      </c>
      <c r="G860">
        <v>11</v>
      </c>
      <c r="H860" s="2">
        <v>1100000</v>
      </c>
      <c r="I860">
        <v>1</v>
      </c>
      <c r="J860" t="s">
        <v>675</v>
      </c>
    </row>
    <row r="861" spans="1:10" hidden="1" x14ac:dyDescent="0.25">
      <c r="A861">
        <v>8</v>
      </c>
      <c r="B861" s="1">
        <v>45933</v>
      </c>
      <c r="C861" t="s">
        <v>8</v>
      </c>
      <c r="D861" t="s">
        <v>67</v>
      </c>
      <c r="E861" t="s">
        <v>219</v>
      </c>
      <c r="F861" t="s">
        <v>472</v>
      </c>
      <c r="G861">
        <v>12</v>
      </c>
      <c r="H861" s="2">
        <v>1200000</v>
      </c>
      <c r="I861">
        <v>2</v>
      </c>
      <c r="J861" t="s">
        <v>512</v>
      </c>
    </row>
    <row r="862" spans="1:10" hidden="1" x14ac:dyDescent="0.25">
      <c r="A862">
        <v>8</v>
      </c>
      <c r="B862" s="1">
        <v>45933</v>
      </c>
      <c r="C862" t="s">
        <v>8</v>
      </c>
      <c r="D862" t="s">
        <v>215</v>
      </c>
      <c r="E862" t="s">
        <v>219</v>
      </c>
      <c r="F862" t="s">
        <v>456</v>
      </c>
      <c r="G862">
        <v>3</v>
      </c>
      <c r="H862" s="2">
        <v>300000</v>
      </c>
      <c r="I862">
        <v>2</v>
      </c>
      <c r="J862" t="s">
        <v>402</v>
      </c>
    </row>
    <row r="863" spans="1:10" hidden="1" x14ac:dyDescent="0.25">
      <c r="A863">
        <v>8</v>
      </c>
      <c r="B863" s="1">
        <v>45933</v>
      </c>
      <c r="C863" t="s">
        <v>8</v>
      </c>
      <c r="D863" t="s">
        <v>174</v>
      </c>
      <c r="E863" t="s">
        <v>219</v>
      </c>
      <c r="F863" t="s">
        <v>488</v>
      </c>
      <c r="G863">
        <v>-1</v>
      </c>
      <c r="H863" s="2">
        <v>-100000</v>
      </c>
      <c r="I863">
        <v>2</v>
      </c>
      <c r="J863" t="s">
        <v>174</v>
      </c>
    </row>
    <row r="864" spans="1:10" hidden="1" x14ac:dyDescent="0.25">
      <c r="A864">
        <v>8</v>
      </c>
      <c r="B864" s="1">
        <v>45933</v>
      </c>
      <c r="C864" t="s">
        <v>8</v>
      </c>
      <c r="D864" t="s">
        <v>111</v>
      </c>
      <c r="E864" t="s">
        <v>459</v>
      </c>
      <c r="F864" t="s">
        <v>474</v>
      </c>
      <c r="G864">
        <v>3</v>
      </c>
      <c r="H864" s="2">
        <v>300000</v>
      </c>
      <c r="I864">
        <v>3</v>
      </c>
      <c r="J864" t="s">
        <v>111</v>
      </c>
    </row>
    <row r="865" spans="1:10" hidden="1" x14ac:dyDescent="0.25">
      <c r="A865">
        <v>8</v>
      </c>
      <c r="B865" s="1">
        <v>45933</v>
      </c>
      <c r="C865" t="s">
        <v>8</v>
      </c>
      <c r="D865" t="s">
        <v>237</v>
      </c>
      <c r="E865" t="s">
        <v>459</v>
      </c>
      <c r="F865" t="s">
        <v>496</v>
      </c>
      <c r="G865">
        <v>3</v>
      </c>
      <c r="H865" s="2">
        <v>300000</v>
      </c>
      <c r="I865">
        <v>3</v>
      </c>
      <c r="J865" t="s">
        <v>418</v>
      </c>
    </row>
    <row r="866" spans="1:10" hidden="1" x14ac:dyDescent="0.25">
      <c r="A866">
        <v>8</v>
      </c>
      <c r="B866" s="1">
        <v>45933</v>
      </c>
      <c r="C866" t="s">
        <v>8</v>
      </c>
      <c r="D866" t="s">
        <v>300</v>
      </c>
      <c r="E866" t="s">
        <v>459</v>
      </c>
      <c r="F866" t="s">
        <v>498</v>
      </c>
      <c r="G866">
        <v>2</v>
      </c>
      <c r="H866" s="2">
        <v>200000</v>
      </c>
      <c r="I866">
        <v>3</v>
      </c>
      <c r="J866" t="s">
        <v>398</v>
      </c>
    </row>
    <row r="867" spans="1:10" hidden="1" x14ac:dyDescent="0.25">
      <c r="A867">
        <v>8</v>
      </c>
      <c r="B867" s="1">
        <v>45933</v>
      </c>
      <c r="C867" t="s">
        <v>8</v>
      </c>
      <c r="D867" t="s">
        <v>231</v>
      </c>
      <c r="E867" t="s">
        <v>459</v>
      </c>
      <c r="F867" t="s">
        <v>464</v>
      </c>
      <c r="G867">
        <v>7</v>
      </c>
      <c r="H867" s="2">
        <v>700000</v>
      </c>
      <c r="I867">
        <v>3</v>
      </c>
      <c r="J867" t="s">
        <v>414</v>
      </c>
    </row>
    <row r="868" spans="1:10" hidden="1" x14ac:dyDescent="0.25">
      <c r="A868">
        <v>8</v>
      </c>
      <c r="B868" s="1">
        <v>45933</v>
      </c>
      <c r="C868" t="s">
        <v>8</v>
      </c>
      <c r="D868" t="s">
        <v>71</v>
      </c>
      <c r="E868" t="s">
        <v>89</v>
      </c>
      <c r="F868" t="s">
        <v>472</v>
      </c>
      <c r="G868">
        <v>3</v>
      </c>
      <c r="H868" s="2">
        <v>300000</v>
      </c>
      <c r="I868">
        <v>4</v>
      </c>
      <c r="J868" t="s">
        <v>693</v>
      </c>
    </row>
    <row r="869" spans="1:10" hidden="1" x14ac:dyDescent="0.25">
      <c r="A869">
        <v>8</v>
      </c>
      <c r="B869" s="1">
        <v>45933</v>
      </c>
      <c r="C869" t="s">
        <v>8</v>
      </c>
      <c r="D869" t="s">
        <v>312</v>
      </c>
      <c r="E869" t="s">
        <v>89</v>
      </c>
      <c r="F869" t="s">
        <v>455</v>
      </c>
      <c r="G869">
        <v>1</v>
      </c>
      <c r="H869" s="2">
        <v>100000</v>
      </c>
      <c r="I869">
        <v>4</v>
      </c>
      <c r="J869" t="s">
        <v>312</v>
      </c>
    </row>
    <row r="870" spans="1:10" hidden="1" x14ac:dyDescent="0.25">
      <c r="A870">
        <v>8</v>
      </c>
      <c r="B870" s="1">
        <v>45933</v>
      </c>
      <c r="C870" t="s">
        <v>8</v>
      </c>
      <c r="D870" t="s">
        <v>50</v>
      </c>
      <c r="E870" t="s">
        <v>89</v>
      </c>
      <c r="F870" t="s">
        <v>448</v>
      </c>
      <c r="G870">
        <v>2</v>
      </c>
      <c r="H870" s="2">
        <v>200000</v>
      </c>
      <c r="I870">
        <v>4</v>
      </c>
      <c r="J870" t="s">
        <v>50</v>
      </c>
    </row>
    <row r="871" spans="1:10" hidden="1" x14ac:dyDescent="0.25">
      <c r="A871">
        <v>8</v>
      </c>
      <c r="B871" s="1">
        <v>45933</v>
      </c>
      <c r="C871" t="s">
        <v>7</v>
      </c>
      <c r="D871" t="s">
        <v>54</v>
      </c>
      <c r="E871" t="s">
        <v>77</v>
      </c>
      <c r="F871" t="s">
        <v>488</v>
      </c>
      <c r="G871">
        <v>7</v>
      </c>
      <c r="H871" s="2">
        <v>700000</v>
      </c>
      <c r="I871">
        <v>1</v>
      </c>
      <c r="J871" t="s">
        <v>54</v>
      </c>
    </row>
    <row r="872" spans="1:10" hidden="1" x14ac:dyDescent="0.25">
      <c r="A872">
        <v>8</v>
      </c>
      <c r="B872" s="1">
        <v>45933</v>
      </c>
      <c r="C872" t="s">
        <v>7</v>
      </c>
      <c r="D872" t="s">
        <v>181</v>
      </c>
      <c r="E872" t="s">
        <v>219</v>
      </c>
      <c r="F872" t="s">
        <v>498</v>
      </c>
      <c r="G872">
        <v>9</v>
      </c>
      <c r="H872" s="2">
        <v>900000</v>
      </c>
      <c r="I872">
        <v>2</v>
      </c>
      <c r="J872" t="s">
        <v>406</v>
      </c>
    </row>
    <row r="873" spans="1:10" hidden="1" x14ac:dyDescent="0.25">
      <c r="A873">
        <v>8</v>
      </c>
      <c r="B873" s="1">
        <v>45933</v>
      </c>
      <c r="C873" t="s">
        <v>7</v>
      </c>
      <c r="D873" t="s">
        <v>151</v>
      </c>
      <c r="E873" t="s">
        <v>219</v>
      </c>
      <c r="F873" t="s">
        <v>447</v>
      </c>
      <c r="G873">
        <v>-1</v>
      </c>
      <c r="H873" s="2">
        <v>-100000</v>
      </c>
      <c r="I873">
        <v>2</v>
      </c>
      <c r="J873" t="s">
        <v>382</v>
      </c>
    </row>
    <row r="874" spans="1:10" hidden="1" x14ac:dyDescent="0.25">
      <c r="A874">
        <v>8</v>
      </c>
      <c r="B874" s="1">
        <v>45933</v>
      </c>
      <c r="C874" t="s">
        <v>7</v>
      </c>
      <c r="D874" t="s">
        <v>443</v>
      </c>
      <c r="E874" t="s">
        <v>219</v>
      </c>
      <c r="F874" t="s">
        <v>455</v>
      </c>
      <c r="G874">
        <v>2</v>
      </c>
      <c r="H874" s="2">
        <v>200000</v>
      </c>
      <c r="I874">
        <v>2</v>
      </c>
      <c r="J874" t="s">
        <v>443</v>
      </c>
    </row>
    <row r="875" spans="1:10" hidden="1" x14ac:dyDescent="0.25">
      <c r="A875">
        <v>8</v>
      </c>
      <c r="B875" s="1">
        <v>45933</v>
      </c>
      <c r="C875" t="s">
        <v>7</v>
      </c>
      <c r="D875" t="s">
        <v>321</v>
      </c>
      <c r="E875" t="s">
        <v>219</v>
      </c>
      <c r="F875" t="s">
        <v>514</v>
      </c>
      <c r="G875">
        <v>1</v>
      </c>
      <c r="H875" s="2">
        <v>100000</v>
      </c>
      <c r="I875">
        <v>2</v>
      </c>
      <c r="J875" t="s">
        <v>399</v>
      </c>
    </row>
    <row r="876" spans="1:10" hidden="1" x14ac:dyDescent="0.25">
      <c r="A876">
        <v>8</v>
      </c>
      <c r="B876" s="1">
        <v>45933</v>
      </c>
      <c r="C876" t="s">
        <v>7</v>
      </c>
      <c r="D876" t="s">
        <v>425</v>
      </c>
      <c r="E876" t="s">
        <v>459</v>
      </c>
      <c r="F876" t="s">
        <v>448</v>
      </c>
      <c r="G876">
        <v>3</v>
      </c>
      <c r="H876" s="2">
        <v>300000</v>
      </c>
      <c r="I876">
        <v>3</v>
      </c>
      <c r="J876" t="s">
        <v>425</v>
      </c>
    </row>
    <row r="877" spans="1:10" hidden="1" x14ac:dyDescent="0.25">
      <c r="A877">
        <v>8</v>
      </c>
      <c r="B877" s="1">
        <v>45933</v>
      </c>
      <c r="C877" t="s">
        <v>7</v>
      </c>
      <c r="D877" t="s">
        <v>446</v>
      </c>
      <c r="E877" t="s">
        <v>459</v>
      </c>
      <c r="F877" t="s">
        <v>514</v>
      </c>
      <c r="G877">
        <v>0</v>
      </c>
      <c r="H877" s="2">
        <v>0</v>
      </c>
      <c r="I877">
        <v>3</v>
      </c>
      <c r="J877" t="s">
        <v>446</v>
      </c>
    </row>
    <row r="878" spans="1:10" hidden="1" x14ac:dyDescent="0.25">
      <c r="A878">
        <v>8</v>
      </c>
      <c r="B878" s="1">
        <v>45933</v>
      </c>
      <c r="C878" t="s">
        <v>7</v>
      </c>
      <c r="D878" t="s">
        <v>176</v>
      </c>
      <c r="E878" t="s">
        <v>459</v>
      </c>
      <c r="F878" t="s">
        <v>480</v>
      </c>
      <c r="G878">
        <v>3</v>
      </c>
      <c r="H878" s="2">
        <v>300000</v>
      </c>
      <c r="I878">
        <v>3</v>
      </c>
      <c r="J878" t="s">
        <v>176</v>
      </c>
    </row>
    <row r="879" spans="1:10" hidden="1" x14ac:dyDescent="0.25">
      <c r="A879">
        <v>8</v>
      </c>
      <c r="B879" s="1">
        <v>45933</v>
      </c>
      <c r="C879" t="s">
        <v>7</v>
      </c>
      <c r="D879" t="s">
        <v>51</v>
      </c>
      <c r="E879" t="s">
        <v>89</v>
      </c>
      <c r="F879" t="s">
        <v>498</v>
      </c>
      <c r="G879">
        <v>1</v>
      </c>
      <c r="H879" s="2">
        <v>100000</v>
      </c>
      <c r="I879">
        <v>4</v>
      </c>
      <c r="J879" t="s">
        <v>413</v>
      </c>
    </row>
    <row r="880" spans="1:10" hidden="1" x14ac:dyDescent="0.25">
      <c r="A880">
        <v>8</v>
      </c>
      <c r="B880" s="1">
        <v>45933</v>
      </c>
      <c r="C880" t="s">
        <v>7</v>
      </c>
      <c r="D880" t="s">
        <v>187</v>
      </c>
      <c r="E880" t="s">
        <v>89</v>
      </c>
      <c r="F880" t="s">
        <v>461</v>
      </c>
      <c r="G880">
        <v>10</v>
      </c>
      <c r="H880" s="2">
        <v>1000000</v>
      </c>
      <c r="I880">
        <v>4</v>
      </c>
      <c r="J880" t="s">
        <v>399</v>
      </c>
    </row>
    <row r="881" spans="1:10" hidden="1" x14ac:dyDescent="0.25">
      <c r="A881">
        <v>8</v>
      </c>
      <c r="B881" s="1">
        <v>45933</v>
      </c>
      <c r="C881" t="s">
        <v>7</v>
      </c>
      <c r="D881" t="s">
        <v>764</v>
      </c>
      <c r="E881" t="s">
        <v>89</v>
      </c>
      <c r="F881" t="s">
        <v>448</v>
      </c>
      <c r="G881">
        <v>22</v>
      </c>
      <c r="H881" s="2">
        <v>2200000</v>
      </c>
      <c r="I881">
        <v>4</v>
      </c>
      <c r="J881" t="s">
        <v>747</v>
      </c>
    </row>
    <row r="882" spans="1:10" x14ac:dyDescent="0.25">
      <c r="A882">
        <v>9</v>
      </c>
      <c r="B882" s="1">
        <v>45947</v>
      </c>
      <c r="C882" t="s">
        <v>10</v>
      </c>
      <c r="D882" t="s">
        <v>429</v>
      </c>
      <c r="E882" t="str">
        <f>IF(ISERROR(VLOOKUP(D882,Nombres!A:D,4,FALSE)),"PROBLEMAAAAAA",VLOOKUP(D882,Nombres!A:D,4,FALSE))</f>
        <v>POR</v>
      </c>
      <c r="F882" t="str">
        <f>IF(ISERROR(VLOOKUP(D882,Nombres!A:D,3,FALSE)),"PROBLEMAAAAAA",VLOOKUP(D882,Nombres!A:D,3,FALSE))</f>
        <v>Real Oviedo</v>
      </c>
      <c r="G882">
        <v>9</v>
      </c>
      <c r="H882" s="2">
        <f t="shared" ref="H882:H945" si="0">G882*100000</f>
        <v>900000</v>
      </c>
      <c r="I882">
        <f t="shared" ref="I882:I945" si="1">IF(E882="POR",1,IF(E882="DEF",2,IF(E882="MED",3,4)))</f>
        <v>1</v>
      </c>
      <c r="J882" t="str">
        <f>IF(ISERROR(VLOOKUP(D882,Nombres!A:D,2,FALSE)),"PROBLEMAAAAAA",VLOOKUP(D882,Nombres!A:D,2,FALSE))</f>
        <v>Aarón</v>
      </c>
    </row>
    <row r="883" spans="1:10" x14ac:dyDescent="0.25">
      <c r="A883">
        <v>9</v>
      </c>
      <c r="B883" s="1">
        <v>45947</v>
      </c>
      <c r="C883" t="s">
        <v>10</v>
      </c>
      <c r="D883" t="s">
        <v>315</v>
      </c>
      <c r="E883" t="str">
        <f>IF(ISERROR(VLOOKUP(D883,Nombres!A:D,4,FALSE)),"PROBLEMAAAAAA",VLOOKUP(D883,Nombres!A:D,4,FALSE))</f>
        <v>DEF</v>
      </c>
      <c r="F883" t="str">
        <f>IF(ISERROR(VLOOKUP(D883,Nombres!A:D,3,FALSE)),"PROBLEMAAAAAA",VLOOKUP(D883,Nombres!A:D,3,FALSE))</f>
        <v>Levante</v>
      </c>
      <c r="G883">
        <v>-2</v>
      </c>
      <c r="H883" s="2">
        <f t="shared" si="0"/>
        <v>-200000</v>
      </c>
      <c r="I883">
        <f t="shared" si="1"/>
        <v>2</v>
      </c>
      <c r="J883" t="str">
        <f>IF(ISERROR(VLOOKUP(D883,Nombres!A:D,2,FALSE)),"PROBLEMAAAAAA",VLOOKUP(D883,Nombres!A:D,2,FALSE))</f>
        <v>Toljan</v>
      </c>
    </row>
    <row r="884" spans="1:10" x14ac:dyDescent="0.25">
      <c r="A884">
        <v>9</v>
      </c>
      <c r="B884" s="1">
        <v>45947</v>
      </c>
      <c r="C884" t="s">
        <v>10</v>
      </c>
      <c r="D884" t="s">
        <v>698</v>
      </c>
      <c r="E884" t="str">
        <f>IF(ISERROR(VLOOKUP(D884,Nombres!A:D,4,FALSE)),"PROBLEMAAAAAA",VLOOKUP(D884,Nombres!A:D,4,FALSE))</f>
        <v>DEF</v>
      </c>
      <c r="F884" t="str">
        <f>IF(ISERROR(VLOOKUP(D884,Nombres!A:D,3,FALSE)),"PROBLEMAAAAAA",VLOOKUP(D884,Nombres!A:D,3,FALSE))</f>
        <v>Espanyol</v>
      </c>
      <c r="G884">
        <v>8</v>
      </c>
      <c r="H884" s="2">
        <f t="shared" si="0"/>
        <v>800000</v>
      </c>
      <c r="I884">
        <f t="shared" si="1"/>
        <v>2</v>
      </c>
      <c r="J884" t="str">
        <f>IF(ISERROR(VLOOKUP(D884,Nombres!A:D,2,FALSE)),"PROBLEMAAAAAA",VLOOKUP(D884,Nombres!A:D,2,FALSE))</f>
        <v>Riedel</v>
      </c>
    </row>
    <row r="885" spans="1:10" x14ac:dyDescent="0.25">
      <c r="A885">
        <v>9</v>
      </c>
      <c r="B885" s="1">
        <v>45947</v>
      </c>
      <c r="C885" t="s">
        <v>10</v>
      </c>
      <c r="D885" t="s">
        <v>522</v>
      </c>
      <c r="E885" t="str">
        <f>IF(ISERROR(VLOOKUP(D885,Nombres!A:D,4,FALSE)),"PROBLEMAAAAAA",VLOOKUP(D885,Nombres!A:D,4,FALSE))</f>
        <v>DEF</v>
      </c>
      <c r="F885" t="str">
        <f>IF(ISERROR(VLOOKUP(D885,Nombres!A:D,3,FALSE)),"PROBLEMAAAAAA",VLOOKUP(D885,Nombres!A:D,3,FALSE))</f>
        <v>Sevilla</v>
      </c>
      <c r="G885">
        <v>6</v>
      </c>
      <c r="H885" s="2">
        <f t="shared" si="0"/>
        <v>600000</v>
      </c>
      <c r="I885">
        <f t="shared" si="1"/>
        <v>2</v>
      </c>
      <c r="J885" t="str">
        <f>IF(ISERROR(VLOOKUP(D885,Nombres!A:D,2,FALSE)),"PROBLEMAAAAAA",VLOOKUP(D885,Nombres!A:D,2,FALSE))</f>
        <v>Carmona</v>
      </c>
    </row>
    <row r="886" spans="1:10" x14ac:dyDescent="0.25">
      <c r="A886">
        <v>9</v>
      </c>
      <c r="B886" s="1">
        <v>45947</v>
      </c>
      <c r="C886" t="s">
        <v>10</v>
      </c>
      <c r="D886" t="s">
        <v>670</v>
      </c>
      <c r="E886" t="str">
        <f>IF(ISERROR(VLOOKUP(D886,Nombres!A:D,4,FALSE)),"PROBLEMAAAAAA",VLOOKUP(D886,Nombres!A:D,4,FALSE))</f>
        <v>DEF</v>
      </c>
      <c r="F886" t="str">
        <f>IF(ISERROR(VLOOKUP(D886,Nombres!A:D,3,FALSE)),"PROBLEMAAAAAA",VLOOKUP(D886,Nombres!A:D,3,FALSE))</f>
        <v>Alavés</v>
      </c>
      <c r="G886">
        <v>9</v>
      </c>
      <c r="H886" s="2">
        <f t="shared" si="0"/>
        <v>900000</v>
      </c>
      <c r="I886">
        <f t="shared" si="1"/>
        <v>2</v>
      </c>
      <c r="J886" t="str">
        <f>IF(ISERROR(VLOOKUP(D886,Nombres!A:D,2,FALSE)),"PROBLEMAAAAAA",VLOOKUP(D886,Nombres!A:D,2,FALSE))</f>
        <v>Pacheco</v>
      </c>
    </row>
    <row r="887" spans="1:10" x14ac:dyDescent="0.25">
      <c r="A887">
        <v>9</v>
      </c>
      <c r="B887" s="1">
        <v>45947</v>
      </c>
      <c r="C887" t="s">
        <v>10</v>
      </c>
      <c r="D887" t="s">
        <v>325</v>
      </c>
      <c r="E887" t="str">
        <f>IF(ISERROR(VLOOKUP(D887,Nombres!A:D,4,FALSE)),"PROBLEMAAAAAA",VLOOKUP(D887,Nombres!A:D,4,FALSE))</f>
        <v>MED</v>
      </c>
      <c r="F887" t="str">
        <f>IF(ISERROR(VLOOKUP(D887,Nombres!A:D,3,FALSE)),"PROBLEMAAAAAA",VLOOKUP(D887,Nombres!A:D,3,FALSE))</f>
        <v>Elche</v>
      </c>
      <c r="G887">
        <v>5</v>
      </c>
      <c r="H887" s="2">
        <f t="shared" si="0"/>
        <v>500000</v>
      </c>
      <c r="I887">
        <f t="shared" si="1"/>
        <v>3</v>
      </c>
      <c r="J887" t="str">
        <f>IF(ISERROR(VLOOKUP(D887,Nombres!A:D,2,FALSE)),"PROBLEMAAAAAA",VLOOKUP(D887,Nombres!A:D,2,FALSE))</f>
        <v>Valera</v>
      </c>
    </row>
    <row r="888" spans="1:10" x14ac:dyDescent="0.25">
      <c r="A888">
        <v>9</v>
      </c>
      <c r="B888" s="1">
        <v>45947</v>
      </c>
      <c r="C888" t="s">
        <v>10</v>
      </c>
      <c r="D888" t="s">
        <v>761</v>
      </c>
      <c r="E888" t="str">
        <f>IF(ISERROR(VLOOKUP(D888,Nombres!A:D,4,FALSE)),"PROBLEMAAAAAA",VLOOKUP(D888,Nombres!A:D,4,FALSE))</f>
        <v>MED</v>
      </c>
      <c r="F888" t="str">
        <f>IF(ISERROR(VLOOKUP(D888,Nombres!A:D,3,FALSE)),"PROBLEMAAAAAA",VLOOKUP(D888,Nombres!A:D,3,FALSE))</f>
        <v>Mallorca</v>
      </c>
      <c r="G888">
        <v>5</v>
      </c>
      <c r="H888" s="2">
        <f t="shared" si="0"/>
        <v>500000</v>
      </c>
      <c r="I888">
        <f t="shared" si="1"/>
        <v>3</v>
      </c>
      <c r="J888" t="str">
        <f>IF(ISERROR(VLOOKUP(D888,Nombres!A:D,2,FALSE)),"PROBLEMAAAAAA",VLOOKUP(D888,Nombres!A:D,2,FALSE))</f>
        <v>Samú</v>
      </c>
    </row>
    <row r="889" spans="1:10" x14ac:dyDescent="0.25">
      <c r="A889">
        <v>9</v>
      </c>
      <c r="B889" s="1">
        <v>45947</v>
      </c>
      <c r="C889" t="s">
        <v>10</v>
      </c>
      <c r="D889" t="s">
        <v>769</v>
      </c>
      <c r="E889" t="str">
        <f>IF(ISERROR(VLOOKUP(D889,Nombres!A:D,4,FALSE)),"PROBLEMAAAAAA",VLOOKUP(D889,Nombres!A:D,4,FALSE))</f>
        <v>MED</v>
      </c>
      <c r="F889" t="str">
        <f>IF(ISERROR(VLOOKUP(D889,Nombres!A:D,3,FALSE)),"PROBLEMAAAAAA",VLOOKUP(D889,Nombres!A:D,3,FALSE))</f>
        <v>Rayo</v>
      </c>
      <c r="G889">
        <v>11</v>
      </c>
      <c r="H889" s="2">
        <f t="shared" si="0"/>
        <v>1100000</v>
      </c>
      <c r="I889">
        <f t="shared" si="1"/>
        <v>3</v>
      </c>
      <c r="J889" t="str">
        <f>IF(ISERROR(VLOOKUP(D889,Nombres!A:D,2,FALSE)),"PROBLEMAAAAAA",VLOOKUP(D889,Nombres!A:D,2,FALSE))</f>
        <v>Unai López</v>
      </c>
    </row>
    <row r="890" spans="1:10" x14ac:dyDescent="0.25">
      <c r="A890">
        <v>9</v>
      </c>
      <c r="B890" s="1">
        <v>45947</v>
      </c>
      <c r="C890" t="s">
        <v>10</v>
      </c>
      <c r="D890" t="s">
        <v>267</v>
      </c>
      <c r="E890" t="str">
        <f>IF(ISERROR(VLOOKUP(D890,Nombres!A:D,4,FALSE)),"PROBLEMAAAAAA",VLOOKUP(D890,Nombres!A:D,4,FALSE))</f>
        <v>DEL</v>
      </c>
      <c r="F890" t="str">
        <f>IF(ISERROR(VLOOKUP(D890,Nombres!A:D,3,FALSE)),"PROBLEMAAAAAA",VLOOKUP(D890,Nombres!A:D,3,FALSE))</f>
        <v>Barcelona</v>
      </c>
      <c r="G890">
        <v>10</v>
      </c>
      <c r="H890" s="2">
        <f t="shared" si="0"/>
        <v>1000000</v>
      </c>
      <c r="I890">
        <f t="shared" si="1"/>
        <v>4</v>
      </c>
      <c r="J890" t="str">
        <f>IF(ISERROR(VLOOKUP(D890,Nombres!A:D,2,FALSE)),"PROBLEMAAAAAA",VLOOKUP(D890,Nombres!A:D,2,FALSE))</f>
        <v>Yamal</v>
      </c>
    </row>
    <row r="891" spans="1:10" x14ac:dyDescent="0.25">
      <c r="A891">
        <v>9</v>
      </c>
      <c r="B891" s="1">
        <v>45947</v>
      </c>
      <c r="C891" t="s">
        <v>10</v>
      </c>
      <c r="D891" t="s">
        <v>275</v>
      </c>
      <c r="E891" t="str">
        <f>IF(ISERROR(VLOOKUP(D891,Nombres!A:D,4,FALSE)),"PROBLEMAAAAAA",VLOOKUP(D891,Nombres!A:D,4,FALSE))</f>
        <v>DEL</v>
      </c>
      <c r="F891" t="str">
        <f>IF(ISERROR(VLOOKUP(D891,Nombres!A:D,3,FALSE)),"PROBLEMAAAAAA",VLOOKUP(D891,Nombres!A:D,3,FALSE))</f>
        <v>Valencia</v>
      </c>
      <c r="G891">
        <v>6</v>
      </c>
      <c r="H891" s="2">
        <f t="shared" si="0"/>
        <v>600000</v>
      </c>
      <c r="I891">
        <f t="shared" si="1"/>
        <v>4</v>
      </c>
      <c r="J891" t="str">
        <f>IF(ISERROR(VLOOKUP(D891,Nombres!A:D,2,FALSE)),"PROBLEMAAAAAA",VLOOKUP(D891,Nombres!A:D,2,FALSE))</f>
        <v>Danjuma</v>
      </c>
    </row>
    <row r="892" spans="1:10" x14ac:dyDescent="0.25">
      <c r="A892">
        <v>9</v>
      </c>
      <c r="B892" s="1">
        <v>45947</v>
      </c>
      <c r="C892" t="s">
        <v>10</v>
      </c>
      <c r="D892" t="s">
        <v>323</v>
      </c>
      <c r="E892" t="str">
        <f>IF(ISERROR(VLOOKUP(D892,Nombres!A:D,4,FALSE)),"PROBLEMAAAAAA",VLOOKUP(D892,Nombres!A:D,4,FALSE))</f>
        <v>DEL</v>
      </c>
      <c r="F892" t="str">
        <f>IF(ISERROR(VLOOKUP(D892,Nombres!A:D,3,FALSE)),"PROBLEMAAAAAA",VLOOKUP(D892,Nombres!A:D,3,FALSE))</f>
        <v>Betis</v>
      </c>
      <c r="G892">
        <v>0</v>
      </c>
      <c r="H892" s="2">
        <f t="shared" si="0"/>
        <v>0</v>
      </c>
      <c r="I892">
        <f t="shared" si="1"/>
        <v>4</v>
      </c>
      <c r="J892" t="str">
        <f>IF(ISERROR(VLOOKUP(D892,Nombres!A:D,2,FALSE)),"PROBLEMAAAAAA",VLOOKUP(D892,Nombres!A:D,2,FALSE))</f>
        <v>Cucho</v>
      </c>
    </row>
    <row r="893" spans="1:10" x14ac:dyDescent="0.25">
      <c r="A893">
        <v>10</v>
      </c>
      <c r="B893" s="1">
        <v>45947</v>
      </c>
      <c r="C893" t="s">
        <v>10</v>
      </c>
      <c r="D893" t="s">
        <v>438</v>
      </c>
      <c r="E893" t="str">
        <f>IF(ISERROR(VLOOKUP(D893,Nombres!A:D,4,FALSE)),"PROBLEMAAAAAA",VLOOKUP(D893,Nombres!A:D,4,FALSE))</f>
        <v>POR</v>
      </c>
      <c r="F893" t="str">
        <f>IF(ISERROR(VLOOKUP(D893,Nombres!A:D,3,FALSE)),"PROBLEMAAAAAA",VLOOKUP(D893,Nombres!A:D,3,FALSE))</f>
        <v>Celta</v>
      </c>
      <c r="G893">
        <v>5</v>
      </c>
      <c r="H893" s="2">
        <f t="shared" si="0"/>
        <v>500000</v>
      </c>
      <c r="I893">
        <f t="shared" si="1"/>
        <v>1</v>
      </c>
      <c r="J893" t="str">
        <f>IF(ISERROR(VLOOKUP(D893,Nombres!A:D,2,FALSE)),"PROBLEMAAAAAA",VLOOKUP(D893,Nombres!A:D,2,FALSE))</f>
        <v>Radu</v>
      </c>
    </row>
    <row r="894" spans="1:10" x14ac:dyDescent="0.25">
      <c r="A894">
        <v>10</v>
      </c>
      <c r="B894" s="1">
        <v>45947</v>
      </c>
      <c r="C894" t="s">
        <v>10</v>
      </c>
      <c r="D894" t="s">
        <v>522</v>
      </c>
      <c r="E894" t="str">
        <f>IF(ISERROR(VLOOKUP(D894,Nombres!A:D,4,FALSE)),"PROBLEMAAAAAA",VLOOKUP(D894,Nombres!A:D,4,FALSE))</f>
        <v>DEF</v>
      </c>
      <c r="F894" t="str">
        <f>IF(ISERROR(VLOOKUP(D894,Nombres!A:D,3,FALSE)),"PROBLEMAAAAAA",VLOOKUP(D894,Nombres!A:D,3,FALSE))</f>
        <v>Sevilla</v>
      </c>
      <c r="G894">
        <v>3</v>
      </c>
      <c r="H894" s="2">
        <f t="shared" si="0"/>
        <v>300000</v>
      </c>
      <c r="I894">
        <f t="shared" si="1"/>
        <v>2</v>
      </c>
      <c r="J894" t="str">
        <f>IF(ISERROR(VLOOKUP(D894,Nombres!A:D,2,FALSE)),"PROBLEMAAAAAA",VLOOKUP(D894,Nombres!A:D,2,FALSE))</f>
        <v>Carmona</v>
      </c>
    </row>
    <row r="895" spans="1:10" x14ac:dyDescent="0.25">
      <c r="A895">
        <v>10</v>
      </c>
      <c r="B895" s="1">
        <v>45947</v>
      </c>
      <c r="C895" t="s">
        <v>10</v>
      </c>
      <c r="D895" t="s">
        <v>67</v>
      </c>
      <c r="E895" t="str">
        <f>IF(ISERROR(VLOOKUP(D895,Nombres!A:D,4,FALSE)),"PROBLEMAAAAAA",VLOOKUP(D895,Nombres!A:D,4,FALSE))</f>
        <v>DEF</v>
      </c>
      <c r="F895" t="str">
        <f>IF(ISERROR(VLOOKUP(D895,Nombres!A:D,3,FALSE)),"PROBLEMAAAAAA",VLOOKUP(D895,Nombres!A:D,3,FALSE))</f>
        <v>Osasuna</v>
      </c>
      <c r="G895">
        <v>1</v>
      </c>
      <c r="H895" s="2">
        <f t="shared" si="0"/>
        <v>100000</v>
      </c>
      <c r="I895">
        <f t="shared" si="1"/>
        <v>2</v>
      </c>
      <c r="J895" t="str">
        <f>IF(ISERROR(VLOOKUP(D895,Nombres!A:D,2,FALSE)),"PROBLEMAAAAAA",VLOOKUP(D895,Nombres!A:D,2,FALSE))</f>
        <v>Bretones</v>
      </c>
    </row>
    <row r="896" spans="1:10" x14ac:dyDescent="0.25">
      <c r="A896">
        <v>10</v>
      </c>
      <c r="B896" s="1">
        <v>45947</v>
      </c>
      <c r="C896" t="s">
        <v>10</v>
      </c>
      <c r="D896" t="s">
        <v>288</v>
      </c>
      <c r="E896" t="str">
        <f>IF(ISERROR(VLOOKUP(D896,Nombres!A:D,4,FALSE)),"PROBLEMAAAAAA",VLOOKUP(D896,Nombres!A:D,4,FALSE))</f>
        <v>DEF</v>
      </c>
      <c r="F896" t="str">
        <f>IF(ISERROR(VLOOKUP(D896,Nombres!A:D,3,FALSE)),"PROBLEMAAAAAA",VLOOKUP(D896,Nombres!A:D,3,FALSE))</f>
        <v>Alavés</v>
      </c>
      <c r="G896">
        <v>3</v>
      </c>
      <c r="H896" s="2">
        <f t="shared" si="0"/>
        <v>300000</v>
      </c>
      <c r="I896">
        <f t="shared" si="1"/>
        <v>2</v>
      </c>
      <c r="J896" t="str">
        <f>IF(ISERROR(VLOOKUP(D896,Nombres!A:D,2,FALSE)),"PROBLEMAAAAAA",VLOOKUP(D896,Nombres!A:D,2,FALSE))</f>
        <v>Tenaglia</v>
      </c>
    </row>
    <row r="897" spans="1:10" x14ac:dyDescent="0.25">
      <c r="A897">
        <v>10</v>
      </c>
      <c r="B897" s="1">
        <v>45947</v>
      </c>
      <c r="C897" t="s">
        <v>10</v>
      </c>
      <c r="D897" t="s">
        <v>88</v>
      </c>
      <c r="E897" t="str">
        <f>IF(ISERROR(VLOOKUP(D897,Nombres!A:D,4,FALSE)),"PROBLEMAAAAAA",VLOOKUP(D897,Nombres!A:D,4,FALSE))</f>
        <v>MED</v>
      </c>
      <c r="F897" t="str">
        <f>IF(ISERROR(VLOOKUP(D897,Nombres!A:D,3,FALSE)),"PROBLEMAAAAAA",VLOOKUP(D897,Nombres!A:D,3,FALSE))</f>
        <v>Osasuna</v>
      </c>
      <c r="G897">
        <v>7</v>
      </c>
      <c r="H897" s="2">
        <f t="shared" si="0"/>
        <v>700000</v>
      </c>
      <c r="I897">
        <f t="shared" si="1"/>
        <v>3</v>
      </c>
      <c r="J897" t="str">
        <f>IF(ISERROR(VLOOKUP(D897,Nombres!A:D,2,FALSE)),"PROBLEMAAAAAA",VLOOKUP(D897,Nombres!A:D,2,FALSE))</f>
        <v>Moncayola</v>
      </c>
    </row>
    <row r="898" spans="1:10" x14ac:dyDescent="0.25">
      <c r="A898">
        <v>10</v>
      </c>
      <c r="B898" s="1">
        <v>45947</v>
      </c>
      <c r="C898" t="s">
        <v>10</v>
      </c>
      <c r="D898" t="s">
        <v>325</v>
      </c>
      <c r="E898" t="str">
        <f>IF(ISERROR(VLOOKUP(D898,Nombres!A:D,4,FALSE)),"PROBLEMAAAAAA",VLOOKUP(D898,Nombres!A:D,4,FALSE))</f>
        <v>MED</v>
      </c>
      <c r="F898" t="str">
        <f>IF(ISERROR(VLOOKUP(D898,Nombres!A:D,3,FALSE)),"PROBLEMAAAAAA",VLOOKUP(D898,Nombres!A:D,3,FALSE))</f>
        <v>Elche</v>
      </c>
      <c r="G898">
        <v>4</v>
      </c>
      <c r="H898" s="2">
        <f t="shared" si="0"/>
        <v>400000</v>
      </c>
      <c r="I898">
        <f t="shared" si="1"/>
        <v>3</v>
      </c>
      <c r="J898" t="str">
        <f>IF(ISERROR(VLOOKUP(D898,Nombres!A:D,2,FALSE)),"PROBLEMAAAAAA",VLOOKUP(D898,Nombres!A:D,2,FALSE))</f>
        <v>Valera</v>
      </c>
    </row>
    <row r="899" spans="1:10" x14ac:dyDescent="0.25">
      <c r="A899">
        <v>10</v>
      </c>
      <c r="B899" s="1">
        <v>45947</v>
      </c>
      <c r="C899" t="s">
        <v>10</v>
      </c>
      <c r="D899" t="s">
        <v>37</v>
      </c>
      <c r="E899" t="str">
        <f>IF(ISERROR(VLOOKUP(D899,Nombres!A:D,4,FALSE)),"PROBLEMAAAAAA",VLOOKUP(D899,Nombres!A:D,4,FALSE))</f>
        <v>MED</v>
      </c>
      <c r="F899" t="str">
        <f>IF(ISERROR(VLOOKUP(D899,Nombres!A:D,3,FALSE)),"PROBLEMAAAAAA",VLOOKUP(D899,Nombres!A:D,3,FALSE))</f>
        <v>Osasuna</v>
      </c>
      <c r="G899">
        <v>8</v>
      </c>
      <c r="H899" s="2">
        <f t="shared" si="0"/>
        <v>800000</v>
      </c>
      <c r="I899">
        <f t="shared" si="1"/>
        <v>3</v>
      </c>
      <c r="J899" t="str">
        <f>IF(ISERROR(VLOOKUP(D899,Nombres!A:D,2,FALSE)),"PROBLEMAAAAAA",VLOOKUP(D899,Nombres!A:D,2,FALSE))</f>
        <v>Rubén G.</v>
      </c>
    </row>
    <row r="900" spans="1:10" x14ac:dyDescent="0.25">
      <c r="A900">
        <v>10</v>
      </c>
      <c r="B900" s="1">
        <v>45947</v>
      </c>
      <c r="C900" t="s">
        <v>10</v>
      </c>
      <c r="D900" t="s">
        <v>230</v>
      </c>
      <c r="E900" t="str">
        <f>IF(ISERROR(VLOOKUP(D900,Nombres!A:D,4,FALSE)),"PROBLEMAAAAAA",VLOOKUP(D900,Nombres!A:D,4,FALSE))</f>
        <v>MED</v>
      </c>
      <c r="F900" t="str">
        <f>IF(ISERROR(VLOOKUP(D900,Nombres!A:D,3,FALSE)),"PROBLEMAAAAAA",VLOOKUP(D900,Nombres!A:D,3,FALSE))</f>
        <v>Athletic</v>
      </c>
      <c r="G900">
        <v>3</v>
      </c>
      <c r="H900" s="2">
        <f t="shared" si="0"/>
        <v>300000</v>
      </c>
      <c r="I900">
        <f t="shared" si="1"/>
        <v>3</v>
      </c>
      <c r="J900" t="str">
        <f>IF(ISERROR(VLOOKUP(D900,Nombres!A:D,2,FALSE)),"PROBLEMAAAAAA",VLOOKUP(D900,Nombres!A:D,2,FALSE))</f>
        <v>Navarro</v>
      </c>
    </row>
    <row r="901" spans="1:10" x14ac:dyDescent="0.25">
      <c r="A901">
        <v>10</v>
      </c>
      <c r="B901" s="1">
        <v>45947</v>
      </c>
      <c r="C901" t="s">
        <v>10</v>
      </c>
      <c r="D901" t="s">
        <v>267</v>
      </c>
      <c r="E901" t="str">
        <f>IF(ISERROR(VLOOKUP(D901,Nombres!A:D,4,FALSE)),"PROBLEMAAAAAA",VLOOKUP(D901,Nombres!A:D,4,FALSE))</f>
        <v>DEL</v>
      </c>
      <c r="F901" t="str">
        <f>IF(ISERROR(VLOOKUP(D901,Nombres!A:D,3,FALSE)),"PROBLEMAAAAAA",VLOOKUP(D901,Nombres!A:D,3,FALSE))</f>
        <v>Barcelona</v>
      </c>
      <c r="G901">
        <v>7</v>
      </c>
      <c r="H901" s="2">
        <f t="shared" si="0"/>
        <v>700000</v>
      </c>
      <c r="I901">
        <f t="shared" si="1"/>
        <v>4</v>
      </c>
      <c r="J901" t="str">
        <f>IF(ISERROR(VLOOKUP(D901,Nombres!A:D,2,FALSE)),"PROBLEMAAAAAA",VLOOKUP(D901,Nombres!A:D,2,FALSE))</f>
        <v>Yamal</v>
      </c>
    </row>
    <row r="902" spans="1:10" x14ac:dyDescent="0.25">
      <c r="A902">
        <v>10</v>
      </c>
      <c r="B902" s="1">
        <v>45947</v>
      </c>
      <c r="C902" t="s">
        <v>10</v>
      </c>
      <c r="D902" t="s">
        <v>275</v>
      </c>
      <c r="E902" t="str">
        <f>IF(ISERROR(VLOOKUP(D902,Nombres!A:D,4,FALSE)),"PROBLEMAAAAAA",VLOOKUP(D902,Nombres!A:D,4,FALSE))</f>
        <v>DEL</v>
      </c>
      <c r="F902" t="str">
        <f>IF(ISERROR(VLOOKUP(D902,Nombres!A:D,3,FALSE)),"PROBLEMAAAAAA",VLOOKUP(D902,Nombres!A:D,3,FALSE))</f>
        <v>Valencia</v>
      </c>
      <c r="G902">
        <v>7</v>
      </c>
      <c r="H902" s="2">
        <f t="shared" si="0"/>
        <v>700000</v>
      </c>
      <c r="I902">
        <f t="shared" si="1"/>
        <v>4</v>
      </c>
      <c r="J902" t="str">
        <f>IF(ISERROR(VLOOKUP(D902,Nombres!A:D,2,FALSE)),"PROBLEMAAAAAA",VLOOKUP(D902,Nombres!A:D,2,FALSE))</f>
        <v>Danjuma</v>
      </c>
    </row>
    <row r="903" spans="1:10" x14ac:dyDescent="0.25">
      <c r="A903">
        <v>10</v>
      </c>
      <c r="B903" s="1">
        <v>45947</v>
      </c>
      <c r="C903" t="s">
        <v>10</v>
      </c>
      <c r="D903" t="s">
        <v>323</v>
      </c>
      <c r="E903" t="str">
        <f>IF(ISERROR(VLOOKUP(D903,Nombres!A:D,4,FALSE)),"PROBLEMAAAAAA",VLOOKUP(D903,Nombres!A:D,4,FALSE))</f>
        <v>DEL</v>
      </c>
      <c r="F903" t="str">
        <f>IF(ISERROR(VLOOKUP(D903,Nombres!A:D,3,FALSE)),"PROBLEMAAAAAA",VLOOKUP(D903,Nombres!A:D,3,FALSE))</f>
        <v>Betis</v>
      </c>
      <c r="G903">
        <v>4</v>
      </c>
      <c r="H903" s="2">
        <f t="shared" si="0"/>
        <v>400000</v>
      </c>
      <c r="I903">
        <f t="shared" si="1"/>
        <v>4</v>
      </c>
      <c r="J903" t="str">
        <f>IF(ISERROR(VLOOKUP(D903,Nombres!A:D,2,FALSE)),"PROBLEMAAAAAA",VLOOKUP(D903,Nombres!A:D,2,FALSE))</f>
        <v>Cucho</v>
      </c>
    </row>
    <row r="904" spans="1:10" x14ac:dyDescent="0.25">
      <c r="A904">
        <v>11</v>
      </c>
      <c r="B904" s="1">
        <v>45968</v>
      </c>
      <c r="C904" t="s">
        <v>10</v>
      </c>
      <c r="D904" t="s">
        <v>438</v>
      </c>
      <c r="E904" t="str">
        <f>IF(ISERROR(VLOOKUP(D904,Nombres!A:D,4,FALSE)),"PROBLEMAAAAAA",VLOOKUP(D904,Nombres!A:D,4,FALSE))</f>
        <v>POR</v>
      </c>
      <c r="F904" t="str">
        <f>IF(ISERROR(VLOOKUP(D904,Nombres!A:D,3,FALSE)),"PROBLEMAAAAAA",VLOOKUP(D904,Nombres!A:D,3,FALSE))</f>
        <v>Celta</v>
      </c>
      <c r="G904">
        <v>5</v>
      </c>
      <c r="H904" s="2">
        <f t="shared" si="0"/>
        <v>500000</v>
      </c>
      <c r="I904">
        <f t="shared" si="1"/>
        <v>1</v>
      </c>
      <c r="J904" t="str">
        <f>IF(ISERROR(VLOOKUP(D904,Nombres!A:D,2,FALSE)),"PROBLEMAAAAAA",VLOOKUP(D904,Nombres!A:D,2,FALSE))</f>
        <v>Radu</v>
      </c>
    </row>
    <row r="905" spans="1:10" x14ac:dyDescent="0.25">
      <c r="A905">
        <v>11</v>
      </c>
      <c r="B905" s="1">
        <v>45968</v>
      </c>
      <c r="C905" t="s">
        <v>10</v>
      </c>
      <c r="D905" t="s">
        <v>315</v>
      </c>
      <c r="E905" t="str">
        <f>IF(ISERROR(VLOOKUP(D905,Nombres!A:D,4,FALSE)),"PROBLEMAAAAAA",VLOOKUP(D905,Nombres!A:D,4,FALSE))</f>
        <v>DEF</v>
      </c>
      <c r="F905" t="str">
        <f>IF(ISERROR(VLOOKUP(D905,Nombres!A:D,3,FALSE)),"PROBLEMAAAAAA",VLOOKUP(D905,Nombres!A:D,3,FALSE))</f>
        <v>Levante</v>
      </c>
      <c r="G905">
        <v>0</v>
      </c>
      <c r="H905" s="2">
        <f t="shared" si="0"/>
        <v>0</v>
      </c>
      <c r="I905">
        <f t="shared" si="1"/>
        <v>2</v>
      </c>
      <c r="J905" t="str">
        <f>IF(ISERROR(VLOOKUP(D905,Nombres!A:D,2,FALSE)),"PROBLEMAAAAAA",VLOOKUP(D905,Nombres!A:D,2,FALSE))</f>
        <v>Toljan</v>
      </c>
    </row>
    <row r="906" spans="1:10" x14ac:dyDescent="0.25">
      <c r="A906">
        <v>11</v>
      </c>
      <c r="B906" s="1">
        <v>45968</v>
      </c>
      <c r="C906" t="s">
        <v>10</v>
      </c>
      <c r="D906" t="s">
        <v>67</v>
      </c>
      <c r="E906" t="str">
        <f>IF(ISERROR(VLOOKUP(D906,Nombres!A:D,4,FALSE)),"PROBLEMAAAAAA",VLOOKUP(D906,Nombres!A:D,4,FALSE))</f>
        <v>DEF</v>
      </c>
      <c r="F906" t="str">
        <f>IF(ISERROR(VLOOKUP(D906,Nombres!A:D,3,FALSE)),"PROBLEMAAAAAA",VLOOKUP(D906,Nombres!A:D,3,FALSE))</f>
        <v>Osasuna</v>
      </c>
      <c r="G906">
        <v>8</v>
      </c>
      <c r="H906" s="2">
        <f t="shared" si="0"/>
        <v>800000</v>
      </c>
      <c r="I906">
        <f t="shared" si="1"/>
        <v>2</v>
      </c>
      <c r="J906" t="str">
        <f>IF(ISERROR(VLOOKUP(D906,Nombres!A:D,2,FALSE)),"PROBLEMAAAAAA",VLOOKUP(D906,Nombres!A:D,2,FALSE))</f>
        <v>Bretones</v>
      </c>
    </row>
    <row r="907" spans="1:10" x14ac:dyDescent="0.25">
      <c r="A907">
        <v>11</v>
      </c>
      <c r="B907" s="1">
        <v>45968</v>
      </c>
      <c r="C907" t="s">
        <v>10</v>
      </c>
      <c r="D907" t="s">
        <v>288</v>
      </c>
      <c r="E907" t="str">
        <f>IF(ISERROR(VLOOKUP(D907,Nombres!A:D,4,FALSE)),"PROBLEMAAAAAA",VLOOKUP(D907,Nombres!A:D,4,FALSE))</f>
        <v>DEF</v>
      </c>
      <c r="F907" t="str">
        <f>IF(ISERROR(VLOOKUP(D907,Nombres!A:D,3,FALSE)),"PROBLEMAAAAAA",VLOOKUP(D907,Nombres!A:D,3,FALSE))</f>
        <v>Alavés</v>
      </c>
      <c r="G907">
        <v>5</v>
      </c>
      <c r="H907" s="2">
        <f t="shared" si="0"/>
        <v>500000</v>
      </c>
      <c r="I907">
        <f t="shared" si="1"/>
        <v>2</v>
      </c>
      <c r="J907" t="str">
        <f>IF(ISERROR(VLOOKUP(D907,Nombres!A:D,2,FALSE)),"PROBLEMAAAAAA",VLOOKUP(D907,Nombres!A:D,2,FALSE))</f>
        <v>Tenaglia</v>
      </c>
    </row>
    <row r="908" spans="1:10" x14ac:dyDescent="0.25">
      <c r="A908">
        <v>11</v>
      </c>
      <c r="B908" s="1">
        <v>45968</v>
      </c>
      <c r="C908" t="s">
        <v>10</v>
      </c>
      <c r="D908" t="s">
        <v>783</v>
      </c>
      <c r="E908" t="str">
        <f>IF(ISERROR(VLOOKUP(D908,Nombres!A:D,4,FALSE)),"PROBLEMAAAAAA",VLOOKUP(D908,Nombres!A:D,4,FALSE))</f>
        <v>DEF</v>
      </c>
      <c r="F908" t="str">
        <f>IF(ISERROR(VLOOKUP(D908,Nombres!A:D,3,FALSE)),"PROBLEMAAAAAA",VLOOKUP(D908,Nombres!A:D,3,FALSE))</f>
        <v>Getafe</v>
      </c>
      <c r="G908">
        <v>4</v>
      </c>
      <c r="H908" s="2">
        <f t="shared" si="0"/>
        <v>400000</v>
      </c>
      <c r="I908">
        <f t="shared" si="1"/>
        <v>2</v>
      </c>
      <c r="J908" t="str">
        <f>IF(ISERROR(VLOOKUP(D908,Nombres!A:D,2,FALSE)),"PROBLEMAAAAAA",VLOOKUP(D908,Nombres!A:D,2,FALSE))</f>
        <v>Djené</v>
      </c>
    </row>
    <row r="909" spans="1:10" x14ac:dyDescent="0.25">
      <c r="A909">
        <v>11</v>
      </c>
      <c r="B909" s="1">
        <v>45968</v>
      </c>
      <c r="C909" t="s">
        <v>10</v>
      </c>
      <c r="D909" t="s">
        <v>325</v>
      </c>
      <c r="E909" t="str">
        <f>IF(ISERROR(VLOOKUP(D909,Nombres!A:D,4,FALSE)),"PROBLEMAAAAAA",VLOOKUP(D909,Nombres!A:D,4,FALSE))</f>
        <v>MED</v>
      </c>
      <c r="F909" t="str">
        <f>IF(ISERROR(VLOOKUP(D909,Nombres!A:D,3,FALSE)),"PROBLEMAAAAAA",VLOOKUP(D909,Nombres!A:D,3,FALSE))</f>
        <v>Elche</v>
      </c>
      <c r="G909">
        <v>2</v>
      </c>
      <c r="H909" s="2">
        <f t="shared" si="0"/>
        <v>200000</v>
      </c>
      <c r="I909">
        <f t="shared" si="1"/>
        <v>3</v>
      </c>
      <c r="J909" t="str">
        <f>IF(ISERROR(VLOOKUP(D909,Nombres!A:D,2,FALSE)),"PROBLEMAAAAAA",VLOOKUP(D909,Nombres!A:D,2,FALSE))</f>
        <v>Valera</v>
      </c>
    </row>
    <row r="910" spans="1:10" x14ac:dyDescent="0.25">
      <c r="A910">
        <v>11</v>
      </c>
      <c r="B910" s="1">
        <v>45968</v>
      </c>
      <c r="C910" t="s">
        <v>10</v>
      </c>
      <c r="D910" t="s">
        <v>52</v>
      </c>
      <c r="E910" t="str">
        <f>IF(ISERROR(VLOOKUP(D910,Nombres!A:D,4,FALSE)),"PROBLEMAAAAAA",VLOOKUP(D910,Nombres!A:D,4,FALSE))</f>
        <v>MED</v>
      </c>
      <c r="F910" t="str">
        <f>IF(ISERROR(VLOOKUP(D910,Nombres!A:D,3,FALSE)),"PROBLEMAAAAAA",VLOOKUP(D910,Nombres!A:D,3,FALSE))</f>
        <v>Sevilla</v>
      </c>
      <c r="G910">
        <v>0</v>
      </c>
      <c r="H910" s="2">
        <f t="shared" si="0"/>
        <v>0</v>
      </c>
      <c r="I910">
        <f t="shared" si="1"/>
        <v>3</v>
      </c>
      <c r="J910" t="str">
        <f>IF(ISERROR(VLOOKUP(D910,Nombres!A:D,2,FALSE)),"PROBLEMAAAAAA",VLOOKUP(D910,Nombres!A:D,2,FALSE))</f>
        <v>Gudelj</v>
      </c>
    </row>
    <row r="911" spans="1:10" x14ac:dyDescent="0.25">
      <c r="A911">
        <v>11</v>
      </c>
      <c r="B911" s="1">
        <v>45968</v>
      </c>
      <c r="C911" t="s">
        <v>10</v>
      </c>
      <c r="D911" t="s">
        <v>230</v>
      </c>
      <c r="E911" t="str">
        <f>IF(ISERROR(VLOOKUP(D911,Nombres!A:D,4,FALSE)),"PROBLEMAAAAAA",VLOOKUP(D911,Nombres!A:D,4,FALSE))</f>
        <v>MED</v>
      </c>
      <c r="F911" t="str">
        <f>IF(ISERROR(VLOOKUP(D911,Nombres!A:D,3,FALSE)),"PROBLEMAAAAAA",VLOOKUP(D911,Nombres!A:D,3,FALSE))</f>
        <v>Athletic</v>
      </c>
      <c r="G911">
        <v>9</v>
      </c>
      <c r="H911" s="2">
        <f t="shared" si="0"/>
        <v>900000</v>
      </c>
      <c r="I911">
        <f t="shared" si="1"/>
        <v>3</v>
      </c>
      <c r="J911" t="str">
        <f>IF(ISERROR(VLOOKUP(D911,Nombres!A:D,2,FALSE)),"PROBLEMAAAAAA",VLOOKUP(D911,Nombres!A:D,2,FALSE))</f>
        <v>Navarro</v>
      </c>
    </row>
    <row r="912" spans="1:10" x14ac:dyDescent="0.25">
      <c r="A912">
        <v>11</v>
      </c>
      <c r="B912" s="1">
        <v>45968</v>
      </c>
      <c r="C912" t="s">
        <v>10</v>
      </c>
      <c r="D912" t="s">
        <v>331</v>
      </c>
      <c r="E912" t="str">
        <f>IF(ISERROR(VLOOKUP(D912,Nombres!A:D,4,FALSE)),"PROBLEMAAAAAA",VLOOKUP(D912,Nombres!A:D,4,FALSE))</f>
        <v>MED</v>
      </c>
      <c r="F912" t="str">
        <f>IF(ISERROR(VLOOKUP(D912,Nombres!A:D,3,FALSE)),"PROBLEMAAAAAA",VLOOKUP(D912,Nombres!A:D,3,FALSE))</f>
        <v>Levante</v>
      </c>
      <c r="G912">
        <v>4</v>
      </c>
      <c r="H912" s="2">
        <f t="shared" si="0"/>
        <v>400000</v>
      </c>
      <c r="I912">
        <f t="shared" si="1"/>
        <v>3</v>
      </c>
      <c r="J912" t="str">
        <f>IF(ISERROR(VLOOKUP(D912,Nombres!A:D,2,FALSE)),"PROBLEMAAAAAA",VLOOKUP(D912,Nombres!A:D,2,FALSE))</f>
        <v>C. Álvarez</v>
      </c>
    </row>
    <row r="913" spans="1:10" x14ac:dyDescent="0.25">
      <c r="A913">
        <v>11</v>
      </c>
      <c r="B913" s="1">
        <v>45968</v>
      </c>
      <c r="C913" t="s">
        <v>10</v>
      </c>
      <c r="D913" t="s">
        <v>267</v>
      </c>
      <c r="E913" t="str">
        <f>IF(ISERROR(VLOOKUP(D913,Nombres!A:D,4,FALSE)),"PROBLEMAAAAAA",VLOOKUP(D913,Nombres!A:D,4,FALSE))</f>
        <v>DEL</v>
      </c>
      <c r="F913" t="str">
        <f>IF(ISERROR(VLOOKUP(D913,Nombres!A:D,3,FALSE)),"PROBLEMAAAAAA",VLOOKUP(D913,Nombres!A:D,3,FALSE))</f>
        <v>Barcelona</v>
      </c>
      <c r="G913">
        <v>9</v>
      </c>
      <c r="H913" s="2">
        <f t="shared" si="0"/>
        <v>900000</v>
      </c>
      <c r="I913">
        <f t="shared" si="1"/>
        <v>4</v>
      </c>
      <c r="J913" t="str">
        <f>IF(ISERROR(VLOOKUP(D913,Nombres!A:D,2,FALSE)),"PROBLEMAAAAAA",VLOOKUP(D913,Nombres!A:D,2,FALSE))</f>
        <v>Yamal</v>
      </c>
    </row>
    <row r="914" spans="1:10" x14ac:dyDescent="0.25">
      <c r="A914">
        <v>11</v>
      </c>
      <c r="B914" s="1">
        <v>45968</v>
      </c>
      <c r="C914" t="s">
        <v>10</v>
      </c>
      <c r="D914" t="s">
        <v>323</v>
      </c>
      <c r="E914" t="str">
        <f>IF(ISERROR(VLOOKUP(D914,Nombres!A:D,4,FALSE)),"PROBLEMAAAAAA",VLOOKUP(D914,Nombres!A:D,4,FALSE))</f>
        <v>DEL</v>
      </c>
      <c r="F914" t="str">
        <f>IF(ISERROR(VLOOKUP(D914,Nombres!A:D,3,FALSE)),"PROBLEMAAAAAA",VLOOKUP(D914,Nombres!A:D,3,FALSE))</f>
        <v>Betis</v>
      </c>
      <c r="G914">
        <v>12</v>
      </c>
      <c r="H914" s="2">
        <f t="shared" si="0"/>
        <v>1200000</v>
      </c>
      <c r="I914">
        <f t="shared" si="1"/>
        <v>4</v>
      </c>
      <c r="J914" t="str">
        <f>IF(ISERROR(VLOOKUP(D914,Nombres!A:D,2,FALSE)),"PROBLEMAAAAAA",VLOOKUP(D914,Nombres!A:D,2,FALSE))</f>
        <v>Cucho</v>
      </c>
    </row>
    <row r="915" spans="1:10" x14ac:dyDescent="0.25">
      <c r="A915">
        <v>12</v>
      </c>
      <c r="B915" s="1">
        <v>45968</v>
      </c>
      <c r="C915" t="s">
        <v>10</v>
      </c>
      <c r="D915" t="s">
        <v>438</v>
      </c>
      <c r="E915" t="str">
        <f>IF(ISERROR(VLOOKUP(D915,Nombres!A:D,4,FALSE)),"PROBLEMAAAAAA",VLOOKUP(D915,Nombres!A:D,4,FALSE))</f>
        <v>POR</v>
      </c>
      <c r="F915" t="str">
        <f>IF(ISERROR(VLOOKUP(D915,Nombres!A:D,3,FALSE)),"PROBLEMAAAAAA",VLOOKUP(D915,Nombres!A:D,3,FALSE))</f>
        <v>Celta</v>
      </c>
      <c r="G915">
        <v>2</v>
      </c>
      <c r="H915" s="2">
        <f t="shared" si="0"/>
        <v>200000</v>
      </c>
      <c r="I915">
        <f t="shared" si="1"/>
        <v>1</v>
      </c>
      <c r="J915" t="str">
        <f>IF(ISERROR(VLOOKUP(D915,Nombres!A:D,2,FALSE)),"PROBLEMAAAAAA",VLOOKUP(D915,Nombres!A:D,2,FALSE))</f>
        <v>Radu</v>
      </c>
    </row>
    <row r="916" spans="1:10" x14ac:dyDescent="0.25">
      <c r="A916">
        <v>12</v>
      </c>
      <c r="B916" s="1">
        <v>45968</v>
      </c>
      <c r="C916" t="s">
        <v>10</v>
      </c>
      <c r="D916" t="s">
        <v>670</v>
      </c>
      <c r="E916" t="str">
        <f>IF(ISERROR(VLOOKUP(D916,Nombres!A:D,4,FALSE)),"PROBLEMAAAAAA",VLOOKUP(D916,Nombres!A:D,4,FALSE))</f>
        <v>DEF</v>
      </c>
      <c r="F916" t="str">
        <f>IF(ISERROR(VLOOKUP(D916,Nombres!A:D,3,FALSE)),"PROBLEMAAAAAA",VLOOKUP(D916,Nombres!A:D,3,FALSE))</f>
        <v>Alavés</v>
      </c>
      <c r="G916">
        <v>0</v>
      </c>
      <c r="H916" s="2">
        <f t="shared" si="0"/>
        <v>0</v>
      </c>
      <c r="I916">
        <f t="shared" si="1"/>
        <v>2</v>
      </c>
      <c r="J916" t="str">
        <f>IF(ISERROR(VLOOKUP(D916,Nombres!A:D,2,FALSE)),"PROBLEMAAAAAA",VLOOKUP(D916,Nombres!A:D,2,FALSE))</f>
        <v>Pacheco</v>
      </c>
    </row>
    <row r="917" spans="1:10" x14ac:dyDescent="0.25">
      <c r="A917">
        <v>12</v>
      </c>
      <c r="B917" s="1">
        <v>45968</v>
      </c>
      <c r="C917" t="s">
        <v>10</v>
      </c>
      <c r="D917" t="s">
        <v>67</v>
      </c>
      <c r="E917" t="str">
        <f>IF(ISERROR(VLOOKUP(D917,Nombres!A:D,4,FALSE)),"PROBLEMAAAAAA",VLOOKUP(D917,Nombres!A:D,4,FALSE))</f>
        <v>DEF</v>
      </c>
      <c r="F917" t="str">
        <f>IF(ISERROR(VLOOKUP(D917,Nombres!A:D,3,FALSE)),"PROBLEMAAAAAA",VLOOKUP(D917,Nombres!A:D,3,FALSE))</f>
        <v>Osasuna</v>
      </c>
      <c r="G917">
        <v>5</v>
      </c>
      <c r="H917" s="2">
        <f t="shared" si="0"/>
        <v>500000</v>
      </c>
      <c r="I917">
        <f t="shared" si="1"/>
        <v>2</v>
      </c>
      <c r="J917" t="str">
        <f>IF(ISERROR(VLOOKUP(D917,Nombres!A:D,2,FALSE)),"PROBLEMAAAAAA",VLOOKUP(D917,Nombres!A:D,2,FALSE))</f>
        <v>Bretones</v>
      </c>
    </row>
    <row r="918" spans="1:10" x14ac:dyDescent="0.25">
      <c r="A918">
        <v>12</v>
      </c>
      <c r="B918" s="1">
        <v>45968</v>
      </c>
      <c r="C918" t="s">
        <v>10</v>
      </c>
      <c r="D918" t="s">
        <v>288</v>
      </c>
      <c r="E918" t="str">
        <f>IF(ISERROR(VLOOKUP(D918,Nombres!A:D,4,FALSE)),"PROBLEMAAAAAA",VLOOKUP(D918,Nombres!A:D,4,FALSE))</f>
        <v>DEF</v>
      </c>
      <c r="F918" t="str">
        <f>IF(ISERROR(VLOOKUP(D918,Nombres!A:D,3,FALSE)),"PROBLEMAAAAAA",VLOOKUP(D918,Nombres!A:D,3,FALSE))</f>
        <v>Alavés</v>
      </c>
      <c r="G918">
        <v>6</v>
      </c>
      <c r="H918" s="2">
        <f t="shared" si="0"/>
        <v>600000</v>
      </c>
      <c r="I918">
        <f t="shared" si="1"/>
        <v>2</v>
      </c>
      <c r="J918" t="str">
        <f>IF(ISERROR(VLOOKUP(D918,Nombres!A:D,2,FALSE)),"PROBLEMAAAAAA",VLOOKUP(D918,Nombres!A:D,2,FALSE))</f>
        <v>Tenaglia</v>
      </c>
    </row>
    <row r="919" spans="1:10" x14ac:dyDescent="0.25">
      <c r="A919">
        <v>12</v>
      </c>
      <c r="B919" s="1">
        <v>45968</v>
      </c>
      <c r="C919" t="s">
        <v>10</v>
      </c>
      <c r="D919" t="s">
        <v>783</v>
      </c>
      <c r="E919" t="str">
        <f>IF(ISERROR(VLOOKUP(D919,Nombres!A:D,4,FALSE)),"PROBLEMAAAAAA",VLOOKUP(D919,Nombres!A:D,4,FALSE))</f>
        <v>DEF</v>
      </c>
      <c r="F919" t="str">
        <f>IF(ISERROR(VLOOKUP(D919,Nombres!A:D,3,FALSE)),"PROBLEMAAAAAA",VLOOKUP(D919,Nombres!A:D,3,FALSE))</f>
        <v>Getafe</v>
      </c>
      <c r="G919">
        <v>2</v>
      </c>
      <c r="H919" s="2">
        <f t="shared" si="0"/>
        <v>200000</v>
      </c>
      <c r="I919">
        <f t="shared" si="1"/>
        <v>2</v>
      </c>
      <c r="J919" t="str">
        <f>IF(ISERROR(VLOOKUP(D919,Nombres!A:D,2,FALSE)),"PROBLEMAAAAAA",VLOOKUP(D919,Nombres!A:D,2,FALSE))</f>
        <v>Djené</v>
      </c>
    </row>
    <row r="920" spans="1:10" x14ac:dyDescent="0.25">
      <c r="A920">
        <v>12</v>
      </c>
      <c r="B920" s="1">
        <v>45968</v>
      </c>
      <c r="C920" t="s">
        <v>10</v>
      </c>
      <c r="D920" t="s">
        <v>331</v>
      </c>
      <c r="E920" t="str">
        <f>IF(ISERROR(VLOOKUP(D920,Nombres!A:D,4,FALSE)),"PROBLEMAAAAAA",VLOOKUP(D920,Nombres!A:D,4,FALSE))</f>
        <v>MED</v>
      </c>
      <c r="F920" t="str">
        <f>IF(ISERROR(VLOOKUP(D920,Nombres!A:D,3,FALSE)),"PROBLEMAAAAAA",VLOOKUP(D920,Nombres!A:D,3,FALSE))</f>
        <v>Levante</v>
      </c>
      <c r="G920">
        <v>5</v>
      </c>
      <c r="H920" s="2">
        <f t="shared" si="0"/>
        <v>500000</v>
      </c>
      <c r="I920">
        <f t="shared" si="1"/>
        <v>3</v>
      </c>
      <c r="J920" t="str">
        <f>IF(ISERROR(VLOOKUP(D920,Nombres!A:D,2,FALSE)),"PROBLEMAAAAAA",VLOOKUP(D920,Nombres!A:D,2,FALSE))</f>
        <v>C. Álvarez</v>
      </c>
    </row>
    <row r="921" spans="1:10" x14ac:dyDescent="0.25">
      <c r="A921">
        <v>12</v>
      </c>
      <c r="B921" s="1">
        <v>45968</v>
      </c>
      <c r="C921" t="s">
        <v>10</v>
      </c>
      <c r="D921" t="s">
        <v>286</v>
      </c>
      <c r="E921" t="str">
        <f>IF(ISERROR(VLOOKUP(D921,Nombres!A:D,4,FALSE)),"PROBLEMAAAAAA",VLOOKUP(D921,Nombres!A:D,4,FALSE))</f>
        <v>MED</v>
      </c>
      <c r="F921" t="str">
        <f>IF(ISERROR(VLOOKUP(D921,Nombres!A:D,3,FALSE)),"PROBLEMAAAAAA",VLOOKUP(D921,Nombres!A:D,3,FALSE))</f>
        <v>Osasuna</v>
      </c>
      <c r="G921">
        <v>4</v>
      </c>
      <c r="H921" s="2">
        <f t="shared" si="0"/>
        <v>400000</v>
      </c>
      <c r="I921">
        <f t="shared" si="1"/>
        <v>3</v>
      </c>
      <c r="J921" t="str">
        <f>IF(ISERROR(VLOOKUP(D921,Nombres!A:D,2,FALSE)),"PROBLEMAAAAAA",VLOOKUP(D921,Nombres!A:D,2,FALSE))</f>
        <v>Oroz</v>
      </c>
    </row>
    <row r="922" spans="1:10" x14ac:dyDescent="0.25">
      <c r="A922">
        <v>12</v>
      </c>
      <c r="B922" s="1">
        <v>45968</v>
      </c>
      <c r="C922" t="s">
        <v>10</v>
      </c>
      <c r="D922" t="s">
        <v>110</v>
      </c>
      <c r="E922" t="str">
        <f>IF(ISERROR(VLOOKUP(D922,Nombres!A:D,4,FALSE)),"PROBLEMAAAAAA",VLOOKUP(D922,Nombres!A:D,4,FALSE))</f>
        <v>MED</v>
      </c>
      <c r="F922" t="str">
        <f>IF(ISERROR(VLOOKUP(D922,Nombres!A:D,3,FALSE)),"PROBLEMAAAAAA",VLOOKUP(D922,Nombres!A:D,3,FALSE))</f>
        <v>Atlético</v>
      </c>
      <c r="G922">
        <v>4</v>
      </c>
      <c r="H922" s="2">
        <f t="shared" si="0"/>
        <v>400000</v>
      </c>
      <c r="I922">
        <f t="shared" si="1"/>
        <v>3</v>
      </c>
      <c r="J922" t="str">
        <f>IF(ISERROR(VLOOKUP(D922,Nombres!A:D,2,FALSE)),"PROBLEMAAAAAA",VLOOKUP(D922,Nombres!A:D,2,FALSE))</f>
        <v>Almada</v>
      </c>
    </row>
    <row r="923" spans="1:10" x14ac:dyDescent="0.25">
      <c r="A923">
        <v>12</v>
      </c>
      <c r="B923" s="1">
        <v>45968</v>
      </c>
      <c r="C923" t="s">
        <v>10</v>
      </c>
      <c r="D923" t="s">
        <v>102</v>
      </c>
      <c r="E923" t="str">
        <f>IF(ISERROR(VLOOKUP(D923,Nombres!A:D,4,FALSE)),"PROBLEMAAAAAA",VLOOKUP(D923,Nombres!A:D,4,FALSE))</f>
        <v>MED</v>
      </c>
      <c r="F923" t="str">
        <f>IF(ISERROR(VLOOKUP(D923,Nombres!A:D,3,FALSE)),"PROBLEMAAAAAA",VLOOKUP(D923,Nombres!A:D,3,FALSE))</f>
        <v>Osasuna</v>
      </c>
      <c r="G923">
        <v>2</v>
      </c>
      <c r="H923" s="2">
        <f t="shared" si="0"/>
        <v>200000</v>
      </c>
      <c r="I923">
        <f t="shared" si="1"/>
        <v>3</v>
      </c>
      <c r="J923" t="str">
        <f>IF(ISERROR(VLOOKUP(D923,Nombres!A:D,2,FALSE)),"PROBLEMAAAAAA",VLOOKUP(D923,Nombres!A:D,2,FALSE))</f>
        <v>Moi Gómez</v>
      </c>
    </row>
    <row r="924" spans="1:10" x14ac:dyDescent="0.25">
      <c r="A924">
        <v>12</v>
      </c>
      <c r="B924" s="1">
        <v>45968</v>
      </c>
      <c r="C924" t="s">
        <v>10</v>
      </c>
      <c r="D924" t="s">
        <v>778</v>
      </c>
      <c r="E924" t="str">
        <f>IF(ISERROR(VLOOKUP(D924,Nombres!A:D,4,FALSE)),"PROBLEMAAAAAA",VLOOKUP(D924,Nombres!A:D,4,FALSE))</f>
        <v>MED</v>
      </c>
      <c r="F924" t="str">
        <f>IF(ISERROR(VLOOKUP(D924,Nombres!A:D,3,FALSE)),"PROBLEMAAAAAA",VLOOKUP(D924,Nombres!A:D,3,FALSE))</f>
        <v>Atlético</v>
      </c>
      <c r="G924">
        <v>2</v>
      </c>
      <c r="H924" s="2">
        <f t="shared" si="0"/>
        <v>200000</v>
      </c>
      <c r="I924">
        <f t="shared" si="1"/>
        <v>3</v>
      </c>
      <c r="J924" t="str">
        <f>IF(ISERROR(VLOOKUP(D924,Nombres!A:D,2,FALSE)),"PROBLEMAAAAAA",VLOOKUP(D924,Nombres!A:D,2,FALSE))</f>
        <v>González</v>
      </c>
    </row>
    <row r="925" spans="1:10" x14ac:dyDescent="0.25">
      <c r="A925">
        <v>12</v>
      </c>
      <c r="B925" s="1">
        <v>45968</v>
      </c>
      <c r="C925" t="s">
        <v>10</v>
      </c>
      <c r="D925" t="s">
        <v>267</v>
      </c>
      <c r="E925" t="str">
        <f>IF(ISERROR(VLOOKUP(D925,Nombres!A:D,4,FALSE)),"PROBLEMAAAAAA",VLOOKUP(D925,Nombres!A:D,4,FALSE))</f>
        <v>DEL</v>
      </c>
      <c r="F925" t="str">
        <f>IF(ISERROR(VLOOKUP(D925,Nombres!A:D,3,FALSE)),"PROBLEMAAAAAA",VLOOKUP(D925,Nombres!A:D,3,FALSE))</f>
        <v>Barcelona</v>
      </c>
      <c r="G925">
        <v>9</v>
      </c>
      <c r="H925" s="2">
        <f t="shared" si="0"/>
        <v>900000</v>
      </c>
      <c r="I925">
        <f t="shared" si="1"/>
        <v>4</v>
      </c>
      <c r="J925" t="str">
        <f>IF(ISERROR(VLOOKUP(D925,Nombres!A:D,2,FALSE)),"PROBLEMAAAAAA",VLOOKUP(D925,Nombres!A:D,2,FALSE))</f>
        <v>Yamal</v>
      </c>
    </row>
    <row r="926" spans="1:10" x14ac:dyDescent="0.25">
      <c r="A926">
        <v>9</v>
      </c>
      <c r="B926" s="1">
        <v>45947</v>
      </c>
      <c r="C926" t="s">
        <v>14</v>
      </c>
      <c r="D926" t="s">
        <v>229</v>
      </c>
      <c r="E926" t="str">
        <f>IF(ISERROR(VLOOKUP(D926,Nombres!A:D,4,FALSE)),"PROBLEMAAAAAA",VLOOKUP(D926,Nombres!A:D,4,FALSE))</f>
        <v>POR</v>
      </c>
      <c r="F926" t="str">
        <f>IF(ISERROR(VLOOKUP(D926,Nombres!A:D,3,FALSE)),"PROBLEMAAAAAA",VLOOKUP(D926,Nombres!A:D,3,FALSE))</f>
        <v>Athletic</v>
      </c>
      <c r="G926">
        <v>12</v>
      </c>
      <c r="H926" s="2">
        <f t="shared" si="0"/>
        <v>1200000</v>
      </c>
      <c r="I926">
        <f t="shared" si="1"/>
        <v>1</v>
      </c>
      <c r="J926" t="str">
        <f>IF(ISERROR(VLOOKUP(D926,Nombres!A:D,2,FALSE)),"PROBLEMAAAAAA",VLOOKUP(D926,Nombres!A:D,2,FALSE))</f>
        <v>Unai Simón</v>
      </c>
    </row>
    <row r="927" spans="1:10" x14ac:dyDescent="0.25">
      <c r="A927">
        <v>9</v>
      </c>
      <c r="B927" s="1">
        <v>45947</v>
      </c>
      <c r="C927" t="s">
        <v>14</v>
      </c>
      <c r="D927" t="s">
        <v>182</v>
      </c>
      <c r="E927" t="str">
        <f>IF(ISERROR(VLOOKUP(D927,Nombres!A:D,4,FALSE)),"PROBLEMAAAAAA",VLOOKUP(D927,Nombres!A:D,4,FALSE))</f>
        <v>DEF</v>
      </c>
      <c r="F927" t="str">
        <f>IF(ISERROR(VLOOKUP(D927,Nombres!A:D,3,FALSE)),"PROBLEMAAAAAA",VLOOKUP(D927,Nombres!A:D,3,FALSE))</f>
        <v>Villarreal</v>
      </c>
      <c r="G927">
        <v>1</v>
      </c>
      <c r="H927" s="2">
        <f t="shared" si="0"/>
        <v>100000</v>
      </c>
      <c r="I927">
        <f t="shared" si="1"/>
        <v>2</v>
      </c>
      <c r="J927" t="str">
        <f>IF(ISERROR(VLOOKUP(D927,Nombres!A:D,2,FALSE)),"PROBLEMAAAAAA",VLOOKUP(D927,Nombres!A:D,2,FALSE))</f>
        <v>S. Cardona</v>
      </c>
    </row>
    <row r="928" spans="1:10" x14ac:dyDescent="0.25">
      <c r="A928">
        <v>9</v>
      </c>
      <c r="B928" s="1">
        <v>45947</v>
      </c>
      <c r="C928" t="s">
        <v>14</v>
      </c>
      <c r="D928" t="s">
        <v>362</v>
      </c>
      <c r="E928" t="str">
        <f>IF(ISERROR(VLOOKUP(D928,Nombres!A:D,4,FALSE)),"PROBLEMAAAAAA",VLOOKUP(D928,Nombres!A:D,4,FALSE))</f>
        <v>DEF</v>
      </c>
      <c r="F928" t="str">
        <f>IF(ISERROR(VLOOKUP(D928,Nombres!A:D,3,FALSE)),"PROBLEMAAAAAA",VLOOKUP(D928,Nombres!A:D,3,FALSE))</f>
        <v>Elche</v>
      </c>
      <c r="G928">
        <v>8</v>
      </c>
      <c r="H928" s="2">
        <f t="shared" si="0"/>
        <v>800000</v>
      </c>
      <c r="I928">
        <f t="shared" si="1"/>
        <v>2</v>
      </c>
      <c r="J928" t="str">
        <f>IF(ISERROR(VLOOKUP(D928,Nombres!A:D,2,FALSE)),"PROBLEMAAAAAA",VLOOKUP(D928,Nombres!A:D,2,FALSE))</f>
        <v>Bigas</v>
      </c>
    </row>
    <row r="929" spans="1:10" x14ac:dyDescent="0.25">
      <c r="A929">
        <v>9</v>
      </c>
      <c r="B929" s="1">
        <v>45947</v>
      </c>
      <c r="C929" t="s">
        <v>14</v>
      </c>
      <c r="D929" t="s">
        <v>770</v>
      </c>
      <c r="E929" t="str">
        <f>IF(ISERROR(VLOOKUP(D929,Nombres!A:D,4,FALSE)),"PROBLEMAAAAAA",VLOOKUP(D929,Nombres!A:D,4,FALSE))</f>
        <v>DEF</v>
      </c>
      <c r="F929" t="str">
        <f>IF(ISERROR(VLOOKUP(D929,Nombres!A:D,3,FALSE)),"PROBLEMAAAAAA",VLOOKUP(D929,Nombres!A:D,3,FALSE))</f>
        <v>Betis</v>
      </c>
      <c r="G929">
        <v>0</v>
      </c>
      <c r="H929" s="2">
        <f t="shared" si="0"/>
        <v>0</v>
      </c>
      <c r="I929">
        <f t="shared" si="1"/>
        <v>2</v>
      </c>
      <c r="J929" t="str">
        <f>IF(ISERROR(VLOOKUP(D929,Nombres!A:D,2,FALSE)),"PROBLEMAAAAAA",VLOOKUP(D929,Nombres!A:D,2,FALSE))</f>
        <v>Rodríguez</v>
      </c>
    </row>
    <row r="930" spans="1:10" x14ac:dyDescent="0.25">
      <c r="A930">
        <v>9</v>
      </c>
      <c r="B930" s="1">
        <v>45947</v>
      </c>
      <c r="C930" t="s">
        <v>14</v>
      </c>
      <c r="D930" t="s">
        <v>127</v>
      </c>
      <c r="E930" t="str">
        <f>IF(ISERROR(VLOOKUP(D930,Nombres!A:D,4,FALSE)),"PROBLEMAAAAAA",VLOOKUP(D930,Nombres!A:D,4,FALSE))</f>
        <v>DEF</v>
      </c>
      <c r="F930" t="str">
        <f>IF(ISERROR(VLOOKUP(D930,Nombres!A:D,3,FALSE)),"PROBLEMAAAAAA",VLOOKUP(D930,Nombres!A:D,3,FALSE))</f>
        <v>Rayo</v>
      </c>
      <c r="G930">
        <v>10</v>
      </c>
      <c r="H930" s="2">
        <f t="shared" si="0"/>
        <v>1000000</v>
      </c>
      <c r="I930">
        <f t="shared" si="1"/>
        <v>2</v>
      </c>
      <c r="J930" t="str">
        <f>IF(ISERROR(VLOOKUP(D930,Nombres!A:D,2,FALSE)),"PROBLEMAAAAAA",VLOOKUP(D930,Nombres!A:D,2,FALSE))</f>
        <v>Lejeune</v>
      </c>
    </row>
    <row r="931" spans="1:10" x14ac:dyDescent="0.25">
      <c r="A931">
        <v>9</v>
      </c>
      <c r="B931" s="1">
        <v>45947</v>
      </c>
      <c r="C931" t="s">
        <v>14</v>
      </c>
      <c r="D931" t="s">
        <v>73</v>
      </c>
      <c r="E931" t="str">
        <f>IF(ISERROR(VLOOKUP(D931,Nombres!A:D,4,FALSE)),"PROBLEMAAAAAA",VLOOKUP(D931,Nombres!A:D,4,FALSE))</f>
        <v>MED</v>
      </c>
      <c r="F931" t="str">
        <f>IF(ISERROR(VLOOKUP(D931,Nombres!A:D,3,FALSE)),"PROBLEMAAAAAA",VLOOKUP(D931,Nombres!A:D,3,FALSE))</f>
        <v>Getafe</v>
      </c>
      <c r="G931">
        <v>2</v>
      </c>
      <c r="H931" s="2">
        <f t="shared" si="0"/>
        <v>200000</v>
      </c>
      <c r="I931">
        <f t="shared" si="1"/>
        <v>3</v>
      </c>
      <c r="J931" t="str">
        <f>IF(ISERROR(VLOOKUP(D931,Nombres!A:D,2,FALSE)),"PROBLEMAAAAAA",VLOOKUP(D931,Nombres!A:D,2,FALSE))</f>
        <v>Arambarri</v>
      </c>
    </row>
    <row r="932" spans="1:10" x14ac:dyDescent="0.25">
      <c r="A932">
        <v>9</v>
      </c>
      <c r="B932" s="1">
        <v>45947</v>
      </c>
      <c r="C932" t="s">
        <v>14</v>
      </c>
      <c r="D932" t="s">
        <v>68</v>
      </c>
      <c r="E932" t="str">
        <f>IF(ISERROR(VLOOKUP(D932,Nombres!A:D,4,FALSE)),"PROBLEMAAAAAA",VLOOKUP(D932,Nombres!A:D,4,FALSE))</f>
        <v>MED</v>
      </c>
      <c r="F932" t="str">
        <f>IF(ISERROR(VLOOKUP(D932,Nombres!A:D,3,FALSE)),"PROBLEMAAAAAA",VLOOKUP(D932,Nombres!A:D,3,FALSE))</f>
        <v>Sevilla</v>
      </c>
      <c r="G932">
        <v>1</v>
      </c>
      <c r="H932" s="2">
        <f t="shared" si="0"/>
        <v>100000</v>
      </c>
      <c r="I932">
        <f t="shared" si="1"/>
        <v>3</v>
      </c>
      <c r="J932" t="str">
        <f>IF(ISERROR(VLOOKUP(D932,Nombres!A:D,2,FALSE)),"PROBLEMAAAAAA",VLOOKUP(D932,Nombres!A:D,2,FALSE))</f>
        <v>Agoume</v>
      </c>
    </row>
    <row r="933" spans="1:10" x14ac:dyDescent="0.25">
      <c r="A933">
        <v>9</v>
      </c>
      <c r="B933" s="1">
        <v>45947</v>
      </c>
      <c r="C933" t="s">
        <v>14</v>
      </c>
      <c r="D933" t="s">
        <v>184</v>
      </c>
      <c r="E933" t="str">
        <f>IF(ISERROR(VLOOKUP(D933,Nombres!A:D,4,FALSE)),"PROBLEMAAAAAA",VLOOKUP(D933,Nombres!A:D,4,FALSE))</f>
        <v>MED</v>
      </c>
      <c r="F933" t="str">
        <f>IF(ISERROR(VLOOKUP(D933,Nombres!A:D,3,FALSE)),"PROBLEMAAAAAA",VLOOKUP(D933,Nombres!A:D,3,FALSE))</f>
        <v>Barcelona</v>
      </c>
      <c r="G933">
        <v>5</v>
      </c>
      <c r="H933" s="2">
        <f t="shared" si="0"/>
        <v>500000</v>
      </c>
      <c r="I933">
        <f t="shared" si="1"/>
        <v>3</v>
      </c>
      <c r="J933" t="str">
        <f>IF(ISERROR(VLOOKUP(D933,Nombres!A:D,2,FALSE)),"PROBLEMAAAAAA",VLOOKUP(D933,Nombres!A:D,2,FALSE))</f>
        <v>Fermín</v>
      </c>
    </row>
    <row r="934" spans="1:10" x14ac:dyDescent="0.25">
      <c r="A934">
        <v>9</v>
      </c>
      <c r="B934" s="1">
        <v>45947</v>
      </c>
      <c r="C934" t="s">
        <v>14</v>
      </c>
      <c r="D934" t="s">
        <v>778</v>
      </c>
      <c r="E934" t="str">
        <f>IF(ISERROR(VLOOKUP(D934,Nombres!A:D,4,FALSE)),"PROBLEMAAAAAA",VLOOKUP(D934,Nombres!A:D,4,FALSE))</f>
        <v>MED</v>
      </c>
      <c r="F934" t="str">
        <f>IF(ISERROR(VLOOKUP(D934,Nombres!A:D,3,FALSE)),"PROBLEMAAAAAA",VLOOKUP(D934,Nombres!A:D,3,FALSE))</f>
        <v>Atlético</v>
      </c>
      <c r="G934">
        <v>1</v>
      </c>
      <c r="H934" s="2">
        <f t="shared" si="0"/>
        <v>100000</v>
      </c>
      <c r="I934">
        <f t="shared" si="1"/>
        <v>3</v>
      </c>
      <c r="J934" t="str">
        <f>IF(ISERROR(VLOOKUP(D934,Nombres!A:D,2,FALSE)),"PROBLEMAAAAAA",VLOOKUP(D934,Nombres!A:D,2,FALSE))</f>
        <v>González</v>
      </c>
    </row>
    <row r="935" spans="1:10" x14ac:dyDescent="0.25">
      <c r="A935">
        <v>9</v>
      </c>
      <c r="B935" s="1">
        <v>45947</v>
      </c>
      <c r="C935" t="s">
        <v>14</v>
      </c>
      <c r="D935" t="s">
        <v>159</v>
      </c>
      <c r="E935" t="str">
        <f>IF(ISERROR(VLOOKUP(D935,Nombres!A:D,4,FALSE)),"PROBLEMAAAAAA",VLOOKUP(D935,Nombres!A:D,4,FALSE))</f>
        <v>DEL</v>
      </c>
      <c r="F935" t="str">
        <f>IF(ISERROR(VLOOKUP(D935,Nombres!A:D,3,FALSE)),"PROBLEMAAAAAA",VLOOKUP(D935,Nombres!A:D,3,FALSE))</f>
        <v>Valencia</v>
      </c>
      <c r="G935">
        <v>2</v>
      </c>
      <c r="H935" s="2">
        <f t="shared" si="0"/>
        <v>200000</v>
      </c>
      <c r="I935">
        <f t="shared" si="1"/>
        <v>4</v>
      </c>
      <c r="J935" t="str">
        <f>IF(ISERROR(VLOOKUP(D935,Nombres!A:D,2,FALSE)),"PROBLEMAAAAAA",VLOOKUP(D935,Nombres!A:D,2,FALSE))</f>
        <v>Diego López</v>
      </c>
    </row>
    <row r="936" spans="1:10" x14ac:dyDescent="0.25">
      <c r="A936">
        <v>9</v>
      </c>
      <c r="B936" s="1">
        <v>45947</v>
      </c>
      <c r="C936" t="s">
        <v>14</v>
      </c>
      <c r="D936" t="s">
        <v>766</v>
      </c>
      <c r="E936" t="str">
        <f>IF(ISERROR(VLOOKUP(D936,Nombres!A:D,4,FALSE)),"PROBLEMAAAAAA",VLOOKUP(D936,Nombres!A:D,4,FALSE))</f>
        <v>DEL</v>
      </c>
      <c r="F936" t="str">
        <f>IF(ISERROR(VLOOKUP(D936,Nombres!A:D,3,FALSE)),"PROBLEMAAAAAA",VLOOKUP(D936,Nombres!A:D,3,FALSE))</f>
        <v>Celta</v>
      </c>
      <c r="G936">
        <v>1</v>
      </c>
      <c r="H936" s="2">
        <f t="shared" si="0"/>
        <v>100000</v>
      </c>
      <c r="I936">
        <f t="shared" si="1"/>
        <v>4</v>
      </c>
      <c r="J936" t="str">
        <f>IF(ISERROR(VLOOKUP(D936,Nombres!A:D,2,FALSE)),"PROBLEMAAAAAA",VLOOKUP(D936,Nombres!A:D,2,FALSE))</f>
        <v>Iglesias</v>
      </c>
    </row>
    <row r="937" spans="1:10" x14ac:dyDescent="0.25">
      <c r="A937">
        <v>10</v>
      </c>
      <c r="B937" s="1">
        <v>45947</v>
      </c>
      <c r="C937" t="s">
        <v>14</v>
      </c>
      <c r="D937" t="s">
        <v>229</v>
      </c>
      <c r="E937" t="str">
        <f>IF(ISERROR(VLOOKUP(D937,Nombres!A:D,4,FALSE)),"PROBLEMAAAAAA",VLOOKUP(D937,Nombres!A:D,4,FALSE))</f>
        <v>POR</v>
      </c>
      <c r="F937" t="str">
        <f>IF(ISERROR(VLOOKUP(D937,Nombres!A:D,3,FALSE)),"PROBLEMAAAAAA",VLOOKUP(D937,Nombres!A:D,3,FALSE))</f>
        <v>Athletic</v>
      </c>
      <c r="G937">
        <v>10</v>
      </c>
      <c r="H937" s="2">
        <f t="shared" si="0"/>
        <v>1000000</v>
      </c>
      <c r="I937">
        <f t="shared" si="1"/>
        <v>1</v>
      </c>
      <c r="J937" t="str">
        <f>IF(ISERROR(VLOOKUP(D937,Nombres!A:D,2,FALSE)),"PROBLEMAAAAAA",VLOOKUP(D937,Nombres!A:D,2,FALSE))</f>
        <v>Unai Simón</v>
      </c>
    </row>
    <row r="938" spans="1:10" x14ac:dyDescent="0.25">
      <c r="A938">
        <v>10</v>
      </c>
      <c r="B938" s="1">
        <v>45947</v>
      </c>
      <c r="C938" t="s">
        <v>14</v>
      </c>
      <c r="D938" t="s">
        <v>182</v>
      </c>
      <c r="E938" t="str">
        <f>IF(ISERROR(VLOOKUP(D938,Nombres!A:D,4,FALSE)),"PROBLEMAAAAAA",VLOOKUP(D938,Nombres!A:D,4,FALSE))</f>
        <v>DEF</v>
      </c>
      <c r="F938" t="str">
        <f>IF(ISERROR(VLOOKUP(D938,Nombres!A:D,3,FALSE)),"PROBLEMAAAAAA",VLOOKUP(D938,Nombres!A:D,3,FALSE))</f>
        <v>Villarreal</v>
      </c>
      <c r="G938">
        <v>9</v>
      </c>
      <c r="H938" s="2">
        <f t="shared" si="0"/>
        <v>900000</v>
      </c>
      <c r="I938">
        <f t="shared" si="1"/>
        <v>2</v>
      </c>
      <c r="J938" t="str">
        <f>IF(ISERROR(VLOOKUP(D938,Nombres!A:D,2,FALSE)),"PROBLEMAAAAAA",VLOOKUP(D938,Nombres!A:D,2,FALSE))</f>
        <v>S. Cardona</v>
      </c>
    </row>
    <row r="939" spans="1:10" x14ac:dyDescent="0.25">
      <c r="A939">
        <v>10</v>
      </c>
      <c r="B939" s="1">
        <v>45947</v>
      </c>
      <c r="C939" t="s">
        <v>14</v>
      </c>
      <c r="D939" t="s">
        <v>362</v>
      </c>
      <c r="E939" t="str">
        <f>IF(ISERROR(VLOOKUP(D939,Nombres!A:D,4,FALSE)),"PROBLEMAAAAAA",VLOOKUP(D939,Nombres!A:D,4,FALSE))</f>
        <v>DEF</v>
      </c>
      <c r="F939" t="str">
        <f>IF(ISERROR(VLOOKUP(D939,Nombres!A:D,3,FALSE)),"PROBLEMAAAAAA",VLOOKUP(D939,Nombres!A:D,3,FALSE))</f>
        <v>Elche</v>
      </c>
      <c r="G939">
        <v>3</v>
      </c>
      <c r="H939" s="2">
        <f t="shared" si="0"/>
        <v>300000</v>
      </c>
      <c r="I939">
        <f t="shared" si="1"/>
        <v>2</v>
      </c>
      <c r="J939" t="str">
        <f>IF(ISERROR(VLOOKUP(D939,Nombres!A:D,2,FALSE)),"PROBLEMAAAAAA",VLOOKUP(D939,Nombres!A:D,2,FALSE))</f>
        <v>Bigas</v>
      </c>
    </row>
    <row r="940" spans="1:10" x14ac:dyDescent="0.25">
      <c r="A940">
        <v>10</v>
      </c>
      <c r="B940" s="1">
        <v>45947</v>
      </c>
      <c r="C940" t="s">
        <v>14</v>
      </c>
      <c r="D940" t="s">
        <v>127</v>
      </c>
      <c r="E940" t="str">
        <f>IF(ISERROR(VLOOKUP(D940,Nombres!A:D,4,FALSE)),"PROBLEMAAAAAA",VLOOKUP(D940,Nombres!A:D,4,FALSE))</f>
        <v>DEF</v>
      </c>
      <c r="F940" t="str">
        <f>IF(ISERROR(VLOOKUP(D940,Nombres!A:D,3,FALSE)),"PROBLEMAAAAAA",VLOOKUP(D940,Nombres!A:D,3,FALSE))</f>
        <v>Rayo</v>
      </c>
      <c r="G940">
        <v>10</v>
      </c>
      <c r="H940" s="2">
        <f t="shared" si="0"/>
        <v>1000000</v>
      </c>
      <c r="I940">
        <f t="shared" si="1"/>
        <v>2</v>
      </c>
      <c r="J940" t="str">
        <f>IF(ISERROR(VLOOKUP(D940,Nombres!A:D,2,FALSE)),"PROBLEMAAAAAA",VLOOKUP(D940,Nombres!A:D,2,FALSE))</f>
        <v>Lejeune</v>
      </c>
    </row>
    <row r="941" spans="1:10" x14ac:dyDescent="0.25">
      <c r="A941">
        <v>10</v>
      </c>
      <c r="B941" s="1">
        <v>45947</v>
      </c>
      <c r="C941" t="s">
        <v>14</v>
      </c>
      <c r="D941" t="s">
        <v>241</v>
      </c>
      <c r="E941" t="str">
        <f>IF(ISERROR(VLOOKUP(D941,Nombres!A:D,4,FALSE)),"PROBLEMAAAAAA",VLOOKUP(D941,Nombres!A:D,4,FALSE))</f>
        <v>DEF</v>
      </c>
      <c r="F941" t="str">
        <f>IF(ISERROR(VLOOKUP(D941,Nombres!A:D,3,FALSE)),"PROBLEMAAAAAA",VLOOKUP(D941,Nombres!A:D,3,FALSE))</f>
        <v>Real Sociedad</v>
      </c>
      <c r="G941">
        <v>5</v>
      </c>
      <c r="H941" s="2">
        <f t="shared" si="0"/>
        <v>500000</v>
      </c>
      <c r="I941">
        <f t="shared" si="1"/>
        <v>2</v>
      </c>
      <c r="J941" t="str">
        <f>IF(ISERROR(VLOOKUP(D941,Nombres!A:D,2,FALSE)),"PROBLEMAAAAAA",VLOOKUP(D941,Nombres!A:D,2,FALSE))</f>
        <v>Aramburu</v>
      </c>
    </row>
    <row r="942" spans="1:10" x14ac:dyDescent="0.25">
      <c r="A942">
        <v>10</v>
      </c>
      <c r="B942" s="1">
        <v>45947</v>
      </c>
      <c r="C942" t="s">
        <v>14</v>
      </c>
      <c r="D942" t="s">
        <v>192</v>
      </c>
      <c r="E942" t="str">
        <f>IF(ISERROR(VLOOKUP(D942,Nombres!A:D,4,FALSE)),"PROBLEMAAAAAA",VLOOKUP(D942,Nombres!A:D,4,FALSE))</f>
        <v>DEF</v>
      </c>
      <c r="F942" t="str">
        <f>IF(ISERROR(VLOOKUP(D942,Nombres!A:D,3,FALSE)),"PROBLEMAAAAAA",VLOOKUP(D942,Nombres!A:D,3,FALSE))</f>
        <v>Getafe</v>
      </c>
      <c r="G942">
        <v>4</v>
      </c>
      <c r="H942" s="2">
        <f t="shared" si="0"/>
        <v>400000</v>
      </c>
      <c r="I942">
        <f t="shared" si="1"/>
        <v>2</v>
      </c>
      <c r="J942" t="str">
        <f>IF(ISERROR(VLOOKUP(D942,Nombres!A:D,2,FALSE)),"PROBLEMAAAAAA",VLOOKUP(D942,Nombres!A:D,2,FALSE))</f>
        <v>Diego Rico</v>
      </c>
    </row>
    <row r="943" spans="1:10" x14ac:dyDescent="0.25">
      <c r="A943">
        <v>10</v>
      </c>
      <c r="B943" s="1">
        <v>45947</v>
      </c>
      <c r="C943" t="s">
        <v>14</v>
      </c>
      <c r="D943" t="s">
        <v>73</v>
      </c>
      <c r="E943" t="str">
        <f>IF(ISERROR(VLOOKUP(D943,Nombres!A:D,4,FALSE)),"PROBLEMAAAAAA",VLOOKUP(D943,Nombres!A:D,4,FALSE))</f>
        <v>MED</v>
      </c>
      <c r="F943" t="str">
        <f>IF(ISERROR(VLOOKUP(D943,Nombres!A:D,3,FALSE)),"PROBLEMAAAAAA",VLOOKUP(D943,Nombres!A:D,3,FALSE))</f>
        <v>Getafe</v>
      </c>
      <c r="G943">
        <v>5</v>
      </c>
      <c r="H943" s="2">
        <f t="shared" si="0"/>
        <v>500000</v>
      </c>
      <c r="I943">
        <f t="shared" si="1"/>
        <v>3</v>
      </c>
      <c r="J943" t="str">
        <f>IF(ISERROR(VLOOKUP(D943,Nombres!A:D,2,FALSE)),"PROBLEMAAAAAA",VLOOKUP(D943,Nombres!A:D,2,FALSE))</f>
        <v>Arambarri</v>
      </c>
    </row>
    <row r="944" spans="1:10" x14ac:dyDescent="0.25">
      <c r="A944">
        <v>10</v>
      </c>
      <c r="B944" s="1">
        <v>45947</v>
      </c>
      <c r="C944" t="s">
        <v>14</v>
      </c>
      <c r="D944" t="s">
        <v>68</v>
      </c>
      <c r="E944" t="str">
        <f>IF(ISERROR(VLOOKUP(D944,Nombres!A:D,4,FALSE)),"PROBLEMAAAAAA",VLOOKUP(D944,Nombres!A:D,4,FALSE))</f>
        <v>MED</v>
      </c>
      <c r="F944" t="str">
        <f>IF(ISERROR(VLOOKUP(D944,Nombres!A:D,3,FALSE)),"PROBLEMAAAAAA",VLOOKUP(D944,Nombres!A:D,3,FALSE))</f>
        <v>Sevilla</v>
      </c>
      <c r="G944">
        <v>-1</v>
      </c>
      <c r="H944" s="2">
        <f t="shared" si="0"/>
        <v>-100000</v>
      </c>
      <c r="I944">
        <f t="shared" si="1"/>
        <v>3</v>
      </c>
      <c r="J944" t="str">
        <f>IF(ISERROR(VLOOKUP(D944,Nombres!A:D,2,FALSE)),"PROBLEMAAAAAA",VLOOKUP(D944,Nombres!A:D,2,FALSE))</f>
        <v>Agoume</v>
      </c>
    </row>
    <row r="945" spans="1:10" x14ac:dyDescent="0.25">
      <c r="A945">
        <v>10</v>
      </c>
      <c r="B945" s="1">
        <v>45947</v>
      </c>
      <c r="C945" t="s">
        <v>14</v>
      </c>
      <c r="D945" t="s">
        <v>184</v>
      </c>
      <c r="E945" t="str">
        <f>IF(ISERROR(VLOOKUP(D945,Nombres!A:D,4,FALSE)),"PROBLEMAAAAAA",VLOOKUP(D945,Nombres!A:D,4,FALSE))</f>
        <v>MED</v>
      </c>
      <c r="F945" t="str">
        <f>IF(ISERROR(VLOOKUP(D945,Nombres!A:D,3,FALSE)),"PROBLEMAAAAAA",VLOOKUP(D945,Nombres!A:D,3,FALSE))</f>
        <v>Barcelona</v>
      </c>
      <c r="G945">
        <v>8</v>
      </c>
      <c r="H945" s="2">
        <f t="shared" si="0"/>
        <v>800000</v>
      </c>
      <c r="I945">
        <f t="shared" si="1"/>
        <v>3</v>
      </c>
      <c r="J945" t="str">
        <f>IF(ISERROR(VLOOKUP(D945,Nombres!A:D,2,FALSE)),"PROBLEMAAAAAA",VLOOKUP(D945,Nombres!A:D,2,FALSE))</f>
        <v>Fermín</v>
      </c>
    </row>
    <row r="946" spans="1:10" x14ac:dyDescent="0.25">
      <c r="A946">
        <v>10</v>
      </c>
      <c r="B946" s="1">
        <v>45947</v>
      </c>
      <c r="C946" t="s">
        <v>14</v>
      </c>
      <c r="D946" t="s">
        <v>159</v>
      </c>
      <c r="E946" t="str">
        <f>IF(ISERROR(VLOOKUP(D946,Nombres!A:D,4,FALSE)),"PROBLEMAAAAAA",VLOOKUP(D946,Nombres!A:D,4,FALSE))</f>
        <v>DEL</v>
      </c>
      <c r="F946" t="str">
        <f>IF(ISERROR(VLOOKUP(D946,Nombres!A:D,3,FALSE)),"PROBLEMAAAAAA",VLOOKUP(D946,Nombres!A:D,3,FALSE))</f>
        <v>Valencia</v>
      </c>
      <c r="G946">
        <v>3</v>
      </c>
      <c r="H946" s="2">
        <f t="shared" ref="H946:H1009" si="2">G946*100000</f>
        <v>300000</v>
      </c>
      <c r="I946">
        <f t="shared" ref="I946:I1009" si="3">IF(E946="POR",1,IF(E946="DEF",2,IF(E946="MED",3,4)))</f>
        <v>4</v>
      </c>
      <c r="J946" t="str">
        <f>IF(ISERROR(VLOOKUP(D946,Nombres!A:D,2,FALSE)),"PROBLEMAAAAAA",VLOOKUP(D946,Nombres!A:D,2,FALSE))</f>
        <v>Diego López</v>
      </c>
    </row>
    <row r="947" spans="1:10" x14ac:dyDescent="0.25">
      <c r="A947">
        <v>10</v>
      </c>
      <c r="B947" s="1">
        <v>45947</v>
      </c>
      <c r="C947" t="s">
        <v>14</v>
      </c>
      <c r="D947" t="s">
        <v>766</v>
      </c>
      <c r="E947" t="str">
        <f>IF(ISERROR(VLOOKUP(D947,Nombres!A:D,4,FALSE)),"PROBLEMAAAAAA",VLOOKUP(D947,Nombres!A:D,4,FALSE))</f>
        <v>DEL</v>
      </c>
      <c r="F947" t="str">
        <f>IF(ISERROR(VLOOKUP(D947,Nombres!A:D,3,FALSE)),"PROBLEMAAAAAA",VLOOKUP(D947,Nombres!A:D,3,FALSE))</f>
        <v>Celta</v>
      </c>
      <c r="G947">
        <v>4</v>
      </c>
      <c r="H947" s="2">
        <f t="shared" si="2"/>
        <v>400000</v>
      </c>
      <c r="I947">
        <f t="shared" si="3"/>
        <v>4</v>
      </c>
      <c r="J947" t="str">
        <f>IF(ISERROR(VLOOKUP(D947,Nombres!A:D,2,FALSE)),"PROBLEMAAAAAA",VLOOKUP(D947,Nombres!A:D,2,FALSE))</f>
        <v>Iglesias</v>
      </c>
    </row>
    <row r="948" spans="1:10" x14ac:dyDescent="0.25">
      <c r="A948">
        <v>11</v>
      </c>
      <c r="B948" s="1">
        <v>45968</v>
      </c>
      <c r="C948" t="s">
        <v>14</v>
      </c>
      <c r="D948" t="s">
        <v>229</v>
      </c>
      <c r="E948" t="str">
        <f>IF(ISERROR(VLOOKUP(D948,Nombres!A:D,4,FALSE)),"PROBLEMAAAAAA",VLOOKUP(D948,Nombres!A:D,4,FALSE))</f>
        <v>POR</v>
      </c>
      <c r="F948" t="str">
        <f>IF(ISERROR(VLOOKUP(D948,Nombres!A:D,3,FALSE)),"PROBLEMAAAAAA",VLOOKUP(D948,Nombres!A:D,3,FALSE))</f>
        <v>Athletic</v>
      </c>
      <c r="G948">
        <v>2</v>
      </c>
      <c r="H948" s="2">
        <f t="shared" si="2"/>
        <v>200000</v>
      </c>
      <c r="I948">
        <f t="shared" si="3"/>
        <v>1</v>
      </c>
      <c r="J948" t="str">
        <f>IF(ISERROR(VLOOKUP(D948,Nombres!A:D,2,FALSE)),"PROBLEMAAAAAA",VLOOKUP(D948,Nombres!A:D,2,FALSE))</f>
        <v>Unai Simón</v>
      </c>
    </row>
    <row r="949" spans="1:10" x14ac:dyDescent="0.25">
      <c r="A949">
        <v>11</v>
      </c>
      <c r="B949" s="1">
        <v>45968</v>
      </c>
      <c r="C949" t="s">
        <v>14</v>
      </c>
      <c r="D949" t="s">
        <v>182</v>
      </c>
      <c r="E949" t="str">
        <f>IF(ISERROR(VLOOKUP(D949,Nombres!A:D,4,FALSE)),"PROBLEMAAAAAA",VLOOKUP(D949,Nombres!A:D,4,FALSE))</f>
        <v>DEF</v>
      </c>
      <c r="F949" t="str">
        <f>IF(ISERROR(VLOOKUP(D949,Nombres!A:D,3,FALSE)),"PROBLEMAAAAAA",VLOOKUP(D949,Nombres!A:D,3,FALSE))</f>
        <v>Villarreal</v>
      </c>
      <c r="G949">
        <v>0</v>
      </c>
      <c r="H949" s="2">
        <f t="shared" si="2"/>
        <v>0</v>
      </c>
      <c r="I949">
        <f t="shared" si="3"/>
        <v>2</v>
      </c>
      <c r="J949" t="str">
        <f>IF(ISERROR(VLOOKUP(D949,Nombres!A:D,2,FALSE)),"PROBLEMAAAAAA",VLOOKUP(D949,Nombres!A:D,2,FALSE))</f>
        <v>S. Cardona</v>
      </c>
    </row>
    <row r="950" spans="1:10" x14ac:dyDescent="0.25">
      <c r="A950">
        <v>11</v>
      </c>
      <c r="B950" s="1">
        <v>45968</v>
      </c>
      <c r="C950" t="s">
        <v>14</v>
      </c>
      <c r="D950" t="s">
        <v>127</v>
      </c>
      <c r="E950" t="str">
        <f>IF(ISERROR(VLOOKUP(D950,Nombres!A:D,4,FALSE)),"PROBLEMAAAAAA",VLOOKUP(D950,Nombres!A:D,4,FALSE))</f>
        <v>DEF</v>
      </c>
      <c r="F950" t="str">
        <f>IF(ISERROR(VLOOKUP(D950,Nombres!A:D,3,FALSE)),"PROBLEMAAAAAA",VLOOKUP(D950,Nombres!A:D,3,FALSE))</f>
        <v>Rayo</v>
      </c>
      <c r="G950">
        <v>-1</v>
      </c>
      <c r="H950" s="2">
        <f t="shared" si="2"/>
        <v>-100000</v>
      </c>
      <c r="I950">
        <f t="shared" si="3"/>
        <v>2</v>
      </c>
      <c r="J950" t="str">
        <f>IF(ISERROR(VLOOKUP(D950,Nombres!A:D,2,FALSE)),"PROBLEMAAAAAA",VLOOKUP(D950,Nombres!A:D,2,FALSE))</f>
        <v>Lejeune</v>
      </c>
    </row>
    <row r="951" spans="1:10" x14ac:dyDescent="0.25">
      <c r="A951">
        <v>11</v>
      </c>
      <c r="B951" s="1">
        <v>45968</v>
      </c>
      <c r="C951" t="s">
        <v>14</v>
      </c>
      <c r="D951" t="s">
        <v>241</v>
      </c>
      <c r="E951" t="str">
        <f>IF(ISERROR(VLOOKUP(D951,Nombres!A:D,4,FALSE)),"PROBLEMAAAAAA",VLOOKUP(D951,Nombres!A:D,4,FALSE))</f>
        <v>DEF</v>
      </c>
      <c r="F951" t="str">
        <f>IF(ISERROR(VLOOKUP(D951,Nombres!A:D,3,FALSE)),"PROBLEMAAAAAA",VLOOKUP(D951,Nombres!A:D,3,FALSE))</f>
        <v>Real Sociedad</v>
      </c>
      <c r="G951">
        <v>-2</v>
      </c>
      <c r="H951" s="2">
        <f t="shared" si="2"/>
        <v>-200000</v>
      </c>
      <c r="I951">
        <f t="shared" si="3"/>
        <v>2</v>
      </c>
      <c r="J951" t="str">
        <f>IF(ISERROR(VLOOKUP(D951,Nombres!A:D,2,FALSE)),"PROBLEMAAAAAA",VLOOKUP(D951,Nombres!A:D,2,FALSE))</f>
        <v>Aramburu</v>
      </c>
    </row>
    <row r="952" spans="1:10" x14ac:dyDescent="0.25">
      <c r="A952">
        <v>11</v>
      </c>
      <c r="B952" s="1">
        <v>45968</v>
      </c>
      <c r="C952" t="s">
        <v>14</v>
      </c>
      <c r="D952" t="s">
        <v>192</v>
      </c>
      <c r="E952" t="str">
        <f>IF(ISERROR(VLOOKUP(D952,Nombres!A:D,4,FALSE)),"PROBLEMAAAAAA",VLOOKUP(D952,Nombres!A:D,4,FALSE))</f>
        <v>DEF</v>
      </c>
      <c r="F952" t="str">
        <f>IF(ISERROR(VLOOKUP(D952,Nombres!A:D,3,FALSE)),"PROBLEMAAAAAA",VLOOKUP(D952,Nombres!A:D,3,FALSE))</f>
        <v>Getafe</v>
      </c>
      <c r="G952">
        <v>4</v>
      </c>
      <c r="H952" s="2">
        <f t="shared" si="2"/>
        <v>400000</v>
      </c>
      <c r="I952">
        <f t="shared" si="3"/>
        <v>2</v>
      </c>
      <c r="J952" t="str">
        <f>IF(ISERROR(VLOOKUP(D952,Nombres!A:D,2,FALSE)),"PROBLEMAAAAAA",VLOOKUP(D952,Nombres!A:D,2,FALSE))</f>
        <v>Diego Rico</v>
      </c>
    </row>
    <row r="953" spans="1:10" x14ac:dyDescent="0.25">
      <c r="A953">
        <v>11</v>
      </c>
      <c r="B953" s="1">
        <v>45968</v>
      </c>
      <c r="C953" t="s">
        <v>14</v>
      </c>
      <c r="D953" t="s">
        <v>173</v>
      </c>
      <c r="E953" t="str">
        <f>IF(ISERROR(VLOOKUP(D953,Nombres!A:D,4,FALSE)),"PROBLEMAAAAAA",VLOOKUP(D953,Nombres!A:D,4,FALSE))</f>
        <v>DEF</v>
      </c>
      <c r="F953" t="str">
        <f>IF(ISERROR(VLOOKUP(D953,Nombres!A:D,3,FALSE)),"PROBLEMAAAAAA",VLOOKUP(D953,Nombres!A:D,3,FALSE))</f>
        <v>Mallorca</v>
      </c>
      <c r="G953">
        <v>3</v>
      </c>
      <c r="H953" s="2">
        <f t="shared" si="2"/>
        <v>300000</v>
      </c>
      <c r="I953">
        <f t="shared" si="3"/>
        <v>2</v>
      </c>
      <c r="J953" t="str">
        <f>IF(ISERROR(VLOOKUP(D953,Nombres!A:D,2,FALSE)),"PROBLEMAAAAAA",VLOOKUP(D953,Nombres!A:D,2,FALSE))</f>
        <v>Mojica</v>
      </c>
    </row>
    <row r="954" spans="1:10" x14ac:dyDescent="0.25">
      <c r="A954">
        <v>11</v>
      </c>
      <c r="B954" s="1">
        <v>45968</v>
      </c>
      <c r="C954" t="s">
        <v>14</v>
      </c>
      <c r="D954" t="s">
        <v>73</v>
      </c>
      <c r="E954" t="str">
        <f>IF(ISERROR(VLOOKUP(D954,Nombres!A:D,4,FALSE)),"PROBLEMAAAAAA",VLOOKUP(D954,Nombres!A:D,4,FALSE))</f>
        <v>MED</v>
      </c>
      <c r="F954" t="str">
        <f>IF(ISERROR(VLOOKUP(D954,Nombres!A:D,3,FALSE)),"PROBLEMAAAAAA",VLOOKUP(D954,Nombres!A:D,3,FALSE))</f>
        <v>Getafe</v>
      </c>
      <c r="G954">
        <v>5</v>
      </c>
      <c r="H954" s="2">
        <f t="shared" si="2"/>
        <v>500000</v>
      </c>
      <c r="I954">
        <f t="shared" si="3"/>
        <v>3</v>
      </c>
      <c r="J954" t="str">
        <f>IF(ISERROR(VLOOKUP(D954,Nombres!A:D,2,FALSE)),"PROBLEMAAAAAA",VLOOKUP(D954,Nombres!A:D,2,FALSE))</f>
        <v>Arambarri</v>
      </c>
    </row>
    <row r="955" spans="1:10" x14ac:dyDescent="0.25">
      <c r="A955">
        <v>11</v>
      </c>
      <c r="B955" s="1">
        <v>45968</v>
      </c>
      <c r="C955" t="s">
        <v>14</v>
      </c>
      <c r="D955" t="s">
        <v>184</v>
      </c>
      <c r="E955" t="str">
        <f>IF(ISERROR(VLOOKUP(D955,Nombres!A:D,4,FALSE)),"PROBLEMAAAAAA",VLOOKUP(D955,Nombres!A:D,4,FALSE))</f>
        <v>MED</v>
      </c>
      <c r="F955" t="str">
        <f>IF(ISERROR(VLOOKUP(D955,Nombres!A:D,3,FALSE)),"PROBLEMAAAAAA",VLOOKUP(D955,Nombres!A:D,3,FALSE))</f>
        <v>Barcelona</v>
      </c>
      <c r="G955">
        <v>13</v>
      </c>
      <c r="H955" s="2">
        <f t="shared" si="2"/>
        <v>1300000</v>
      </c>
      <c r="I955">
        <f t="shared" si="3"/>
        <v>3</v>
      </c>
      <c r="J955" t="str">
        <f>IF(ISERROR(VLOOKUP(D955,Nombres!A:D,2,FALSE)),"PROBLEMAAAAAA",VLOOKUP(D955,Nombres!A:D,2,FALSE))</f>
        <v>Fermín</v>
      </c>
    </row>
    <row r="956" spans="1:10" x14ac:dyDescent="0.25">
      <c r="A956">
        <v>11</v>
      </c>
      <c r="B956" s="1">
        <v>45968</v>
      </c>
      <c r="C956" t="s">
        <v>14</v>
      </c>
      <c r="D956" t="s">
        <v>60</v>
      </c>
      <c r="E956" t="str">
        <f>IF(ISERROR(VLOOKUP(D956,Nombres!A:D,4,FALSE)),"PROBLEMAAAAAA",VLOOKUP(D956,Nombres!A:D,4,FALSE))</f>
        <v>MED</v>
      </c>
      <c r="F956" t="str">
        <f>IF(ISERROR(VLOOKUP(D956,Nombres!A:D,3,FALSE)),"PROBLEMAAAAAA",VLOOKUP(D956,Nombres!A:D,3,FALSE))</f>
        <v>Rayo</v>
      </c>
      <c r="G956">
        <v>0</v>
      </c>
      <c r="H956" s="2">
        <f t="shared" si="2"/>
        <v>0</v>
      </c>
      <c r="I956">
        <f t="shared" si="3"/>
        <v>3</v>
      </c>
      <c r="J956" t="str">
        <f>IF(ISERROR(VLOOKUP(D956,Nombres!A:D,2,FALSE)),"PROBLEMAAAAAA",VLOOKUP(D956,Nombres!A:D,2,FALSE))</f>
        <v>Álvaro García</v>
      </c>
    </row>
    <row r="957" spans="1:10" x14ac:dyDescent="0.25">
      <c r="A957">
        <v>11</v>
      </c>
      <c r="B957" s="1">
        <v>45968</v>
      </c>
      <c r="C957" t="s">
        <v>14</v>
      </c>
      <c r="D957" t="s">
        <v>201</v>
      </c>
      <c r="E957" t="str">
        <f>IF(ISERROR(VLOOKUP(D957,Nombres!A:D,4,FALSE)),"PROBLEMAAAAAA",VLOOKUP(D957,Nombres!A:D,4,FALSE))</f>
        <v>MED</v>
      </c>
      <c r="F957" t="str">
        <f>IF(ISERROR(VLOOKUP(D957,Nombres!A:D,3,FALSE)),"PROBLEMAAAAAA",VLOOKUP(D957,Nombres!A:D,3,FALSE))</f>
        <v>Real Oviedo</v>
      </c>
      <c r="G957">
        <v>2</v>
      </c>
      <c r="H957" s="2">
        <f t="shared" si="2"/>
        <v>200000</v>
      </c>
      <c r="I957">
        <f t="shared" si="3"/>
        <v>3</v>
      </c>
      <c r="J957" t="str">
        <f>IF(ISERROR(VLOOKUP(D957,Nombres!A:D,2,FALSE)),"PROBLEMAAAAAA",VLOOKUP(D957,Nombres!A:D,2,FALSE))</f>
        <v>Hassan</v>
      </c>
    </row>
    <row r="958" spans="1:10" x14ac:dyDescent="0.25">
      <c r="A958">
        <v>11</v>
      </c>
      <c r="B958" s="1">
        <v>45968</v>
      </c>
      <c r="C958" t="s">
        <v>14</v>
      </c>
      <c r="D958" t="s">
        <v>264</v>
      </c>
      <c r="E958" t="str">
        <f>IF(ISERROR(VLOOKUP(D958,Nombres!A:D,4,FALSE)),"PROBLEMAAAAAA",VLOOKUP(D958,Nombres!A:D,4,FALSE))</f>
        <v>DEL</v>
      </c>
      <c r="F958" t="str">
        <f>IF(ISERROR(VLOOKUP(D958,Nombres!A:D,3,FALSE)),"PROBLEMAAAAAA",VLOOKUP(D958,Nombres!A:D,3,FALSE))</f>
        <v>Alavés</v>
      </c>
      <c r="G958">
        <v>4</v>
      </c>
      <c r="H958" s="2">
        <f t="shared" si="2"/>
        <v>400000</v>
      </c>
      <c r="I958">
        <f t="shared" si="3"/>
        <v>4</v>
      </c>
      <c r="J958" t="str">
        <f>IF(ISERROR(VLOOKUP(D958,Nombres!A:D,2,FALSE)),"PROBLEMAAAAAA",VLOOKUP(D958,Nombres!A:D,2,FALSE))</f>
        <v>Toni Martinez</v>
      </c>
    </row>
    <row r="959" spans="1:10" x14ac:dyDescent="0.25">
      <c r="A959">
        <v>12</v>
      </c>
      <c r="B959" s="1">
        <v>45968</v>
      </c>
      <c r="C959" t="s">
        <v>14</v>
      </c>
      <c r="D959" t="s">
        <v>229</v>
      </c>
      <c r="E959" t="str">
        <f>IF(ISERROR(VLOOKUP(D959,Nombres!A:D,4,FALSE)),"PROBLEMAAAAAA",VLOOKUP(D959,Nombres!A:D,4,FALSE))</f>
        <v>POR</v>
      </c>
      <c r="F959" t="str">
        <f>IF(ISERROR(VLOOKUP(D959,Nombres!A:D,3,FALSE)),"PROBLEMAAAAAA",VLOOKUP(D959,Nombres!A:D,3,FALSE))</f>
        <v>Athletic</v>
      </c>
      <c r="G959">
        <v>11</v>
      </c>
      <c r="H959" s="2">
        <f t="shared" si="2"/>
        <v>1100000</v>
      </c>
      <c r="I959">
        <f t="shared" si="3"/>
        <v>1</v>
      </c>
      <c r="J959" t="str">
        <f>IF(ISERROR(VLOOKUP(D959,Nombres!A:D,2,FALSE)),"PROBLEMAAAAAA",VLOOKUP(D959,Nombres!A:D,2,FALSE))</f>
        <v>Unai Simón</v>
      </c>
    </row>
    <row r="960" spans="1:10" x14ac:dyDescent="0.25">
      <c r="A960">
        <v>12</v>
      </c>
      <c r="B960" s="1">
        <v>45968</v>
      </c>
      <c r="C960" t="s">
        <v>14</v>
      </c>
      <c r="D960" t="s">
        <v>763</v>
      </c>
      <c r="E960" t="str">
        <f>IF(ISERROR(VLOOKUP(D960,Nombres!A:D,4,FALSE)),"PROBLEMAAAAAA",VLOOKUP(D960,Nombres!A:D,4,FALSE))</f>
        <v>DEF</v>
      </c>
      <c r="F960" t="str">
        <f>IF(ISERROR(VLOOKUP(D960,Nombres!A:D,3,FALSE)),"PROBLEMAAAAAA",VLOOKUP(D960,Nombres!A:D,3,FALSE))</f>
        <v>Real Oviedo</v>
      </c>
      <c r="G960">
        <v>6</v>
      </c>
      <c r="H960" s="2">
        <f t="shared" si="2"/>
        <v>600000</v>
      </c>
      <c r="I960">
        <f t="shared" si="3"/>
        <v>2</v>
      </c>
      <c r="J960" t="str">
        <f>IF(ISERROR(VLOOKUP(D960,Nombres!A:D,2,FALSE)),"PROBLEMAAAAAA",VLOOKUP(D960,Nombres!A:D,2,FALSE))</f>
        <v>Costas</v>
      </c>
    </row>
    <row r="961" spans="1:10" x14ac:dyDescent="0.25">
      <c r="A961">
        <v>12</v>
      </c>
      <c r="B961" s="1">
        <v>45968</v>
      </c>
      <c r="C961" t="s">
        <v>14</v>
      </c>
      <c r="D961" t="s">
        <v>127</v>
      </c>
      <c r="E961" t="str">
        <f>IF(ISERROR(VLOOKUP(D961,Nombres!A:D,4,FALSE)),"PROBLEMAAAAAA",VLOOKUP(D961,Nombres!A:D,4,FALSE))</f>
        <v>DEF</v>
      </c>
      <c r="F961" t="str">
        <f>IF(ISERROR(VLOOKUP(D961,Nombres!A:D,3,FALSE)),"PROBLEMAAAAAA",VLOOKUP(D961,Nombres!A:D,3,FALSE))</f>
        <v>Rayo</v>
      </c>
      <c r="G961">
        <v>8</v>
      </c>
      <c r="H961" s="2">
        <f t="shared" si="2"/>
        <v>800000</v>
      </c>
      <c r="I961">
        <f t="shared" si="3"/>
        <v>2</v>
      </c>
      <c r="J961" t="str">
        <f>IF(ISERROR(VLOOKUP(D961,Nombres!A:D,2,FALSE)),"PROBLEMAAAAAA",VLOOKUP(D961,Nombres!A:D,2,FALSE))</f>
        <v>Lejeune</v>
      </c>
    </row>
    <row r="962" spans="1:10" x14ac:dyDescent="0.25">
      <c r="A962">
        <v>12</v>
      </c>
      <c r="B962" s="1">
        <v>45968</v>
      </c>
      <c r="C962" t="s">
        <v>14</v>
      </c>
      <c r="D962" t="s">
        <v>241</v>
      </c>
      <c r="E962" t="str">
        <f>IF(ISERROR(VLOOKUP(D962,Nombres!A:D,4,FALSE)),"PROBLEMAAAAAA",VLOOKUP(D962,Nombres!A:D,4,FALSE))</f>
        <v>DEF</v>
      </c>
      <c r="F962" t="str">
        <f>IF(ISERROR(VLOOKUP(D962,Nombres!A:D,3,FALSE)),"PROBLEMAAAAAA",VLOOKUP(D962,Nombres!A:D,3,FALSE))</f>
        <v>Real Sociedad</v>
      </c>
      <c r="G962">
        <v>2</v>
      </c>
      <c r="H962" s="2">
        <f t="shared" si="2"/>
        <v>200000</v>
      </c>
      <c r="I962">
        <f t="shared" si="3"/>
        <v>2</v>
      </c>
      <c r="J962" t="str">
        <f>IF(ISERROR(VLOOKUP(D962,Nombres!A:D,2,FALSE)),"PROBLEMAAAAAA",VLOOKUP(D962,Nombres!A:D,2,FALSE))</f>
        <v>Aramburu</v>
      </c>
    </row>
    <row r="963" spans="1:10" x14ac:dyDescent="0.25">
      <c r="A963">
        <v>12</v>
      </c>
      <c r="B963" s="1">
        <v>45968</v>
      </c>
      <c r="C963" t="s">
        <v>14</v>
      </c>
      <c r="D963" t="s">
        <v>192</v>
      </c>
      <c r="E963" t="str">
        <f>IF(ISERROR(VLOOKUP(D963,Nombres!A:D,4,FALSE)),"PROBLEMAAAAAA",VLOOKUP(D963,Nombres!A:D,4,FALSE))</f>
        <v>DEF</v>
      </c>
      <c r="F963" t="str">
        <f>IF(ISERROR(VLOOKUP(D963,Nombres!A:D,3,FALSE)),"PROBLEMAAAAAA",VLOOKUP(D963,Nombres!A:D,3,FALSE))</f>
        <v>Getafe</v>
      </c>
      <c r="G963">
        <v>0</v>
      </c>
      <c r="H963" s="2">
        <f t="shared" si="2"/>
        <v>0</v>
      </c>
      <c r="I963">
        <f t="shared" si="3"/>
        <v>2</v>
      </c>
      <c r="J963" t="str">
        <f>IF(ISERROR(VLOOKUP(D963,Nombres!A:D,2,FALSE)),"PROBLEMAAAAAA",VLOOKUP(D963,Nombres!A:D,2,FALSE))</f>
        <v>Diego Rico</v>
      </c>
    </row>
    <row r="964" spans="1:10" x14ac:dyDescent="0.25">
      <c r="A964">
        <v>12</v>
      </c>
      <c r="B964" s="1">
        <v>45968</v>
      </c>
      <c r="C964" t="s">
        <v>14</v>
      </c>
      <c r="D964" t="s">
        <v>173</v>
      </c>
      <c r="E964" t="str">
        <f>IF(ISERROR(VLOOKUP(D964,Nombres!A:D,4,FALSE)),"PROBLEMAAAAAA",VLOOKUP(D964,Nombres!A:D,4,FALSE))</f>
        <v>DEF</v>
      </c>
      <c r="F964" t="str">
        <f>IF(ISERROR(VLOOKUP(D964,Nombres!A:D,3,FALSE)),"PROBLEMAAAAAA",VLOOKUP(D964,Nombres!A:D,3,FALSE))</f>
        <v>Mallorca</v>
      </c>
      <c r="G964">
        <v>14</v>
      </c>
      <c r="H964" s="2">
        <f t="shared" si="2"/>
        <v>1400000</v>
      </c>
      <c r="I964">
        <f t="shared" si="3"/>
        <v>2</v>
      </c>
      <c r="J964" t="str">
        <f>IF(ISERROR(VLOOKUP(D964,Nombres!A:D,2,FALSE)),"PROBLEMAAAAAA",VLOOKUP(D964,Nombres!A:D,2,FALSE))</f>
        <v>Mojica</v>
      </c>
    </row>
    <row r="965" spans="1:10" x14ac:dyDescent="0.25">
      <c r="A965">
        <v>12</v>
      </c>
      <c r="B965" s="1">
        <v>45968</v>
      </c>
      <c r="C965" t="s">
        <v>14</v>
      </c>
      <c r="D965" t="s">
        <v>73</v>
      </c>
      <c r="E965" t="str">
        <f>IF(ISERROR(VLOOKUP(D965,Nombres!A:D,4,FALSE)),"PROBLEMAAAAAA",VLOOKUP(D965,Nombres!A:D,4,FALSE))</f>
        <v>MED</v>
      </c>
      <c r="F965" t="str">
        <f>IF(ISERROR(VLOOKUP(D965,Nombres!A:D,3,FALSE)),"PROBLEMAAAAAA",VLOOKUP(D965,Nombres!A:D,3,FALSE))</f>
        <v>Getafe</v>
      </c>
      <c r="G965">
        <v>4</v>
      </c>
      <c r="H965" s="2">
        <f t="shared" si="2"/>
        <v>400000</v>
      </c>
      <c r="I965">
        <f t="shared" si="3"/>
        <v>3</v>
      </c>
      <c r="J965" t="str">
        <f>IF(ISERROR(VLOOKUP(D965,Nombres!A:D,2,FALSE)),"PROBLEMAAAAAA",VLOOKUP(D965,Nombres!A:D,2,FALSE))</f>
        <v>Arambarri</v>
      </c>
    </row>
    <row r="966" spans="1:10" x14ac:dyDescent="0.25">
      <c r="A966">
        <v>12</v>
      </c>
      <c r="B966" s="1">
        <v>45968</v>
      </c>
      <c r="C966" t="s">
        <v>14</v>
      </c>
      <c r="D966" t="s">
        <v>60</v>
      </c>
      <c r="E966" t="str">
        <f>IF(ISERROR(VLOOKUP(D966,Nombres!A:D,4,FALSE)),"PROBLEMAAAAAA",VLOOKUP(D966,Nombres!A:D,4,FALSE))</f>
        <v>MED</v>
      </c>
      <c r="F966" t="str">
        <f>IF(ISERROR(VLOOKUP(D966,Nombres!A:D,3,FALSE)),"PROBLEMAAAAAA",VLOOKUP(D966,Nombres!A:D,3,FALSE))</f>
        <v>Rayo</v>
      </c>
      <c r="G966">
        <v>4</v>
      </c>
      <c r="H966" s="2">
        <f t="shared" si="2"/>
        <v>400000</v>
      </c>
      <c r="I966">
        <f t="shared" si="3"/>
        <v>3</v>
      </c>
      <c r="J966" t="str">
        <f>IF(ISERROR(VLOOKUP(D966,Nombres!A:D,2,FALSE)),"PROBLEMAAAAAA",VLOOKUP(D966,Nombres!A:D,2,FALSE))</f>
        <v>Álvaro García</v>
      </c>
    </row>
    <row r="967" spans="1:10" x14ac:dyDescent="0.25">
      <c r="A967">
        <v>12</v>
      </c>
      <c r="B967" s="1">
        <v>45968</v>
      </c>
      <c r="C967" t="s">
        <v>14</v>
      </c>
      <c r="D967" t="s">
        <v>156</v>
      </c>
      <c r="E967" t="str">
        <f>IF(ISERROR(VLOOKUP(D967,Nombres!A:D,4,FALSE)),"PROBLEMAAAAAA",VLOOKUP(D967,Nombres!A:D,4,FALSE))</f>
        <v>MED</v>
      </c>
      <c r="F967" t="str">
        <f>IF(ISERROR(VLOOKUP(D967,Nombres!A:D,3,FALSE)),"PROBLEMAAAAAA",VLOOKUP(D967,Nombres!A:D,3,FALSE))</f>
        <v>Atlético</v>
      </c>
      <c r="G967">
        <v>4</v>
      </c>
      <c r="H967" s="2">
        <f t="shared" si="2"/>
        <v>400000</v>
      </c>
      <c r="I967">
        <f t="shared" si="3"/>
        <v>3</v>
      </c>
      <c r="J967" t="str">
        <f>IF(ISERROR(VLOOKUP(D967,Nombres!A:D,2,FALSE)),"PROBLEMAAAAAA",VLOOKUP(D967,Nombres!A:D,2,FALSE))</f>
        <v>Koke</v>
      </c>
    </row>
    <row r="968" spans="1:10" x14ac:dyDescent="0.25">
      <c r="A968">
        <v>12</v>
      </c>
      <c r="B968" s="1">
        <v>45968</v>
      </c>
      <c r="C968" t="s">
        <v>14</v>
      </c>
      <c r="D968" t="s">
        <v>264</v>
      </c>
      <c r="E968" t="str">
        <f>IF(ISERROR(VLOOKUP(D968,Nombres!A:D,4,FALSE)),"PROBLEMAAAAAA",VLOOKUP(D968,Nombres!A:D,4,FALSE))</f>
        <v>DEL</v>
      </c>
      <c r="F968" t="str">
        <f>IF(ISERROR(VLOOKUP(D968,Nombres!A:D,3,FALSE)),"PROBLEMAAAAAA",VLOOKUP(D968,Nombres!A:D,3,FALSE))</f>
        <v>Alavés</v>
      </c>
      <c r="G968">
        <v>3</v>
      </c>
      <c r="H968" s="2">
        <f t="shared" si="2"/>
        <v>300000</v>
      </c>
      <c r="I968">
        <f t="shared" si="3"/>
        <v>4</v>
      </c>
      <c r="J968" t="str">
        <f>IF(ISERROR(VLOOKUP(D968,Nombres!A:D,2,FALSE)),"PROBLEMAAAAAA",VLOOKUP(D968,Nombres!A:D,2,FALSE))</f>
        <v>Toni Martinez</v>
      </c>
    </row>
    <row r="969" spans="1:10" x14ac:dyDescent="0.25">
      <c r="A969">
        <v>12</v>
      </c>
      <c r="B969" s="1">
        <v>45968</v>
      </c>
      <c r="C969" t="s">
        <v>14</v>
      </c>
      <c r="D969" t="s">
        <v>323</v>
      </c>
      <c r="E969" t="str">
        <f>IF(ISERROR(VLOOKUP(D969,Nombres!A:D,4,FALSE)),"PROBLEMAAAAAA",VLOOKUP(D969,Nombres!A:D,4,FALSE))</f>
        <v>DEL</v>
      </c>
      <c r="F969" t="str">
        <f>IF(ISERROR(VLOOKUP(D969,Nombres!A:D,3,FALSE)),"PROBLEMAAAAAA",VLOOKUP(D969,Nombres!A:D,3,FALSE))</f>
        <v>Betis</v>
      </c>
      <c r="G969">
        <v>12</v>
      </c>
      <c r="H969" s="2">
        <f t="shared" si="2"/>
        <v>1200000</v>
      </c>
      <c r="I969">
        <f t="shared" si="3"/>
        <v>4</v>
      </c>
      <c r="J969" t="str">
        <f>IF(ISERROR(VLOOKUP(D969,Nombres!A:D,2,FALSE)),"PROBLEMAAAAAA",VLOOKUP(D969,Nombres!A:D,2,FALSE))</f>
        <v>Cucho</v>
      </c>
    </row>
    <row r="970" spans="1:10" x14ac:dyDescent="0.25">
      <c r="A970">
        <v>9</v>
      </c>
      <c r="B970" s="1">
        <v>45947</v>
      </c>
      <c r="C970" t="s">
        <v>768</v>
      </c>
      <c r="D970" t="s">
        <v>113</v>
      </c>
      <c r="E970" t="str">
        <f>IF(ISERROR(VLOOKUP(D970,Nombres!A:D,4,FALSE)),"PROBLEMAAAAAA",VLOOKUP(D970,Nombres!A:D,4,FALSE))</f>
        <v>POR</v>
      </c>
      <c r="F970" t="str">
        <f>IF(ISERROR(VLOOKUP(D970,Nombres!A:D,3,FALSE)),"PROBLEMAAAAAA",VLOOKUP(D970,Nombres!A:D,3,FALSE))</f>
        <v>Espanyol</v>
      </c>
      <c r="G970">
        <v>12</v>
      </c>
      <c r="H970" s="2">
        <f t="shared" si="2"/>
        <v>1200000</v>
      </c>
      <c r="I970">
        <f t="shared" si="3"/>
        <v>1</v>
      </c>
      <c r="J970" t="str">
        <f>IF(ISERROR(VLOOKUP(D970,Nombres!A:D,2,FALSE)),"PROBLEMAAAAAA",VLOOKUP(D970,Nombres!A:D,2,FALSE))</f>
        <v>Dmitrovic</v>
      </c>
    </row>
    <row r="971" spans="1:10" x14ac:dyDescent="0.25">
      <c r="A971">
        <v>9</v>
      </c>
      <c r="B971" s="1">
        <v>45947</v>
      </c>
      <c r="C971" t="s">
        <v>768</v>
      </c>
      <c r="D971" t="s">
        <v>114</v>
      </c>
      <c r="E971" t="str">
        <f>IF(ISERROR(VLOOKUP(D971,Nombres!A:D,4,FALSE)),"PROBLEMAAAAAA",VLOOKUP(D971,Nombres!A:D,4,FALSE))</f>
        <v>DEF</v>
      </c>
      <c r="F971" t="str">
        <f>IF(ISERROR(VLOOKUP(D971,Nombres!A:D,3,FALSE)),"PROBLEMAAAAAA",VLOOKUP(D971,Nombres!A:D,3,FALSE))</f>
        <v>Real Sociedad</v>
      </c>
      <c r="G971">
        <v>2</v>
      </c>
      <c r="H971" s="2">
        <f t="shared" si="2"/>
        <v>200000</v>
      </c>
      <c r="I971">
        <f t="shared" si="3"/>
        <v>2</v>
      </c>
      <c r="J971" t="str">
        <f>IF(ISERROR(VLOOKUP(D971,Nombres!A:D,2,FALSE)),"PROBLEMAAAAAA",VLOOKUP(D971,Nombres!A:D,2,FALSE))</f>
        <v>Zubeldia</v>
      </c>
    </row>
    <row r="972" spans="1:10" x14ac:dyDescent="0.25">
      <c r="A972">
        <v>9</v>
      </c>
      <c r="B972" s="1">
        <v>45947</v>
      </c>
      <c r="C972" t="s">
        <v>768</v>
      </c>
      <c r="D972" t="s">
        <v>226</v>
      </c>
      <c r="E972" t="str">
        <f>IF(ISERROR(VLOOKUP(D972,Nombres!A:D,4,FALSE)),"PROBLEMAAAAAA",VLOOKUP(D972,Nombres!A:D,4,FALSE))</f>
        <v>DEF</v>
      </c>
      <c r="F972" t="str">
        <f>IF(ISERROR(VLOOKUP(D972,Nombres!A:D,3,FALSE)),"PROBLEMAAAAAA",VLOOKUP(D972,Nombres!A:D,3,FALSE))</f>
        <v>Rayo</v>
      </c>
      <c r="G972">
        <v>13</v>
      </c>
      <c r="H972" s="2">
        <f t="shared" si="2"/>
        <v>1300000</v>
      </c>
      <c r="I972">
        <f t="shared" si="3"/>
        <v>2</v>
      </c>
      <c r="J972" t="str">
        <f>IF(ISERROR(VLOOKUP(D972,Nombres!A:D,2,FALSE)),"PROBLEMAAAAAA",VLOOKUP(D972,Nombres!A:D,2,FALSE))</f>
        <v>Pep Chavarría</v>
      </c>
    </row>
    <row r="973" spans="1:10" x14ac:dyDescent="0.25">
      <c r="A973">
        <v>9</v>
      </c>
      <c r="B973" s="1">
        <v>45947</v>
      </c>
      <c r="C973" t="s">
        <v>768</v>
      </c>
      <c r="D973" t="s">
        <v>296</v>
      </c>
      <c r="E973" t="str">
        <f>IF(ISERROR(VLOOKUP(D973,Nombres!A:D,4,FALSE)),"PROBLEMAAAAAA",VLOOKUP(D973,Nombres!A:D,4,FALSE))</f>
        <v>DEF</v>
      </c>
      <c r="F973" t="str">
        <f>IF(ISERROR(VLOOKUP(D973,Nombres!A:D,3,FALSE)),"PROBLEMAAAAAA",VLOOKUP(D973,Nombres!A:D,3,FALSE))</f>
        <v>Sevilla</v>
      </c>
      <c r="G973">
        <v>4</v>
      </c>
      <c r="H973" s="2">
        <f t="shared" si="2"/>
        <v>400000</v>
      </c>
      <c r="I973">
        <f t="shared" si="3"/>
        <v>2</v>
      </c>
      <c r="J973" t="str">
        <f>IF(ISERROR(VLOOKUP(D973,Nombres!A:D,2,FALSE)),"PROBLEMAAAAAA",VLOOKUP(D973,Nombres!A:D,2,FALSE))</f>
        <v>Suazo</v>
      </c>
    </row>
    <row r="974" spans="1:10" x14ac:dyDescent="0.25">
      <c r="A974">
        <v>9</v>
      </c>
      <c r="B974" s="1">
        <v>45947</v>
      </c>
      <c r="C974" t="s">
        <v>768</v>
      </c>
      <c r="D974" t="s">
        <v>294</v>
      </c>
      <c r="E974" t="str">
        <f>IF(ISERROR(VLOOKUP(D974,Nombres!A:D,4,FALSE)),"PROBLEMAAAAAA",VLOOKUP(D974,Nombres!A:D,4,FALSE))</f>
        <v>DEF</v>
      </c>
      <c r="F974" t="str">
        <f>IF(ISERROR(VLOOKUP(D974,Nombres!A:D,3,FALSE)),"PROBLEMAAAAAA",VLOOKUP(D974,Nombres!A:D,3,FALSE))</f>
        <v>Getafe</v>
      </c>
      <c r="G974">
        <v>0</v>
      </c>
      <c r="H974" s="2">
        <f t="shared" si="2"/>
        <v>0</v>
      </c>
      <c r="I974">
        <f t="shared" si="3"/>
        <v>2</v>
      </c>
      <c r="J974" t="str">
        <f>IF(ISERROR(VLOOKUP(D974,Nombres!A:D,2,FALSE)),"PROBLEMAAAAAA",VLOOKUP(D974,Nombres!A:D,2,FALSE))</f>
        <v>Abqar</v>
      </c>
    </row>
    <row r="975" spans="1:10" x14ac:dyDescent="0.25">
      <c r="A975">
        <v>9</v>
      </c>
      <c r="B975" s="1">
        <v>45947</v>
      </c>
      <c r="C975" t="s">
        <v>768</v>
      </c>
      <c r="D975" t="s">
        <v>765</v>
      </c>
      <c r="E975" t="str">
        <f>IF(ISERROR(VLOOKUP(D975,Nombres!A:D,4,FALSE)),"PROBLEMAAAAAA",VLOOKUP(D975,Nombres!A:D,4,FALSE))</f>
        <v>DEF</v>
      </c>
      <c r="F975" t="str">
        <f>IF(ISERROR(VLOOKUP(D975,Nombres!A:D,3,FALSE)),"PROBLEMAAAAAA",VLOOKUP(D975,Nombres!A:D,3,FALSE))</f>
        <v>Atlético</v>
      </c>
      <c r="G975">
        <v>12</v>
      </c>
      <c r="H975" s="2">
        <f t="shared" si="2"/>
        <v>1200000</v>
      </c>
      <c r="I975">
        <f t="shared" si="3"/>
        <v>2</v>
      </c>
      <c r="J975" t="str">
        <f>IF(ISERROR(VLOOKUP(D975,Nombres!A:D,2,FALSE)),"PROBLEMAAAAAA",VLOOKUP(D975,Nombres!A:D,2,FALSE))</f>
        <v>M. Llorente</v>
      </c>
    </row>
    <row r="976" spans="1:10" x14ac:dyDescent="0.25">
      <c r="A976">
        <v>9</v>
      </c>
      <c r="B976" s="1">
        <v>45947</v>
      </c>
      <c r="C976" t="s">
        <v>768</v>
      </c>
      <c r="D976" t="s">
        <v>103</v>
      </c>
      <c r="E976" t="str">
        <f>IF(ISERROR(VLOOKUP(D976,Nombres!A:D,4,FALSE)),"PROBLEMAAAAAA",VLOOKUP(D976,Nombres!A:D,4,FALSE))</f>
        <v>MED</v>
      </c>
      <c r="F976" t="str">
        <f>IF(ISERROR(VLOOKUP(D976,Nombres!A:D,3,FALSE)),"PROBLEMAAAAAA",VLOOKUP(D976,Nombres!A:D,3,FALSE))</f>
        <v>Alavés</v>
      </c>
      <c r="G976">
        <v>5</v>
      </c>
      <c r="H976" s="2">
        <f t="shared" si="2"/>
        <v>500000</v>
      </c>
      <c r="I976">
        <f t="shared" si="3"/>
        <v>3</v>
      </c>
      <c r="J976" t="str">
        <f>IF(ISERROR(VLOOKUP(D976,Nombres!A:D,2,FALSE)),"PROBLEMAAAAAA",VLOOKUP(D976,Nombres!A:D,2,FALSE))</f>
        <v>Blanco</v>
      </c>
    </row>
    <row r="977" spans="1:10" x14ac:dyDescent="0.25">
      <c r="A977">
        <v>9</v>
      </c>
      <c r="B977" s="1">
        <v>45947</v>
      </c>
      <c r="C977" t="s">
        <v>768</v>
      </c>
      <c r="D977" t="s">
        <v>263</v>
      </c>
      <c r="E977" t="str">
        <f>IF(ISERROR(VLOOKUP(D977,Nombres!A:D,4,FALSE)),"PROBLEMAAAAAA",VLOOKUP(D977,Nombres!A:D,4,FALSE))</f>
        <v>MED</v>
      </c>
      <c r="F977" t="str">
        <f>IF(ISERROR(VLOOKUP(D977,Nombres!A:D,3,FALSE)),"PROBLEMAAAAAA",VLOOKUP(D977,Nombres!A:D,3,FALSE))</f>
        <v>Levante</v>
      </c>
      <c r="G977">
        <v>5</v>
      </c>
      <c r="H977" s="2">
        <f t="shared" si="2"/>
        <v>500000</v>
      </c>
      <c r="I977">
        <f t="shared" si="3"/>
        <v>3</v>
      </c>
      <c r="J977" t="str">
        <f>IF(ISERROR(VLOOKUP(D977,Nombres!A:D,2,FALSE)),"PROBLEMAAAAAA",VLOOKUP(D977,Nombres!A:D,2,FALSE))</f>
        <v>Pablo Martínez</v>
      </c>
    </row>
    <row r="978" spans="1:10" x14ac:dyDescent="0.25">
      <c r="A978">
        <v>9</v>
      </c>
      <c r="B978" s="1">
        <v>45947</v>
      </c>
      <c r="C978" t="s">
        <v>768</v>
      </c>
      <c r="D978" t="s">
        <v>363</v>
      </c>
      <c r="E978" t="str">
        <f>IF(ISERROR(VLOOKUP(D978,Nombres!A:D,4,FALSE)),"PROBLEMAAAAAA",VLOOKUP(D978,Nombres!A:D,4,FALSE))</f>
        <v>MED</v>
      </c>
      <c r="F978" t="str">
        <f>IF(ISERROR(VLOOKUP(D978,Nombres!A:D,3,FALSE)),"PROBLEMAAAAAA",VLOOKUP(D978,Nombres!A:D,3,FALSE))</f>
        <v>Mallorca</v>
      </c>
      <c r="G978">
        <v>3</v>
      </c>
      <c r="H978" s="2">
        <f t="shared" si="2"/>
        <v>300000</v>
      </c>
      <c r="I978">
        <f t="shared" si="3"/>
        <v>3</v>
      </c>
      <c r="J978" t="str">
        <f>IF(ISERROR(VLOOKUP(D978,Nombres!A:D,2,FALSE)),"PROBLEMAAAAAA",VLOOKUP(D978,Nombres!A:D,2,FALSE))</f>
        <v>Morlanes</v>
      </c>
    </row>
    <row r="979" spans="1:10" x14ac:dyDescent="0.25">
      <c r="A979">
        <v>9</v>
      </c>
      <c r="B979" s="1">
        <v>45947</v>
      </c>
      <c r="C979" t="s">
        <v>768</v>
      </c>
      <c r="D979" t="s">
        <v>309</v>
      </c>
      <c r="E979" t="str">
        <f>IF(ISERROR(VLOOKUP(D979,Nombres!A:D,4,FALSE)),"PROBLEMAAAAAA",VLOOKUP(D979,Nombres!A:D,4,FALSE))</f>
        <v>DEL</v>
      </c>
      <c r="F979" t="str">
        <f>IF(ISERROR(VLOOKUP(D979,Nombres!A:D,3,FALSE)),"PROBLEMAAAAAA",VLOOKUP(D979,Nombres!A:D,3,FALSE))</f>
        <v>Sevilla</v>
      </c>
      <c r="G979">
        <v>1</v>
      </c>
      <c r="H979" s="2">
        <f t="shared" si="2"/>
        <v>100000</v>
      </c>
      <c r="I979">
        <f t="shared" si="3"/>
        <v>4</v>
      </c>
      <c r="J979" t="str">
        <f>IF(ISERROR(VLOOKUP(D979,Nombres!A:D,2,FALSE)),"PROBLEMAAAAAA",VLOOKUP(D979,Nombres!A:D,2,FALSE))</f>
        <v>Alexis</v>
      </c>
    </row>
    <row r="980" spans="1:10" x14ac:dyDescent="0.25">
      <c r="A980">
        <v>9</v>
      </c>
      <c r="B980" s="1">
        <v>45947</v>
      </c>
      <c r="C980" t="s">
        <v>768</v>
      </c>
      <c r="D980" t="s">
        <v>274</v>
      </c>
      <c r="E980" t="str">
        <f>IF(ISERROR(VLOOKUP(D980,Nombres!A:D,4,FALSE)),"PROBLEMAAAAAA",VLOOKUP(D980,Nombres!A:D,4,FALSE))</f>
        <v>DEL</v>
      </c>
      <c r="F980" t="str">
        <f>IF(ISERROR(VLOOKUP(D980,Nombres!A:D,3,FALSE)),"PROBLEMAAAAAA",VLOOKUP(D980,Nombres!A:D,3,FALSE))</f>
        <v>Levante</v>
      </c>
      <c r="G980">
        <v>2</v>
      </c>
      <c r="H980" s="2">
        <f t="shared" si="2"/>
        <v>200000</v>
      </c>
      <c r="I980">
        <f t="shared" si="3"/>
        <v>4</v>
      </c>
      <c r="J980" t="str">
        <f>IF(ISERROR(VLOOKUP(D980,Nombres!A:D,2,FALSE)),"PROBLEMAAAAAA",VLOOKUP(D980,Nombres!A:D,2,FALSE))</f>
        <v>Etta Eyong</v>
      </c>
    </row>
    <row r="981" spans="1:10" x14ac:dyDescent="0.25">
      <c r="A981">
        <v>10</v>
      </c>
      <c r="B981" s="1">
        <v>45947</v>
      </c>
      <c r="C981" t="s">
        <v>768</v>
      </c>
      <c r="D981" t="s">
        <v>113</v>
      </c>
      <c r="E981" t="str">
        <f>IF(ISERROR(VLOOKUP(D981,Nombres!A:D,4,FALSE)),"PROBLEMAAAAAA",VLOOKUP(D981,Nombres!A:D,4,FALSE))</f>
        <v>POR</v>
      </c>
      <c r="F981" t="str">
        <f>IF(ISERROR(VLOOKUP(D981,Nombres!A:D,3,FALSE)),"PROBLEMAAAAAA",VLOOKUP(D981,Nombres!A:D,3,FALSE))</f>
        <v>Espanyol</v>
      </c>
      <c r="G981">
        <v>12</v>
      </c>
      <c r="H981" s="2">
        <f t="shared" si="2"/>
        <v>1200000</v>
      </c>
      <c r="I981">
        <f t="shared" si="3"/>
        <v>1</v>
      </c>
      <c r="J981" t="str">
        <f>IF(ISERROR(VLOOKUP(D981,Nombres!A:D,2,FALSE)),"PROBLEMAAAAAA",VLOOKUP(D981,Nombres!A:D,2,FALSE))</f>
        <v>Dmitrovic</v>
      </c>
    </row>
    <row r="982" spans="1:10" x14ac:dyDescent="0.25">
      <c r="A982">
        <v>10</v>
      </c>
      <c r="B982" s="1">
        <v>45947</v>
      </c>
      <c r="C982" t="s">
        <v>768</v>
      </c>
      <c r="D982" t="s">
        <v>114</v>
      </c>
      <c r="E982" t="str">
        <f>IF(ISERROR(VLOOKUP(D982,Nombres!A:D,4,FALSE)),"PROBLEMAAAAAA",VLOOKUP(D982,Nombres!A:D,4,FALSE))</f>
        <v>DEF</v>
      </c>
      <c r="F982" t="str">
        <f>IF(ISERROR(VLOOKUP(D982,Nombres!A:D,3,FALSE)),"PROBLEMAAAAAA",VLOOKUP(D982,Nombres!A:D,3,FALSE))</f>
        <v>Real Sociedad</v>
      </c>
      <c r="G982">
        <v>5</v>
      </c>
      <c r="H982" s="2">
        <f t="shared" si="2"/>
        <v>500000</v>
      </c>
      <c r="I982">
        <f t="shared" si="3"/>
        <v>2</v>
      </c>
      <c r="J982" t="str">
        <f>IF(ISERROR(VLOOKUP(D982,Nombres!A:D,2,FALSE)),"PROBLEMAAAAAA",VLOOKUP(D982,Nombres!A:D,2,FALSE))</f>
        <v>Zubeldia</v>
      </c>
    </row>
    <row r="983" spans="1:10" x14ac:dyDescent="0.25">
      <c r="A983">
        <v>10</v>
      </c>
      <c r="B983" s="1">
        <v>45947</v>
      </c>
      <c r="C983" t="s">
        <v>768</v>
      </c>
      <c r="D983" t="s">
        <v>276</v>
      </c>
      <c r="E983" t="str">
        <f>IF(ISERROR(VLOOKUP(D983,Nombres!A:D,4,FALSE)),"PROBLEMAAAAAA",VLOOKUP(D983,Nombres!A:D,4,FALSE))</f>
        <v>DEF</v>
      </c>
      <c r="F983" t="str">
        <f>IF(ISERROR(VLOOKUP(D983,Nombres!A:D,3,FALSE)),"PROBLEMAAAAAA",VLOOKUP(D983,Nombres!A:D,3,FALSE))</f>
        <v>Espanyol</v>
      </c>
      <c r="G983">
        <v>4</v>
      </c>
      <c r="H983" s="2">
        <f t="shared" si="2"/>
        <v>400000</v>
      </c>
      <c r="I983">
        <f t="shared" si="3"/>
        <v>2</v>
      </c>
      <c r="J983" t="str">
        <f>IF(ISERROR(VLOOKUP(D983,Nombres!A:D,2,FALSE)),"PROBLEMAAAAAA",VLOOKUP(D983,Nombres!A:D,2,FALSE))</f>
        <v>El Hilali</v>
      </c>
    </row>
    <row r="984" spans="1:10" x14ac:dyDescent="0.25">
      <c r="A984">
        <v>10</v>
      </c>
      <c r="B984" s="1">
        <v>45947</v>
      </c>
      <c r="C984" t="s">
        <v>768</v>
      </c>
      <c r="D984" t="s">
        <v>296</v>
      </c>
      <c r="E984" t="str">
        <f>IF(ISERROR(VLOOKUP(D984,Nombres!A:D,4,FALSE)),"PROBLEMAAAAAA",VLOOKUP(D984,Nombres!A:D,4,FALSE))</f>
        <v>DEF</v>
      </c>
      <c r="F984" t="str">
        <f>IF(ISERROR(VLOOKUP(D984,Nombres!A:D,3,FALSE)),"PROBLEMAAAAAA",VLOOKUP(D984,Nombres!A:D,3,FALSE))</f>
        <v>Sevilla</v>
      </c>
      <c r="G984">
        <v>6</v>
      </c>
      <c r="H984" s="2">
        <f t="shared" si="2"/>
        <v>600000</v>
      </c>
      <c r="I984">
        <f t="shared" si="3"/>
        <v>2</v>
      </c>
      <c r="J984" t="str">
        <f>IF(ISERROR(VLOOKUP(D984,Nombres!A:D,2,FALSE)),"PROBLEMAAAAAA",VLOOKUP(D984,Nombres!A:D,2,FALSE))</f>
        <v>Suazo</v>
      </c>
    </row>
    <row r="985" spans="1:10" x14ac:dyDescent="0.25">
      <c r="A985">
        <v>10</v>
      </c>
      <c r="B985" s="1">
        <v>45947</v>
      </c>
      <c r="C985" t="s">
        <v>768</v>
      </c>
      <c r="D985" t="s">
        <v>765</v>
      </c>
      <c r="E985" t="str">
        <f>IF(ISERROR(VLOOKUP(D985,Nombres!A:D,4,FALSE)),"PROBLEMAAAAAA",VLOOKUP(D985,Nombres!A:D,4,FALSE))</f>
        <v>DEF</v>
      </c>
      <c r="F985" t="str">
        <f>IF(ISERROR(VLOOKUP(D985,Nombres!A:D,3,FALSE)),"PROBLEMAAAAAA",VLOOKUP(D985,Nombres!A:D,3,FALSE))</f>
        <v>Atlético</v>
      </c>
      <c r="G985">
        <v>9</v>
      </c>
      <c r="H985" s="2">
        <f t="shared" si="2"/>
        <v>900000</v>
      </c>
      <c r="I985">
        <f t="shared" si="3"/>
        <v>2</v>
      </c>
      <c r="J985" t="str">
        <f>IF(ISERROR(VLOOKUP(D985,Nombres!A:D,2,FALSE)),"PROBLEMAAAAAA",VLOOKUP(D985,Nombres!A:D,2,FALSE))</f>
        <v>M. Llorente</v>
      </c>
    </row>
    <row r="986" spans="1:10" x14ac:dyDescent="0.25">
      <c r="A986">
        <v>10</v>
      </c>
      <c r="B986" s="1">
        <v>45947</v>
      </c>
      <c r="C986" t="s">
        <v>768</v>
      </c>
      <c r="D986" t="s">
        <v>103</v>
      </c>
      <c r="E986" t="str">
        <f>IF(ISERROR(VLOOKUP(D986,Nombres!A:D,4,FALSE)),"PROBLEMAAAAAA",VLOOKUP(D986,Nombres!A:D,4,FALSE))</f>
        <v>MED</v>
      </c>
      <c r="F986" t="str">
        <f>IF(ISERROR(VLOOKUP(D986,Nombres!A:D,3,FALSE)),"PROBLEMAAAAAA",VLOOKUP(D986,Nombres!A:D,3,FALSE))</f>
        <v>Alavés</v>
      </c>
      <c r="G986">
        <v>0</v>
      </c>
      <c r="H986" s="2">
        <f t="shared" si="2"/>
        <v>0</v>
      </c>
      <c r="I986">
        <f t="shared" si="3"/>
        <v>3</v>
      </c>
      <c r="J986" t="str">
        <f>IF(ISERROR(VLOOKUP(D986,Nombres!A:D,2,FALSE)),"PROBLEMAAAAAA",VLOOKUP(D986,Nombres!A:D,2,FALSE))</f>
        <v>Blanco</v>
      </c>
    </row>
    <row r="987" spans="1:10" x14ac:dyDescent="0.25">
      <c r="A987">
        <v>10</v>
      </c>
      <c r="B987" s="1">
        <v>45947</v>
      </c>
      <c r="C987" t="s">
        <v>768</v>
      </c>
      <c r="D987" t="s">
        <v>263</v>
      </c>
      <c r="E987" t="str">
        <f>IF(ISERROR(VLOOKUP(D987,Nombres!A:D,4,FALSE)),"PROBLEMAAAAAA",VLOOKUP(D987,Nombres!A:D,4,FALSE))</f>
        <v>MED</v>
      </c>
      <c r="F987" t="str">
        <f>IF(ISERROR(VLOOKUP(D987,Nombres!A:D,3,FALSE)),"PROBLEMAAAAAA",VLOOKUP(D987,Nombres!A:D,3,FALSE))</f>
        <v>Levante</v>
      </c>
      <c r="G987">
        <v>4</v>
      </c>
      <c r="H987" s="2">
        <f t="shared" si="2"/>
        <v>400000</v>
      </c>
      <c r="I987">
        <f t="shared" si="3"/>
        <v>3</v>
      </c>
      <c r="J987" t="str">
        <f>IF(ISERROR(VLOOKUP(D987,Nombres!A:D,2,FALSE)),"PROBLEMAAAAAA",VLOOKUP(D987,Nombres!A:D,2,FALSE))</f>
        <v>Pablo Martínez</v>
      </c>
    </row>
    <row r="988" spans="1:10" x14ac:dyDescent="0.25">
      <c r="A988">
        <v>10</v>
      </c>
      <c r="B988" s="1">
        <v>45947</v>
      </c>
      <c r="C988" t="s">
        <v>768</v>
      </c>
      <c r="D988" t="s">
        <v>363</v>
      </c>
      <c r="E988" t="str">
        <f>IF(ISERROR(VLOOKUP(D988,Nombres!A:D,4,FALSE)),"PROBLEMAAAAAA",VLOOKUP(D988,Nombres!A:D,4,FALSE))</f>
        <v>MED</v>
      </c>
      <c r="F988" t="str">
        <f>IF(ISERROR(VLOOKUP(D988,Nombres!A:D,3,FALSE)),"PROBLEMAAAAAA",VLOOKUP(D988,Nombres!A:D,3,FALSE))</f>
        <v>Mallorca</v>
      </c>
      <c r="G988">
        <v>6</v>
      </c>
      <c r="H988" s="2">
        <f t="shared" si="2"/>
        <v>600000</v>
      </c>
      <c r="I988">
        <f t="shared" si="3"/>
        <v>3</v>
      </c>
      <c r="J988" t="str">
        <f>IF(ISERROR(VLOOKUP(D988,Nombres!A:D,2,FALSE)),"PROBLEMAAAAAA",VLOOKUP(D988,Nombres!A:D,2,FALSE))</f>
        <v>Morlanes</v>
      </c>
    </row>
    <row r="989" spans="1:10" x14ac:dyDescent="0.25">
      <c r="A989">
        <v>10</v>
      </c>
      <c r="B989" s="1">
        <v>45947</v>
      </c>
      <c r="C989" t="s">
        <v>768</v>
      </c>
      <c r="D989" t="s">
        <v>176</v>
      </c>
      <c r="E989" t="str">
        <f>IF(ISERROR(VLOOKUP(D989,Nombres!A:D,4,FALSE)),"PROBLEMAAAAAA",VLOOKUP(D989,Nombres!A:D,4,FALSE))</f>
        <v>MED</v>
      </c>
      <c r="F989" t="str">
        <f>IF(ISERROR(VLOOKUP(D989,Nombres!A:D,3,FALSE)),"PROBLEMAAAAAA",VLOOKUP(D989,Nombres!A:D,3,FALSE))</f>
        <v>Athletic</v>
      </c>
      <c r="G989">
        <v>5</v>
      </c>
      <c r="H989" s="2">
        <f t="shared" si="2"/>
        <v>500000</v>
      </c>
      <c r="I989">
        <f t="shared" si="3"/>
        <v>3</v>
      </c>
      <c r="J989" t="str">
        <f>IF(ISERROR(VLOOKUP(D989,Nombres!A:D,2,FALSE)),"PROBLEMAAAAAA",VLOOKUP(D989,Nombres!A:D,2,FALSE))</f>
        <v>Jauregizar</v>
      </c>
    </row>
    <row r="990" spans="1:10" x14ac:dyDescent="0.25">
      <c r="A990">
        <v>10</v>
      </c>
      <c r="B990" s="1">
        <v>45947</v>
      </c>
      <c r="C990" t="s">
        <v>768</v>
      </c>
      <c r="D990" t="s">
        <v>309</v>
      </c>
      <c r="E990" t="str">
        <f>IF(ISERROR(VLOOKUP(D990,Nombres!A:D,4,FALSE)),"PROBLEMAAAAAA",VLOOKUP(D990,Nombres!A:D,4,FALSE))</f>
        <v>DEL</v>
      </c>
      <c r="F990" t="str">
        <f>IF(ISERROR(VLOOKUP(D990,Nombres!A:D,3,FALSE)),"PROBLEMAAAAAA",VLOOKUP(D990,Nombres!A:D,3,FALSE))</f>
        <v>Sevilla</v>
      </c>
      <c r="G990">
        <v>0</v>
      </c>
      <c r="H990" s="2">
        <f t="shared" si="2"/>
        <v>0</v>
      </c>
      <c r="I990">
        <f t="shared" si="3"/>
        <v>4</v>
      </c>
      <c r="J990" t="str">
        <f>IF(ISERROR(VLOOKUP(D990,Nombres!A:D,2,FALSE)),"PROBLEMAAAAAA",VLOOKUP(D990,Nombres!A:D,2,FALSE))</f>
        <v>Alexis</v>
      </c>
    </row>
    <row r="991" spans="1:10" x14ac:dyDescent="0.25">
      <c r="A991">
        <v>10</v>
      </c>
      <c r="B991" s="1">
        <v>45947</v>
      </c>
      <c r="C991" t="s">
        <v>768</v>
      </c>
      <c r="D991" t="s">
        <v>274</v>
      </c>
      <c r="E991" t="str">
        <f>IF(ISERROR(VLOOKUP(D991,Nombres!A:D,4,FALSE)),"PROBLEMAAAAAA",VLOOKUP(D991,Nombres!A:D,4,FALSE))</f>
        <v>DEL</v>
      </c>
      <c r="F991" t="str">
        <f>IF(ISERROR(VLOOKUP(D991,Nombres!A:D,3,FALSE)),"PROBLEMAAAAAA",VLOOKUP(D991,Nombres!A:D,3,FALSE))</f>
        <v>Levante</v>
      </c>
      <c r="G991">
        <v>7</v>
      </c>
      <c r="H991" s="2">
        <f t="shared" si="2"/>
        <v>700000</v>
      </c>
      <c r="I991">
        <f t="shared" si="3"/>
        <v>4</v>
      </c>
      <c r="J991" t="str">
        <f>IF(ISERROR(VLOOKUP(D991,Nombres!A:D,2,FALSE)),"PROBLEMAAAAAA",VLOOKUP(D991,Nombres!A:D,2,FALSE))</f>
        <v>Etta Eyong</v>
      </c>
    </row>
    <row r="992" spans="1:10" x14ac:dyDescent="0.25">
      <c r="A992">
        <v>11</v>
      </c>
      <c r="B992" s="1">
        <v>45968</v>
      </c>
      <c r="C992" t="s">
        <v>768</v>
      </c>
      <c r="D992" t="s">
        <v>113</v>
      </c>
      <c r="E992" t="str">
        <f>IF(ISERROR(VLOOKUP(D992,Nombres!A:D,4,FALSE)),"PROBLEMAAAAAA",VLOOKUP(D992,Nombres!A:D,4,FALSE))</f>
        <v>POR</v>
      </c>
      <c r="F992" t="str">
        <f>IF(ISERROR(VLOOKUP(D992,Nombres!A:D,3,FALSE)),"PROBLEMAAAAAA",VLOOKUP(D992,Nombres!A:D,3,FALSE))</f>
        <v>Espanyol</v>
      </c>
      <c r="G992">
        <v>1</v>
      </c>
      <c r="H992" s="2">
        <f t="shared" si="2"/>
        <v>100000</v>
      </c>
      <c r="I992">
        <f t="shared" si="3"/>
        <v>1</v>
      </c>
      <c r="J992" t="str">
        <f>IF(ISERROR(VLOOKUP(D992,Nombres!A:D,2,FALSE)),"PROBLEMAAAAAA",VLOOKUP(D992,Nombres!A:D,2,FALSE))</f>
        <v>Dmitrovic</v>
      </c>
    </row>
    <row r="993" spans="1:10" x14ac:dyDescent="0.25">
      <c r="A993">
        <v>11</v>
      </c>
      <c r="B993" s="1">
        <v>45968</v>
      </c>
      <c r="C993" t="s">
        <v>768</v>
      </c>
      <c r="D993" t="s">
        <v>114</v>
      </c>
      <c r="E993" t="str">
        <f>IF(ISERROR(VLOOKUP(D993,Nombres!A:D,4,FALSE)),"PROBLEMAAAAAA",VLOOKUP(D993,Nombres!A:D,4,FALSE))</f>
        <v>DEF</v>
      </c>
      <c r="F993" t="str">
        <f>IF(ISERROR(VLOOKUP(D993,Nombres!A:D,3,FALSE)),"PROBLEMAAAAAA",VLOOKUP(D993,Nombres!A:D,3,FALSE))</f>
        <v>Real Sociedad</v>
      </c>
      <c r="G993">
        <v>3</v>
      </c>
      <c r="H993" s="2">
        <f t="shared" si="2"/>
        <v>300000</v>
      </c>
      <c r="I993">
        <f t="shared" si="3"/>
        <v>2</v>
      </c>
      <c r="J993" t="str">
        <f>IF(ISERROR(VLOOKUP(D993,Nombres!A:D,2,FALSE)),"PROBLEMAAAAAA",VLOOKUP(D993,Nombres!A:D,2,FALSE))</f>
        <v>Zubeldia</v>
      </c>
    </row>
    <row r="994" spans="1:10" x14ac:dyDescent="0.25">
      <c r="A994">
        <v>11</v>
      </c>
      <c r="B994" s="1">
        <v>45968</v>
      </c>
      <c r="C994" t="s">
        <v>768</v>
      </c>
      <c r="D994" t="s">
        <v>276</v>
      </c>
      <c r="E994" t="str">
        <f>IF(ISERROR(VLOOKUP(D994,Nombres!A:D,4,FALSE)),"PROBLEMAAAAAA",VLOOKUP(D994,Nombres!A:D,4,FALSE))</f>
        <v>DEF</v>
      </c>
      <c r="F994" t="str">
        <f>IF(ISERROR(VLOOKUP(D994,Nombres!A:D,3,FALSE)),"PROBLEMAAAAAA",VLOOKUP(D994,Nombres!A:D,3,FALSE))</f>
        <v>Espanyol</v>
      </c>
      <c r="G994">
        <v>1</v>
      </c>
      <c r="H994" s="2">
        <f t="shared" si="2"/>
        <v>100000</v>
      </c>
      <c r="I994">
        <f t="shared" si="3"/>
        <v>2</v>
      </c>
      <c r="J994" t="str">
        <f>IF(ISERROR(VLOOKUP(D994,Nombres!A:D,2,FALSE)),"PROBLEMAAAAAA",VLOOKUP(D994,Nombres!A:D,2,FALSE))</f>
        <v>El Hilali</v>
      </c>
    </row>
    <row r="995" spans="1:10" x14ac:dyDescent="0.25">
      <c r="A995">
        <v>11</v>
      </c>
      <c r="B995" s="1">
        <v>45968</v>
      </c>
      <c r="C995" t="s">
        <v>768</v>
      </c>
      <c r="D995" t="s">
        <v>296</v>
      </c>
      <c r="E995" t="str">
        <f>IF(ISERROR(VLOOKUP(D995,Nombres!A:D,4,FALSE)),"PROBLEMAAAAAA",VLOOKUP(D995,Nombres!A:D,4,FALSE))</f>
        <v>DEF</v>
      </c>
      <c r="F995" t="str">
        <f>IF(ISERROR(VLOOKUP(D995,Nombres!A:D,3,FALSE)),"PROBLEMAAAAAA",VLOOKUP(D995,Nombres!A:D,3,FALSE))</f>
        <v>Sevilla</v>
      </c>
      <c r="G995">
        <v>3</v>
      </c>
      <c r="H995" s="2">
        <f t="shared" si="2"/>
        <v>300000</v>
      </c>
      <c r="I995">
        <f t="shared" si="3"/>
        <v>2</v>
      </c>
      <c r="J995" t="str">
        <f>IF(ISERROR(VLOOKUP(D995,Nombres!A:D,2,FALSE)),"PROBLEMAAAAAA",VLOOKUP(D995,Nombres!A:D,2,FALSE))</f>
        <v>Suazo</v>
      </c>
    </row>
    <row r="996" spans="1:10" x14ac:dyDescent="0.25">
      <c r="A996">
        <v>11</v>
      </c>
      <c r="B996" s="1">
        <v>45968</v>
      </c>
      <c r="C996" t="s">
        <v>768</v>
      </c>
      <c r="D996" t="s">
        <v>363</v>
      </c>
      <c r="E996" t="str">
        <f>IF(ISERROR(VLOOKUP(D996,Nombres!A:D,4,FALSE)),"PROBLEMAAAAAA",VLOOKUP(D996,Nombres!A:D,4,FALSE))</f>
        <v>MED</v>
      </c>
      <c r="F996" t="str">
        <f>IF(ISERROR(VLOOKUP(D996,Nombres!A:D,3,FALSE)),"PROBLEMAAAAAA",VLOOKUP(D996,Nombres!A:D,3,FALSE))</f>
        <v>Mallorca</v>
      </c>
      <c r="G996">
        <v>3</v>
      </c>
      <c r="H996" s="2">
        <f t="shared" si="2"/>
        <v>300000</v>
      </c>
      <c r="I996">
        <f t="shared" si="3"/>
        <v>3</v>
      </c>
      <c r="J996" t="str">
        <f>IF(ISERROR(VLOOKUP(D996,Nombres!A:D,2,FALSE)),"PROBLEMAAAAAA",VLOOKUP(D996,Nombres!A:D,2,FALSE))</f>
        <v>Morlanes</v>
      </c>
    </row>
    <row r="997" spans="1:10" x14ac:dyDescent="0.25">
      <c r="A997">
        <v>11</v>
      </c>
      <c r="B997" s="1">
        <v>45968</v>
      </c>
      <c r="C997" t="s">
        <v>768</v>
      </c>
      <c r="D997" t="s">
        <v>176</v>
      </c>
      <c r="E997" t="str">
        <f>IF(ISERROR(VLOOKUP(D997,Nombres!A:D,4,FALSE)),"PROBLEMAAAAAA",VLOOKUP(D997,Nombres!A:D,4,FALSE))</f>
        <v>MED</v>
      </c>
      <c r="F997" t="str">
        <f>IF(ISERROR(VLOOKUP(D997,Nombres!A:D,3,FALSE)),"PROBLEMAAAAAA",VLOOKUP(D997,Nombres!A:D,3,FALSE))</f>
        <v>Athletic</v>
      </c>
      <c r="G997">
        <v>3</v>
      </c>
      <c r="H997" s="2">
        <f t="shared" si="2"/>
        <v>300000</v>
      </c>
      <c r="I997">
        <f t="shared" si="3"/>
        <v>3</v>
      </c>
      <c r="J997" t="str">
        <f>IF(ISERROR(VLOOKUP(D997,Nombres!A:D,2,FALSE)),"PROBLEMAAAAAA",VLOOKUP(D997,Nombres!A:D,2,FALSE))</f>
        <v>Jauregizar</v>
      </c>
    </row>
    <row r="998" spans="1:10" x14ac:dyDescent="0.25">
      <c r="A998">
        <v>11</v>
      </c>
      <c r="B998" s="1">
        <v>45968</v>
      </c>
      <c r="C998" t="s">
        <v>768</v>
      </c>
      <c r="D998" t="s">
        <v>88</v>
      </c>
      <c r="E998" t="str">
        <f>IF(ISERROR(VLOOKUP(D998,Nombres!A:D,4,FALSE)),"PROBLEMAAAAAA",VLOOKUP(D998,Nombres!A:D,4,FALSE))</f>
        <v>MED</v>
      </c>
      <c r="F998" t="str">
        <f>IF(ISERROR(VLOOKUP(D998,Nombres!A:D,3,FALSE)),"PROBLEMAAAAAA",VLOOKUP(D998,Nombres!A:D,3,FALSE))</f>
        <v>Osasuna</v>
      </c>
      <c r="G998">
        <v>8</v>
      </c>
      <c r="H998" s="2">
        <f t="shared" si="2"/>
        <v>800000</v>
      </c>
      <c r="I998">
        <f t="shared" si="3"/>
        <v>3</v>
      </c>
      <c r="J998" t="str">
        <f>IF(ISERROR(VLOOKUP(D998,Nombres!A:D,2,FALSE)),"PROBLEMAAAAAA",VLOOKUP(D998,Nombres!A:D,2,FALSE))</f>
        <v>Moncayola</v>
      </c>
    </row>
    <row r="999" spans="1:10" x14ac:dyDescent="0.25">
      <c r="A999">
        <v>11</v>
      </c>
      <c r="B999" s="1">
        <v>45968</v>
      </c>
      <c r="C999" t="s">
        <v>768</v>
      </c>
      <c r="D999" t="s">
        <v>37</v>
      </c>
      <c r="E999" t="str">
        <f>IF(ISERROR(VLOOKUP(D999,Nombres!A:D,4,FALSE)),"PROBLEMAAAAAA",VLOOKUP(D999,Nombres!A:D,4,FALSE))</f>
        <v>MED</v>
      </c>
      <c r="F999" t="str">
        <f>IF(ISERROR(VLOOKUP(D999,Nombres!A:D,3,FALSE)),"PROBLEMAAAAAA",VLOOKUP(D999,Nombres!A:D,3,FALSE))</f>
        <v>Osasuna</v>
      </c>
      <c r="G999">
        <v>6</v>
      </c>
      <c r="H999" s="2">
        <f t="shared" si="2"/>
        <v>600000</v>
      </c>
      <c r="I999">
        <f t="shared" si="3"/>
        <v>3</v>
      </c>
      <c r="J999" t="str">
        <f>IF(ISERROR(VLOOKUP(D999,Nombres!A:D,2,FALSE)),"PROBLEMAAAAAA",VLOOKUP(D999,Nombres!A:D,2,FALSE))</f>
        <v>Rubén G.</v>
      </c>
    </row>
    <row r="1000" spans="1:10" x14ac:dyDescent="0.25">
      <c r="A1000">
        <v>11</v>
      </c>
      <c r="B1000" s="1">
        <v>45968</v>
      </c>
      <c r="C1000" t="s">
        <v>768</v>
      </c>
      <c r="D1000" t="s">
        <v>132</v>
      </c>
      <c r="E1000" t="str">
        <f>IF(ISERROR(VLOOKUP(D1000,Nombres!A:D,4,FALSE)),"PROBLEMAAAAAA",VLOOKUP(D1000,Nombres!A:D,4,FALSE))</f>
        <v>MED</v>
      </c>
      <c r="F1000" t="str">
        <f>IF(ISERROR(VLOOKUP(D1000,Nombres!A:D,3,FALSE)),"PROBLEMAAAAAA",VLOOKUP(D1000,Nombres!A:D,3,FALSE))</f>
        <v>Sevilla</v>
      </c>
      <c r="G1000">
        <v>3</v>
      </c>
      <c r="H1000" s="2">
        <f t="shared" si="2"/>
        <v>300000</v>
      </c>
      <c r="I1000">
        <f t="shared" si="3"/>
        <v>3</v>
      </c>
      <c r="J1000" t="str">
        <f>IF(ISERROR(VLOOKUP(D1000,Nombres!A:D,2,FALSE)),"PROBLEMAAAAAA",VLOOKUP(D1000,Nombres!A:D,2,FALSE))</f>
        <v>Sow</v>
      </c>
    </row>
    <row r="1001" spans="1:10" x14ac:dyDescent="0.25">
      <c r="A1001">
        <v>11</v>
      </c>
      <c r="B1001" s="1">
        <v>45968</v>
      </c>
      <c r="C1001" t="s">
        <v>768</v>
      </c>
      <c r="D1001" t="s">
        <v>275</v>
      </c>
      <c r="E1001" t="str">
        <f>IF(ISERROR(VLOOKUP(D1001,Nombres!A:D,4,FALSE)),"PROBLEMAAAAAA",VLOOKUP(D1001,Nombres!A:D,4,FALSE))</f>
        <v>DEL</v>
      </c>
      <c r="F1001" t="str">
        <f>IF(ISERROR(VLOOKUP(D1001,Nombres!A:D,3,FALSE)),"PROBLEMAAAAAA",VLOOKUP(D1001,Nombres!A:D,3,FALSE))</f>
        <v>Valencia</v>
      </c>
      <c r="G1001">
        <v>2</v>
      </c>
      <c r="H1001" s="2">
        <f t="shared" si="2"/>
        <v>200000</v>
      </c>
      <c r="I1001">
        <f t="shared" si="3"/>
        <v>4</v>
      </c>
      <c r="J1001" t="str">
        <f>IF(ISERROR(VLOOKUP(D1001,Nombres!A:D,2,FALSE)),"PROBLEMAAAAAA",VLOOKUP(D1001,Nombres!A:D,2,FALSE))</f>
        <v>Danjuma</v>
      </c>
    </row>
    <row r="1002" spans="1:10" x14ac:dyDescent="0.25">
      <c r="A1002">
        <v>11</v>
      </c>
      <c r="B1002" s="1">
        <v>45968</v>
      </c>
      <c r="C1002" t="s">
        <v>768</v>
      </c>
      <c r="D1002" t="s">
        <v>257</v>
      </c>
      <c r="E1002" t="str">
        <f>IF(ISERROR(VLOOKUP(D1002,Nombres!A:D,4,FALSE)),"PROBLEMAAAAAA",VLOOKUP(D1002,Nombres!A:D,4,FALSE))</f>
        <v>DEL</v>
      </c>
      <c r="F1002" t="str">
        <f>IF(ISERROR(VLOOKUP(D1002,Nombres!A:D,3,FALSE)),"PROBLEMAAAAAA",VLOOKUP(D1002,Nombres!A:D,3,FALSE))</f>
        <v>Atlético</v>
      </c>
      <c r="G1002">
        <v>12</v>
      </c>
      <c r="H1002" s="2">
        <f t="shared" si="2"/>
        <v>1200000</v>
      </c>
      <c r="I1002">
        <f t="shared" si="3"/>
        <v>4</v>
      </c>
      <c r="J1002" t="str">
        <f>IF(ISERROR(VLOOKUP(D1002,Nombres!A:D,2,FALSE)),"PROBLEMAAAAAA",VLOOKUP(D1002,Nombres!A:D,2,FALSE))</f>
        <v>Alvarez</v>
      </c>
    </row>
    <row r="1003" spans="1:10" x14ac:dyDescent="0.25">
      <c r="A1003">
        <v>12</v>
      </c>
      <c r="B1003" s="1">
        <v>45968</v>
      </c>
      <c r="C1003" t="s">
        <v>768</v>
      </c>
      <c r="D1003" t="s">
        <v>113</v>
      </c>
      <c r="E1003" t="str">
        <f>IF(ISERROR(VLOOKUP(D1003,Nombres!A:D,4,FALSE)),"PROBLEMAAAAAA",VLOOKUP(D1003,Nombres!A:D,4,FALSE))</f>
        <v>POR</v>
      </c>
      <c r="F1003" t="str">
        <f>IF(ISERROR(VLOOKUP(D1003,Nombres!A:D,3,FALSE)),"PROBLEMAAAAAA",VLOOKUP(D1003,Nombres!A:D,3,FALSE))</f>
        <v>Espanyol</v>
      </c>
      <c r="G1003">
        <v>2</v>
      </c>
      <c r="H1003" s="2">
        <f t="shared" si="2"/>
        <v>200000</v>
      </c>
      <c r="I1003">
        <f t="shared" si="3"/>
        <v>1</v>
      </c>
      <c r="J1003" t="str">
        <f>IF(ISERROR(VLOOKUP(D1003,Nombres!A:D,2,FALSE)),"PROBLEMAAAAAA",VLOOKUP(D1003,Nombres!A:D,2,FALSE))</f>
        <v>Dmitrovic</v>
      </c>
    </row>
    <row r="1004" spans="1:10" x14ac:dyDescent="0.25">
      <c r="A1004">
        <v>12</v>
      </c>
      <c r="B1004" s="1">
        <v>45968</v>
      </c>
      <c r="C1004" t="s">
        <v>768</v>
      </c>
      <c r="D1004" t="s">
        <v>114</v>
      </c>
      <c r="E1004" t="str">
        <f>IF(ISERROR(VLOOKUP(D1004,Nombres!A:D,4,FALSE)),"PROBLEMAAAAAA",VLOOKUP(D1004,Nombres!A:D,4,FALSE))</f>
        <v>DEF</v>
      </c>
      <c r="F1004" t="str">
        <f>IF(ISERROR(VLOOKUP(D1004,Nombres!A:D,3,FALSE)),"PROBLEMAAAAAA",VLOOKUP(D1004,Nombres!A:D,3,FALSE))</f>
        <v>Real Sociedad</v>
      </c>
      <c r="G1004">
        <v>5</v>
      </c>
      <c r="H1004" s="2">
        <f t="shared" si="2"/>
        <v>500000</v>
      </c>
      <c r="I1004">
        <f t="shared" si="3"/>
        <v>2</v>
      </c>
      <c r="J1004" t="str">
        <f>IF(ISERROR(VLOOKUP(D1004,Nombres!A:D,2,FALSE)),"PROBLEMAAAAAA",VLOOKUP(D1004,Nombres!A:D,2,FALSE))</f>
        <v>Zubeldia</v>
      </c>
    </row>
    <row r="1005" spans="1:10" x14ac:dyDescent="0.25">
      <c r="A1005">
        <v>12</v>
      </c>
      <c r="B1005" s="1">
        <v>45968</v>
      </c>
      <c r="C1005" t="s">
        <v>768</v>
      </c>
      <c r="D1005" t="s">
        <v>276</v>
      </c>
      <c r="E1005" t="str">
        <f>IF(ISERROR(VLOOKUP(D1005,Nombres!A:D,4,FALSE)),"PROBLEMAAAAAA",VLOOKUP(D1005,Nombres!A:D,4,FALSE))</f>
        <v>DEF</v>
      </c>
      <c r="F1005" t="str">
        <f>IF(ISERROR(VLOOKUP(D1005,Nombres!A:D,3,FALSE)),"PROBLEMAAAAAA",VLOOKUP(D1005,Nombres!A:D,3,FALSE))</f>
        <v>Espanyol</v>
      </c>
      <c r="G1005">
        <v>5</v>
      </c>
      <c r="H1005" s="2">
        <f t="shared" si="2"/>
        <v>500000</v>
      </c>
      <c r="I1005">
        <f t="shared" si="3"/>
        <v>2</v>
      </c>
      <c r="J1005" t="str">
        <f>IF(ISERROR(VLOOKUP(D1005,Nombres!A:D,2,FALSE)),"PROBLEMAAAAAA",VLOOKUP(D1005,Nombres!A:D,2,FALSE))</f>
        <v>El Hilali</v>
      </c>
    </row>
    <row r="1006" spans="1:10" x14ac:dyDescent="0.25">
      <c r="A1006">
        <v>12</v>
      </c>
      <c r="B1006" s="1">
        <v>45968</v>
      </c>
      <c r="C1006" t="s">
        <v>768</v>
      </c>
      <c r="D1006" t="s">
        <v>296</v>
      </c>
      <c r="E1006" t="str">
        <f>IF(ISERROR(VLOOKUP(D1006,Nombres!A:D,4,FALSE)),"PROBLEMAAAAAA",VLOOKUP(D1006,Nombres!A:D,4,FALSE))</f>
        <v>DEF</v>
      </c>
      <c r="F1006" t="str">
        <f>IF(ISERROR(VLOOKUP(D1006,Nombres!A:D,3,FALSE)),"PROBLEMAAAAAA",VLOOKUP(D1006,Nombres!A:D,3,FALSE))</f>
        <v>Sevilla</v>
      </c>
      <c r="G1006">
        <v>7</v>
      </c>
      <c r="H1006" s="2">
        <f t="shared" si="2"/>
        <v>700000</v>
      </c>
      <c r="I1006">
        <f t="shared" si="3"/>
        <v>2</v>
      </c>
      <c r="J1006" t="str">
        <f>IF(ISERROR(VLOOKUP(D1006,Nombres!A:D,2,FALSE)),"PROBLEMAAAAAA",VLOOKUP(D1006,Nombres!A:D,2,FALSE))</f>
        <v>Suazo</v>
      </c>
    </row>
    <row r="1007" spans="1:10" x14ac:dyDescent="0.25">
      <c r="A1007">
        <v>12</v>
      </c>
      <c r="B1007" s="1">
        <v>45968</v>
      </c>
      <c r="C1007" t="s">
        <v>768</v>
      </c>
      <c r="D1007" t="s">
        <v>103</v>
      </c>
      <c r="E1007" t="str">
        <f>IF(ISERROR(VLOOKUP(D1007,Nombres!A:D,4,FALSE)),"PROBLEMAAAAAA",VLOOKUP(D1007,Nombres!A:D,4,FALSE))</f>
        <v>MED</v>
      </c>
      <c r="F1007" t="str">
        <f>IF(ISERROR(VLOOKUP(D1007,Nombres!A:D,3,FALSE)),"PROBLEMAAAAAA",VLOOKUP(D1007,Nombres!A:D,3,FALSE))</f>
        <v>Alavés</v>
      </c>
      <c r="G1007">
        <v>4</v>
      </c>
      <c r="H1007" s="2">
        <f t="shared" si="2"/>
        <v>400000</v>
      </c>
      <c r="I1007">
        <f t="shared" si="3"/>
        <v>3</v>
      </c>
      <c r="J1007" t="str">
        <f>IF(ISERROR(VLOOKUP(D1007,Nombres!A:D,2,FALSE)),"PROBLEMAAAAAA",VLOOKUP(D1007,Nombres!A:D,2,FALSE))</f>
        <v>Blanco</v>
      </c>
    </row>
    <row r="1008" spans="1:10" x14ac:dyDescent="0.25">
      <c r="A1008">
        <v>12</v>
      </c>
      <c r="B1008" s="1">
        <v>45968</v>
      </c>
      <c r="C1008" t="s">
        <v>768</v>
      </c>
      <c r="D1008" t="s">
        <v>363</v>
      </c>
      <c r="E1008" t="str">
        <f>IF(ISERROR(VLOOKUP(D1008,Nombres!A:D,4,FALSE)),"PROBLEMAAAAAA",VLOOKUP(D1008,Nombres!A:D,4,FALSE))</f>
        <v>MED</v>
      </c>
      <c r="F1008" t="str">
        <f>IF(ISERROR(VLOOKUP(D1008,Nombres!A:D,3,FALSE)),"PROBLEMAAAAAA",VLOOKUP(D1008,Nombres!A:D,3,FALSE))</f>
        <v>Mallorca</v>
      </c>
      <c r="G1008">
        <v>2</v>
      </c>
      <c r="H1008" s="2">
        <f t="shared" si="2"/>
        <v>200000</v>
      </c>
      <c r="I1008">
        <f t="shared" si="3"/>
        <v>3</v>
      </c>
      <c r="J1008" t="str">
        <f>IF(ISERROR(VLOOKUP(D1008,Nombres!A:D,2,FALSE)),"PROBLEMAAAAAA",VLOOKUP(D1008,Nombres!A:D,2,FALSE))</f>
        <v>Morlanes</v>
      </c>
    </row>
    <row r="1009" spans="1:10" x14ac:dyDescent="0.25">
      <c r="A1009">
        <v>12</v>
      </c>
      <c r="B1009" s="1">
        <v>45968</v>
      </c>
      <c r="C1009" t="s">
        <v>768</v>
      </c>
      <c r="D1009" t="s">
        <v>88</v>
      </c>
      <c r="E1009" t="str">
        <f>IF(ISERROR(VLOOKUP(D1009,Nombres!A:D,4,FALSE)),"PROBLEMAAAAAA",VLOOKUP(D1009,Nombres!A:D,4,FALSE))</f>
        <v>MED</v>
      </c>
      <c r="F1009" t="str">
        <f>IF(ISERROR(VLOOKUP(D1009,Nombres!A:D,3,FALSE)),"PROBLEMAAAAAA",VLOOKUP(D1009,Nombres!A:D,3,FALSE))</f>
        <v>Osasuna</v>
      </c>
      <c r="G1009">
        <v>2</v>
      </c>
      <c r="H1009" s="2">
        <f t="shared" si="2"/>
        <v>200000</v>
      </c>
      <c r="I1009">
        <f t="shared" si="3"/>
        <v>3</v>
      </c>
      <c r="J1009" t="str">
        <f>IF(ISERROR(VLOOKUP(D1009,Nombres!A:D,2,FALSE)),"PROBLEMAAAAAA",VLOOKUP(D1009,Nombres!A:D,2,FALSE))</f>
        <v>Moncayola</v>
      </c>
    </row>
    <row r="1010" spans="1:10" x14ac:dyDescent="0.25">
      <c r="A1010">
        <v>12</v>
      </c>
      <c r="B1010" s="1">
        <v>45968</v>
      </c>
      <c r="C1010" t="s">
        <v>768</v>
      </c>
      <c r="D1010" t="s">
        <v>37</v>
      </c>
      <c r="E1010" t="str">
        <f>IF(ISERROR(VLOOKUP(D1010,Nombres!A:D,4,FALSE)),"PROBLEMAAAAAA",VLOOKUP(D1010,Nombres!A:D,4,FALSE))</f>
        <v>MED</v>
      </c>
      <c r="F1010" t="str">
        <f>IF(ISERROR(VLOOKUP(D1010,Nombres!A:D,3,FALSE)),"PROBLEMAAAAAA",VLOOKUP(D1010,Nombres!A:D,3,FALSE))</f>
        <v>Osasuna</v>
      </c>
      <c r="G1010">
        <v>4</v>
      </c>
      <c r="H1010" s="2">
        <f t="shared" ref="H1010:H1073" si="4">G1010*100000</f>
        <v>400000</v>
      </c>
      <c r="I1010">
        <f t="shared" ref="I1010:I1073" si="5">IF(E1010="POR",1,IF(E1010="DEF",2,IF(E1010="MED",3,4)))</f>
        <v>3</v>
      </c>
      <c r="J1010" t="str">
        <f>IF(ISERROR(VLOOKUP(D1010,Nombres!A:D,2,FALSE)),"PROBLEMAAAAAA",VLOOKUP(D1010,Nombres!A:D,2,FALSE))</f>
        <v>Rubén G.</v>
      </c>
    </row>
    <row r="1011" spans="1:10" x14ac:dyDescent="0.25">
      <c r="A1011">
        <v>12</v>
      </c>
      <c r="B1011" s="1">
        <v>45968</v>
      </c>
      <c r="C1011" t="s">
        <v>768</v>
      </c>
      <c r="D1011" t="s">
        <v>132</v>
      </c>
      <c r="E1011" t="str">
        <f>IF(ISERROR(VLOOKUP(D1011,Nombres!A:D,4,FALSE)),"PROBLEMAAAAAA",VLOOKUP(D1011,Nombres!A:D,4,FALSE))</f>
        <v>MED</v>
      </c>
      <c r="F1011" t="str">
        <f>IF(ISERROR(VLOOKUP(D1011,Nombres!A:D,3,FALSE)),"PROBLEMAAAAAA",VLOOKUP(D1011,Nombres!A:D,3,FALSE))</f>
        <v>Sevilla</v>
      </c>
      <c r="G1011">
        <v>3</v>
      </c>
      <c r="H1011" s="2">
        <f t="shared" si="4"/>
        <v>300000</v>
      </c>
      <c r="I1011">
        <f t="shared" si="5"/>
        <v>3</v>
      </c>
      <c r="J1011" t="str">
        <f>IF(ISERROR(VLOOKUP(D1011,Nombres!A:D,2,FALSE)),"PROBLEMAAAAAA",VLOOKUP(D1011,Nombres!A:D,2,FALSE))</f>
        <v>Sow</v>
      </c>
    </row>
    <row r="1012" spans="1:10" x14ac:dyDescent="0.25">
      <c r="A1012">
        <v>12</v>
      </c>
      <c r="B1012" s="1">
        <v>45968</v>
      </c>
      <c r="C1012" t="s">
        <v>768</v>
      </c>
      <c r="D1012" t="s">
        <v>275</v>
      </c>
      <c r="E1012" t="str">
        <f>IF(ISERROR(VLOOKUP(D1012,Nombres!A:D,4,FALSE)),"PROBLEMAAAAAA",VLOOKUP(D1012,Nombres!A:D,4,FALSE))</f>
        <v>DEL</v>
      </c>
      <c r="F1012" t="str">
        <f>IF(ISERROR(VLOOKUP(D1012,Nombres!A:D,3,FALSE)),"PROBLEMAAAAAA",VLOOKUP(D1012,Nombres!A:D,3,FALSE))</f>
        <v>Valencia</v>
      </c>
      <c r="G1012">
        <v>9</v>
      </c>
      <c r="H1012" s="2">
        <f t="shared" si="4"/>
        <v>900000</v>
      </c>
      <c r="I1012">
        <f t="shared" si="5"/>
        <v>4</v>
      </c>
      <c r="J1012" t="str">
        <f>IF(ISERROR(VLOOKUP(D1012,Nombres!A:D,2,FALSE)),"PROBLEMAAAAAA",VLOOKUP(D1012,Nombres!A:D,2,FALSE))</f>
        <v>Danjuma</v>
      </c>
    </row>
    <row r="1013" spans="1:10" x14ac:dyDescent="0.25">
      <c r="A1013">
        <v>12</v>
      </c>
      <c r="B1013" s="1">
        <v>45968</v>
      </c>
      <c r="C1013" t="s">
        <v>768</v>
      </c>
      <c r="D1013" t="s">
        <v>257</v>
      </c>
      <c r="E1013" t="str">
        <f>IF(ISERROR(VLOOKUP(D1013,Nombres!A:D,4,FALSE)),"PROBLEMAAAAAA",VLOOKUP(D1013,Nombres!A:D,4,FALSE))</f>
        <v>DEL</v>
      </c>
      <c r="F1013" t="str">
        <f>IF(ISERROR(VLOOKUP(D1013,Nombres!A:D,3,FALSE)),"PROBLEMAAAAAA",VLOOKUP(D1013,Nombres!A:D,3,FALSE))</f>
        <v>Atlético</v>
      </c>
      <c r="G1013">
        <v>8</v>
      </c>
      <c r="H1013" s="2">
        <f t="shared" si="4"/>
        <v>800000</v>
      </c>
      <c r="I1013">
        <f t="shared" si="5"/>
        <v>4</v>
      </c>
      <c r="J1013" t="str">
        <f>IF(ISERROR(VLOOKUP(D1013,Nombres!A:D,2,FALSE)),"PROBLEMAAAAAA",VLOOKUP(D1013,Nombres!A:D,2,FALSE))</f>
        <v>Alvarez</v>
      </c>
    </row>
    <row r="1014" spans="1:10" x14ac:dyDescent="0.25">
      <c r="A1014">
        <v>9</v>
      </c>
      <c r="B1014" s="1">
        <v>45947</v>
      </c>
      <c r="C1014" t="s">
        <v>11</v>
      </c>
      <c r="D1014" t="s">
        <v>171</v>
      </c>
      <c r="E1014" t="str">
        <f>IF(ISERROR(VLOOKUP(D1014,Nombres!A:D,4,FALSE)),"PROBLEMAAAAAA",VLOOKUP(D1014,Nombres!A:D,4,FALSE))</f>
        <v>POR</v>
      </c>
      <c r="F1014" t="str">
        <f>IF(ISERROR(VLOOKUP(D1014,Nombres!A:D,3,FALSE)),"PROBLEMAAAAAA",VLOOKUP(D1014,Nombres!A:D,3,FALSE))</f>
        <v>Rayo</v>
      </c>
      <c r="G1014">
        <v>13</v>
      </c>
      <c r="H1014" s="2">
        <f t="shared" si="4"/>
        <v>1300000</v>
      </c>
      <c r="I1014">
        <f t="shared" si="5"/>
        <v>1</v>
      </c>
      <c r="J1014" t="str">
        <f>IF(ISERROR(VLOOKUP(D1014,Nombres!A:D,2,FALSE)),"PROBLEMAAAAAA",VLOOKUP(D1014,Nombres!A:D,2,FALSE))</f>
        <v>Batalla</v>
      </c>
    </row>
    <row r="1015" spans="1:10" x14ac:dyDescent="0.25">
      <c r="A1015">
        <v>9</v>
      </c>
      <c r="B1015" s="1">
        <v>45947</v>
      </c>
      <c r="C1015" t="s">
        <v>11</v>
      </c>
      <c r="D1015" t="s">
        <v>445</v>
      </c>
      <c r="E1015" t="str">
        <f>IF(ISERROR(VLOOKUP(D1015,Nombres!A:D,4,FALSE)),"PROBLEMAAAAAA",VLOOKUP(D1015,Nombres!A:D,4,FALSE))</f>
        <v>DEF</v>
      </c>
      <c r="F1015" t="str">
        <f>IF(ISERROR(VLOOKUP(D1015,Nombres!A:D,3,FALSE)),"PROBLEMAAAAAA",VLOOKUP(D1015,Nombres!A:D,3,FALSE))</f>
        <v>Atlético</v>
      </c>
      <c r="G1015">
        <v>0</v>
      </c>
      <c r="H1015" s="2">
        <f t="shared" si="4"/>
        <v>0</v>
      </c>
      <c r="I1015">
        <f t="shared" si="5"/>
        <v>2</v>
      </c>
      <c r="J1015" t="str">
        <f>IF(ISERROR(VLOOKUP(D1015,Nombres!A:D,2,FALSE)),"PROBLEMAAAAAA",VLOOKUP(D1015,Nombres!A:D,2,FALSE))</f>
        <v>Pubill</v>
      </c>
    </row>
    <row r="1016" spans="1:10" x14ac:dyDescent="0.25">
      <c r="A1016">
        <v>9</v>
      </c>
      <c r="B1016" s="1">
        <v>45947</v>
      </c>
      <c r="C1016" t="s">
        <v>11</v>
      </c>
      <c r="D1016" t="s">
        <v>152</v>
      </c>
      <c r="E1016" t="str">
        <f>IF(ISERROR(VLOOKUP(D1016,Nombres!A:D,4,FALSE)),"PROBLEMAAAAAA",VLOOKUP(D1016,Nombres!A:D,4,FALSE))</f>
        <v>DEF</v>
      </c>
      <c r="F1016" t="str">
        <f>IF(ISERROR(VLOOKUP(D1016,Nombres!A:D,3,FALSE)),"PROBLEMAAAAAA",VLOOKUP(D1016,Nombres!A:D,3,FALSE))</f>
        <v>Barcelona</v>
      </c>
      <c r="G1016">
        <v>6</v>
      </c>
      <c r="H1016" s="2">
        <f t="shared" si="4"/>
        <v>600000</v>
      </c>
      <c r="I1016">
        <f t="shared" si="5"/>
        <v>2</v>
      </c>
      <c r="J1016" t="str">
        <f>IF(ISERROR(VLOOKUP(D1016,Nombres!A:D,2,FALSE)),"PROBLEMAAAAAA",VLOOKUP(D1016,Nombres!A:D,2,FALSE))</f>
        <v>Eric García</v>
      </c>
    </row>
    <row r="1017" spans="1:10" x14ac:dyDescent="0.25">
      <c r="A1017">
        <v>9</v>
      </c>
      <c r="B1017" s="1">
        <v>45947</v>
      </c>
      <c r="C1017" t="s">
        <v>11</v>
      </c>
      <c r="D1017" t="s">
        <v>197</v>
      </c>
      <c r="E1017" t="str">
        <f>IF(ISERROR(VLOOKUP(D1017,Nombres!A:D,4,FALSE)),"PROBLEMAAAAAA",VLOOKUP(D1017,Nombres!A:D,4,FALSE))</f>
        <v>DEF</v>
      </c>
      <c r="F1017" t="str">
        <f>IF(ISERROR(VLOOKUP(D1017,Nombres!A:D,3,FALSE)),"PROBLEMAAAAAA",VLOOKUP(D1017,Nombres!A:D,3,FALSE))</f>
        <v>Mallorca</v>
      </c>
      <c r="G1017">
        <v>4</v>
      </c>
      <c r="H1017" s="2">
        <f t="shared" si="4"/>
        <v>400000</v>
      </c>
      <c r="I1017">
        <f t="shared" si="5"/>
        <v>2</v>
      </c>
      <c r="J1017" t="str">
        <f>IF(ISERROR(VLOOKUP(D1017,Nombres!A:D,2,FALSE)),"PROBLEMAAAAAA",VLOOKUP(D1017,Nombres!A:D,2,FALSE))</f>
        <v>Valjent</v>
      </c>
    </row>
    <row r="1018" spans="1:10" x14ac:dyDescent="0.25">
      <c r="A1018">
        <v>9</v>
      </c>
      <c r="B1018" s="1">
        <v>45947</v>
      </c>
      <c r="C1018" t="s">
        <v>11</v>
      </c>
      <c r="D1018" t="s">
        <v>107</v>
      </c>
      <c r="E1018" t="str">
        <f>IF(ISERROR(VLOOKUP(D1018,Nombres!A:D,4,FALSE)),"PROBLEMAAAAAA",VLOOKUP(D1018,Nombres!A:D,4,FALSE))</f>
        <v>DEF</v>
      </c>
      <c r="F1018" t="str">
        <f>IF(ISERROR(VLOOKUP(D1018,Nombres!A:D,3,FALSE)),"PROBLEMAAAAAA",VLOOKUP(D1018,Nombres!A:D,3,FALSE))</f>
        <v>Atlético</v>
      </c>
      <c r="G1018">
        <v>7</v>
      </c>
      <c r="H1018" s="2">
        <f t="shared" si="4"/>
        <v>700000</v>
      </c>
      <c r="I1018">
        <f t="shared" si="5"/>
        <v>2</v>
      </c>
      <c r="J1018" t="str">
        <f>IF(ISERROR(VLOOKUP(D1018,Nombres!A:D,2,FALSE)),"PROBLEMAAAAAA",VLOOKUP(D1018,Nombres!A:D,2,FALSE))</f>
        <v>Hancko</v>
      </c>
    </row>
    <row r="1019" spans="1:10" x14ac:dyDescent="0.25">
      <c r="A1019">
        <v>9</v>
      </c>
      <c r="B1019" s="1">
        <v>45947</v>
      </c>
      <c r="C1019" t="s">
        <v>11</v>
      </c>
      <c r="D1019" t="s">
        <v>104</v>
      </c>
      <c r="E1019" t="str">
        <f>IF(ISERROR(VLOOKUP(D1019,Nombres!A:D,4,FALSE)),"PROBLEMAAAAAA",VLOOKUP(D1019,Nombres!A:D,4,FALSE))</f>
        <v>MED</v>
      </c>
      <c r="F1019" t="str">
        <f>IF(ISERROR(VLOOKUP(D1019,Nombres!A:D,3,FALSE)),"PROBLEMAAAAAA",VLOOKUP(D1019,Nombres!A:D,3,FALSE))</f>
        <v>Valencia</v>
      </c>
      <c r="G1019">
        <v>6</v>
      </c>
      <c r="H1019" s="2">
        <f t="shared" si="4"/>
        <v>600000</v>
      </c>
      <c r="I1019">
        <f t="shared" si="5"/>
        <v>3</v>
      </c>
      <c r="J1019" t="str">
        <f>IF(ISERROR(VLOOKUP(D1019,Nombres!A:D,2,FALSE)),"PROBLEMAAAAAA",VLOOKUP(D1019,Nombres!A:D,2,FALSE))</f>
        <v>Javi Guerra</v>
      </c>
    </row>
    <row r="1020" spans="1:10" x14ac:dyDescent="0.25">
      <c r="A1020">
        <v>9</v>
      </c>
      <c r="B1020" s="1">
        <v>45947</v>
      </c>
      <c r="C1020" t="s">
        <v>11</v>
      </c>
      <c r="D1020" t="s">
        <v>425</v>
      </c>
      <c r="E1020" t="str">
        <f>IF(ISERROR(VLOOKUP(D1020,Nombres!A:D,4,FALSE)),"PROBLEMAAAAAA",VLOOKUP(D1020,Nombres!A:D,4,FALSE))</f>
        <v>MED</v>
      </c>
      <c r="F1020" t="str">
        <f>IF(ISERROR(VLOOKUP(D1020,Nombres!A:D,3,FALSE)),"PROBLEMAAAAAA",VLOOKUP(D1020,Nombres!A:D,3,FALSE))</f>
        <v>Real Madrid</v>
      </c>
      <c r="G1020">
        <v>9</v>
      </c>
      <c r="H1020" s="2">
        <f t="shared" si="4"/>
        <v>900000</v>
      </c>
      <c r="I1020">
        <f t="shared" si="5"/>
        <v>3</v>
      </c>
      <c r="J1020" t="str">
        <f>IF(ISERROR(VLOOKUP(D1020,Nombres!A:D,2,FALSE)),"PROBLEMAAAAAA",VLOOKUP(D1020,Nombres!A:D,2,FALSE))</f>
        <v>Bellingham</v>
      </c>
    </row>
    <row r="1021" spans="1:10" x14ac:dyDescent="0.25">
      <c r="A1021">
        <v>9</v>
      </c>
      <c r="B1021" s="1">
        <v>45947</v>
      </c>
      <c r="C1021" t="s">
        <v>11</v>
      </c>
      <c r="D1021" t="s">
        <v>156</v>
      </c>
      <c r="E1021" t="str">
        <f>IF(ISERROR(VLOOKUP(D1021,Nombres!A:D,4,FALSE)),"PROBLEMAAAAAA",VLOOKUP(D1021,Nombres!A:D,4,FALSE))</f>
        <v>MED</v>
      </c>
      <c r="F1021" t="str">
        <f>IF(ISERROR(VLOOKUP(D1021,Nombres!A:D,3,FALSE)),"PROBLEMAAAAAA",VLOOKUP(D1021,Nombres!A:D,3,FALSE))</f>
        <v>Atlético</v>
      </c>
      <c r="G1021">
        <v>2</v>
      </c>
      <c r="H1021" s="2">
        <f t="shared" si="4"/>
        <v>200000</v>
      </c>
      <c r="I1021">
        <f t="shared" si="5"/>
        <v>3</v>
      </c>
      <c r="J1021" t="str">
        <f>IF(ISERROR(VLOOKUP(D1021,Nombres!A:D,2,FALSE)),"PROBLEMAAAAAA",VLOOKUP(D1021,Nombres!A:D,2,FALSE))</f>
        <v>Koke</v>
      </c>
    </row>
    <row r="1022" spans="1:10" x14ac:dyDescent="0.25">
      <c r="A1022">
        <v>9</v>
      </c>
      <c r="B1022" s="1">
        <v>45947</v>
      </c>
      <c r="C1022" t="s">
        <v>11</v>
      </c>
      <c r="D1022" t="s">
        <v>257</v>
      </c>
      <c r="E1022" t="str">
        <f>IF(ISERROR(VLOOKUP(D1022,Nombres!A:D,4,FALSE)),"PROBLEMAAAAAA",VLOOKUP(D1022,Nombres!A:D,4,FALSE))</f>
        <v>DEL</v>
      </c>
      <c r="F1022" t="str">
        <f>IF(ISERROR(VLOOKUP(D1022,Nombres!A:D,3,FALSE)),"PROBLEMAAAAAA",VLOOKUP(D1022,Nombres!A:D,3,FALSE))</f>
        <v>Atlético</v>
      </c>
      <c r="G1022">
        <v>9</v>
      </c>
      <c r="H1022" s="2">
        <f t="shared" si="4"/>
        <v>900000</v>
      </c>
      <c r="I1022">
        <f t="shared" si="5"/>
        <v>4</v>
      </c>
      <c r="J1022" t="str">
        <f>IF(ISERROR(VLOOKUP(D1022,Nombres!A:D,2,FALSE)),"PROBLEMAAAAAA",VLOOKUP(D1022,Nombres!A:D,2,FALSE))</f>
        <v>Alvarez</v>
      </c>
    </row>
    <row r="1023" spans="1:10" x14ac:dyDescent="0.25">
      <c r="A1023">
        <v>9</v>
      </c>
      <c r="B1023" s="1">
        <v>45947</v>
      </c>
      <c r="C1023" t="s">
        <v>11</v>
      </c>
      <c r="D1023" t="s">
        <v>270</v>
      </c>
      <c r="E1023" t="str">
        <f>IF(ISERROR(VLOOKUP(D1023,Nombres!A:D,4,FALSE)),"PROBLEMAAAAAA",VLOOKUP(D1023,Nombres!A:D,4,FALSE))</f>
        <v>DEL</v>
      </c>
      <c r="F1023" t="str">
        <f>IF(ISERROR(VLOOKUP(D1023,Nombres!A:D,3,FALSE)),"PROBLEMAAAAAA",VLOOKUP(D1023,Nombres!A:D,3,FALSE))</f>
        <v>Osasuna</v>
      </c>
      <c r="G1023">
        <v>1</v>
      </c>
      <c r="H1023" s="2">
        <f t="shared" si="4"/>
        <v>100000</v>
      </c>
      <c r="I1023">
        <f t="shared" si="5"/>
        <v>4</v>
      </c>
      <c r="J1023" t="str">
        <f>IF(ISERROR(VLOOKUP(D1023,Nombres!A:D,2,FALSE)),"PROBLEMAAAAAA",VLOOKUP(D1023,Nombres!A:D,2,FALSE))</f>
        <v>Víctor Muñoz</v>
      </c>
    </row>
    <row r="1024" spans="1:10" x14ac:dyDescent="0.25">
      <c r="A1024">
        <v>9</v>
      </c>
      <c r="B1024" s="1">
        <v>45947</v>
      </c>
      <c r="C1024" t="s">
        <v>11</v>
      </c>
      <c r="D1024" t="s">
        <v>689</v>
      </c>
      <c r="E1024" t="str">
        <f>IF(ISERROR(VLOOKUP(D1024,Nombres!A:D,4,FALSE)),"PROBLEMAAAAAA",VLOOKUP(D1024,Nombres!A:D,4,FALSE))</f>
        <v>DEL</v>
      </c>
      <c r="F1024" t="str">
        <f>IF(ISERROR(VLOOKUP(D1024,Nombres!A:D,3,FALSE)),"PROBLEMAAAAAA",VLOOKUP(D1024,Nombres!A:D,3,FALSE))</f>
        <v>Barcelona</v>
      </c>
      <c r="G1024">
        <v>5</v>
      </c>
      <c r="H1024" s="2">
        <f t="shared" si="4"/>
        <v>500000</v>
      </c>
      <c r="I1024">
        <f t="shared" si="5"/>
        <v>4</v>
      </c>
      <c r="J1024" t="str">
        <f>IF(ISERROR(VLOOKUP(D1024,Nombres!A:D,2,FALSE)),"PROBLEMAAAAAA",VLOOKUP(D1024,Nombres!A:D,2,FALSE))</f>
        <v>Rashford</v>
      </c>
    </row>
    <row r="1025" spans="1:10" x14ac:dyDescent="0.25">
      <c r="A1025">
        <v>10</v>
      </c>
      <c r="B1025" s="1">
        <v>45947</v>
      </c>
      <c r="C1025" t="s">
        <v>11</v>
      </c>
      <c r="D1025" t="s">
        <v>171</v>
      </c>
      <c r="E1025" t="str">
        <f>IF(ISERROR(VLOOKUP(D1025,Nombres!A:D,4,FALSE)),"PROBLEMAAAAAA",VLOOKUP(D1025,Nombres!A:D,4,FALSE))</f>
        <v>POR</v>
      </c>
      <c r="F1025" t="str">
        <f>IF(ISERROR(VLOOKUP(D1025,Nombres!A:D,3,FALSE)),"PROBLEMAAAAAA",VLOOKUP(D1025,Nombres!A:D,3,FALSE))</f>
        <v>Rayo</v>
      </c>
      <c r="G1025">
        <v>10</v>
      </c>
      <c r="H1025" s="2">
        <f t="shared" si="4"/>
        <v>1000000</v>
      </c>
      <c r="I1025">
        <f t="shared" si="5"/>
        <v>1</v>
      </c>
      <c r="J1025" t="str">
        <f>IF(ISERROR(VLOOKUP(D1025,Nombres!A:D,2,FALSE)),"PROBLEMAAAAAA",VLOOKUP(D1025,Nombres!A:D,2,FALSE))</f>
        <v>Batalla</v>
      </c>
    </row>
    <row r="1026" spans="1:10" x14ac:dyDescent="0.25">
      <c r="A1026">
        <v>10</v>
      </c>
      <c r="B1026" s="1">
        <v>45947</v>
      </c>
      <c r="C1026" t="s">
        <v>11</v>
      </c>
      <c r="D1026" t="s">
        <v>233</v>
      </c>
      <c r="E1026" t="str">
        <f>IF(ISERROR(VLOOKUP(D1026,Nombres!A:D,4,FALSE)),"PROBLEMAAAAAA",VLOOKUP(D1026,Nombres!A:D,4,FALSE))</f>
        <v>DEF</v>
      </c>
      <c r="F1026" t="str">
        <f>IF(ISERROR(VLOOKUP(D1026,Nombres!A:D,3,FALSE)),"PROBLEMAAAAAA",VLOOKUP(D1026,Nombres!A:D,3,FALSE))</f>
        <v>Elche</v>
      </c>
      <c r="G1026">
        <v>5</v>
      </c>
      <c r="H1026" s="2">
        <f t="shared" si="4"/>
        <v>500000</v>
      </c>
      <c r="I1026">
        <f t="shared" si="5"/>
        <v>2</v>
      </c>
      <c r="J1026" t="str">
        <f>IF(ISERROR(VLOOKUP(D1026,Nombres!A:D,2,FALSE)),"PROBLEMAAAAAA",VLOOKUP(D1026,Nombres!A:D,2,FALSE))</f>
        <v>Affengruber</v>
      </c>
    </row>
    <row r="1027" spans="1:10" x14ac:dyDescent="0.25">
      <c r="A1027">
        <v>10</v>
      </c>
      <c r="B1027" s="1">
        <v>45947</v>
      </c>
      <c r="C1027" t="s">
        <v>11</v>
      </c>
      <c r="D1027" t="s">
        <v>115</v>
      </c>
      <c r="E1027" t="str">
        <f>IF(ISERROR(VLOOKUP(D1027,Nombres!A:D,4,FALSE)),"PROBLEMAAAAAA",VLOOKUP(D1027,Nombres!A:D,4,FALSE))</f>
        <v>DEF</v>
      </c>
      <c r="F1027" t="str">
        <f>IF(ISERROR(VLOOKUP(D1027,Nombres!A:D,3,FALSE)),"PROBLEMAAAAAA",VLOOKUP(D1027,Nombres!A:D,3,FALSE))</f>
        <v>Osasuna</v>
      </c>
      <c r="G1027">
        <v>-1</v>
      </c>
      <c r="H1027" s="2">
        <f t="shared" si="4"/>
        <v>-100000</v>
      </c>
      <c r="I1027">
        <f t="shared" si="5"/>
        <v>2</v>
      </c>
      <c r="J1027" t="str">
        <f>IF(ISERROR(VLOOKUP(D1027,Nombres!A:D,2,FALSE)),"PROBLEMAAAAAA",VLOOKUP(D1027,Nombres!A:D,2,FALSE))</f>
        <v>Boyomo</v>
      </c>
    </row>
    <row r="1028" spans="1:10" x14ac:dyDescent="0.25">
      <c r="A1028">
        <v>10</v>
      </c>
      <c r="B1028" s="1">
        <v>45947</v>
      </c>
      <c r="C1028" t="s">
        <v>11</v>
      </c>
      <c r="D1028" t="s">
        <v>334</v>
      </c>
      <c r="E1028" t="str">
        <f>IF(ISERROR(VLOOKUP(D1028,Nombres!A:D,4,FALSE)),"PROBLEMAAAAAA",VLOOKUP(D1028,Nombres!A:D,4,FALSE))</f>
        <v>DEF</v>
      </c>
      <c r="F1028" t="str">
        <f>IF(ISERROR(VLOOKUP(D1028,Nombres!A:D,3,FALSE)),"PROBLEMAAAAAA",VLOOKUP(D1028,Nombres!A:D,3,FALSE))</f>
        <v>Getafe</v>
      </c>
      <c r="G1028">
        <v>7</v>
      </c>
      <c r="H1028" s="2">
        <f t="shared" si="4"/>
        <v>700000</v>
      </c>
      <c r="I1028">
        <f t="shared" si="5"/>
        <v>2</v>
      </c>
      <c r="J1028" t="str">
        <f>IF(ISERROR(VLOOKUP(D1028,Nombres!A:D,2,FALSE)),"PROBLEMAAAAAA",VLOOKUP(D1028,Nombres!A:D,2,FALSE))</f>
        <v>Femenia</v>
      </c>
    </row>
    <row r="1029" spans="1:10" x14ac:dyDescent="0.25">
      <c r="A1029">
        <v>10</v>
      </c>
      <c r="B1029" s="1">
        <v>45947</v>
      </c>
      <c r="C1029" t="s">
        <v>11</v>
      </c>
      <c r="D1029" t="s">
        <v>152</v>
      </c>
      <c r="E1029" t="str">
        <f>IF(ISERROR(VLOOKUP(D1029,Nombres!A:D,4,FALSE)),"PROBLEMAAAAAA",VLOOKUP(D1029,Nombres!A:D,4,FALSE))</f>
        <v>DEF</v>
      </c>
      <c r="F1029" t="str">
        <f>IF(ISERROR(VLOOKUP(D1029,Nombres!A:D,3,FALSE)),"PROBLEMAAAAAA",VLOOKUP(D1029,Nombres!A:D,3,FALSE))</f>
        <v>Barcelona</v>
      </c>
      <c r="G1029">
        <v>-1</v>
      </c>
      <c r="H1029" s="2">
        <f t="shared" si="4"/>
        <v>-100000</v>
      </c>
      <c r="I1029">
        <f t="shared" si="5"/>
        <v>2</v>
      </c>
      <c r="J1029" t="str">
        <f>IF(ISERROR(VLOOKUP(D1029,Nombres!A:D,2,FALSE)),"PROBLEMAAAAAA",VLOOKUP(D1029,Nombres!A:D,2,FALSE))</f>
        <v>Eric García</v>
      </c>
    </row>
    <row r="1030" spans="1:10" x14ac:dyDescent="0.25">
      <c r="A1030">
        <v>10</v>
      </c>
      <c r="B1030" s="1">
        <v>45947</v>
      </c>
      <c r="C1030" t="s">
        <v>11</v>
      </c>
      <c r="D1030" t="s">
        <v>698</v>
      </c>
      <c r="E1030" t="str">
        <f>IF(ISERROR(VLOOKUP(D1030,Nombres!A:D,4,FALSE)),"PROBLEMAAAAAA",VLOOKUP(D1030,Nombres!A:D,4,FALSE))</f>
        <v>DEF</v>
      </c>
      <c r="F1030" t="str">
        <f>IF(ISERROR(VLOOKUP(D1030,Nombres!A:D,3,FALSE)),"PROBLEMAAAAAA",VLOOKUP(D1030,Nombres!A:D,3,FALSE))</f>
        <v>Espanyol</v>
      </c>
      <c r="G1030">
        <v>4</v>
      </c>
      <c r="H1030" s="2">
        <f t="shared" si="4"/>
        <v>400000</v>
      </c>
      <c r="I1030">
        <f t="shared" si="5"/>
        <v>2</v>
      </c>
      <c r="J1030" t="str">
        <f>IF(ISERROR(VLOOKUP(D1030,Nombres!A:D,2,FALSE)),"PROBLEMAAAAAA",VLOOKUP(D1030,Nombres!A:D,2,FALSE))</f>
        <v>Riedel</v>
      </c>
    </row>
    <row r="1031" spans="1:10" x14ac:dyDescent="0.25">
      <c r="A1031">
        <v>10</v>
      </c>
      <c r="B1031" s="1">
        <v>45947</v>
      </c>
      <c r="C1031" t="s">
        <v>11</v>
      </c>
      <c r="D1031" t="s">
        <v>425</v>
      </c>
      <c r="E1031" t="str">
        <f>IF(ISERROR(VLOOKUP(D1031,Nombres!A:D,4,FALSE)),"PROBLEMAAAAAA",VLOOKUP(D1031,Nombres!A:D,4,FALSE))</f>
        <v>MED</v>
      </c>
      <c r="F1031" t="str">
        <f>IF(ISERROR(VLOOKUP(D1031,Nombres!A:D,3,FALSE)),"PROBLEMAAAAAA",VLOOKUP(D1031,Nombres!A:D,3,FALSE))</f>
        <v>Real Madrid</v>
      </c>
      <c r="G1031">
        <v>16</v>
      </c>
      <c r="H1031" s="2">
        <f t="shared" si="4"/>
        <v>1600000</v>
      </c>
      <c r="I1031">
        <f t="shared" si="5"/>
        <v>3</v>
      </c>
      <c r="J1031" t="str">
        <f>IF(ISERROR(VLOOKUP(D1031,Nombres!A:D,2,FALSE)),"PROBLEMAAAAAA",VLOOKUP(D1031,Nombres!A:D,2,FALSE))</f>
        <v>Bellingham</v>
      </c>
    </row>
    <row r="1032" spans="1:10" x14ac:dyDescent="0.25">
      <c r="A1032">
        <v>10</v>
      </c>
      <c r="B1032" s="1">
        <v>45947</v>
      </c>
      <c r="C1032" t="s">
        <v>11</v>
      </c>
      <c r="D1032" t="s">
        <v>156</v>
      </c>
      <c r="E1032" t="str">
        <f>IF(ISERROR(VLOOKUP(D1032,Nombres!A:D,4,FALSE)),"PROBLEMAAAAAA",VLOOKUP(D1032,Nombres!A:D,4,FALSE))</f>
        <v>MED</v>
      </c>
      <c r="F1032" t="str">
        <f>IF(ISERROR(VLOOKUP(D1032,Nombres!A:D,3,FALSE)),"PROBLEMAAAAAA",VLOOKUP(D1032,Nombres!A:D,3,FALSE))</f>
        <v>Atlético</v>
      </c>
      <c r="G1032">
        <v>10</v>
      </c>
      <c r="H1032" s="2">
        <f t="shared" si="4"/>
        <v>1000000</v>
      </c>
      <c r="I1032">
        <f t="shared" si="5"/>
        <v>3</v>
      </c>
      <c r="J1032" t="str">
        <f>IF(ISERROR(VLOOKUP(D1032,Nombres!A:D,2,FALSE)),"PROBLEMAAAAAA",VLOOKUP(D1032,Nombres!A:D,2,FALSE))</f>
        <v>Koke</v>
      </c>
    </row>
    <row r="1033" spans="1:10" x14ac:dyDescent="0.25">
      <c r="A1033">
        <v>10</v>
      </c>
      <c r="B1033" s="1">
        <v>45947</v>
      </c>
      <c r="C1033" t="s">
        <v>11</v>
      </c>
      <c r="D1033" t="s">
        <v>110</v>
      </c>
      <c r="E1033" t="str">
        <f>IF(ISERROR(VLOOKUP(D1033,Nombres!A:D,4,FALSE)),"PROBLEMAAAAAA",VLOOKUP(D1033,Nombres!A:D,4,FALSE))</f>
        <v>MED</v>
      </c>
      <c r="F1033" t="str">
        <f>IF(ISERROR(VLOOKUP(D1033,Nombres!A:D,3,FALSE)),"PROBLEMAAAAAA",VLOOKUP(D1033,Nombres!A:D,3,FALSE))</f>
        <v>Atlético</v>
      </c>
      <c r="G1033">
        <v>2</v>
      </c>
      <c r="H1033" s="2">
        <f t="shared" si="4"/>
        <v>200000</v>
      </c>
      <c r="I1033">
        <f t="shared" si="5"/>
        <v>3</v>
      </c>
      <c r="J1033" t="str">
        <f>IF(ISERROR(VLOOKUP(D1033,Nombres!A:D,2,FALSE)),"PROBLEMAAAAAA",VLOOKUP(D1033,Nombres!A:D,2,FALSE))</f>
        <v>Almada</v>
      </c>
    </row>
    <row r="1034" spans="1:10" x14ac:dyDescent="0.25">
      <c r="A1034">
        <v>10</v>
      </c>
      <c r="B1034" s="1">
        <v>45947</v>
      </c>
      <c r="C1034" t="s">
        <v>11</v>
      </c>
      <c r="D1034" t="s">
        <v>257</v>
      </c>
      <c r="E1034" t="str">
        <f>IF(ISERROR(VLOOKUP(D1034,Nombres!A:D,4,FALSE)),"PROBLEMAAAAAA",VLOOKUP(D1034,Nombres!A:D,4,FALSE))</f>
        <v>DEL</v>
      </c>
      <c r="F1034" t="str">
        <f>IF(ISERROR(VLOOKUP(D1034,Nombres!A:D,3,FALSE)),"PROBLEMAAAAAA",VLOOKUP(D1034,Nombres!A:D,3,FALSE))</f>
        <v>Atlético</v>
      </c>
      <c r="G1034">
        <v>10</v>
      </c>
      <c r="H1034" s="2">
        <f t="shared" si="4"/>
        <v>1000000</v>
      </c>
      <c r="I1034">
        <f t="shared" si="5"/>
        <v>4</v>
      </c>
      <c r="J1034" t="str">
        <f>IF(ISERROR(VLOOKUP(D1034,Nombres!A:D,2,FALSE)),"PROBLEMAAAAAA",VLOOKUP(D1034,Nombres!A:D,2,FALSE))</f>
        <v>Alvarez</v>
      </c>
    </row>
    <row r="1035" spans="1:10" x14ac:dyDescent="0.25">
      <c r="A1035">
        <v>10</v>
      </c>
      <c r="B1035" s="1">
        <v>45947</v>
      </c>
      <c r="C1035" t="s">
        <v>11</v>
      </c>
      <c r="D1035" t="s">
        <v>689</v>
      </c>
      <c r="E1035" t="str">
        <f>IF(ISERROR(VLOOKUP(D1035,Nombres!A:D,4,FALSE)),"PROBLEMAAAAAA",VLOOKUP(D1035,Nombres!A:D,4,FALSE))</f>
        <v>DEL</v>
      </c>
      <c r="F1035" t="str">
        <f>IF(ISERROR(VLOOKUP(D1035,Nombres!A:D,3,FALSE)),"PROBLEMAAAAAA",VLOOKUP(D1035,Nombres!A:D,3,FALSE))</f>
        <v>Barcelona</v>
      </c>
      <c r="G1035">
        <v>9</v>
      </c>
      <c r="H1035" s="2">
        <f t="shared" si="4"/>
        <v>900000</v>
      </c>
      <c r="I1035">
        <f t="shared" si="5"/>
        <v>4</v>
      </c>
      <c r="J1035" t="str">
        <f>IF(ISERROR(VLOOKUP(D1035,Nombres!A:D,2,FALSE)),"PROBLEMAAAAAA",VLOOKUP(D1035,Nombres!A:D,2,FALSE))</f>
        <v>Rashford</v>
      </c>
    </row>
    <row r="1036" spans="1:10" x14ac:dyDescent="0.25">
      <c r="A1036">
        <v>11</v>
      </c>
      <c r="B1036" s="1">
        <v>45968</v>
      </c>
      <c r="C1036" t="s">
        <v>11</v>
      </c>
      <c r="D1036" t="s">
        <v>171</v>
      </c>
      <c r="E1036" t="str">
        <f>IF(ISERROR(VLOOKUP(D1036,Nombres!A:D,4,FALSE)),"PROBLEMAAAAAA",VLOOKUP(D1036,Nombres!A:D,4,FALSE))</f>
        <v>POR</v>
      </c>
      <c r="F1036" t="str">
        <f>IF(ISERROR(VLOOKUP(D1036,Nombres!A:D,3,FALSE)),"PROBLEMAAAAAA",VLOOKUP(D1036,Nombres!A:D,3,FALSE))</f>
        <v>Rayo</v>
      </c>
      <c r="G1036">
        <v>0</v>
      </c>
      <c r="H1036" s="2">
        <f t="shared" si="4"/>
        <v>0</v>
      </c>
      <c r="I1036">
        <f t="shared" si="5"/>
        <v>1</v>
      </c>
      <c r="J1036" t="str">
        <f>IF(ISERROR(VLOOKUP(D1036,Nombres!A:D,2,FALSE)),"PROBLEMAAAAAA",VLOOKUP(D1036,Nombres!A:D,2,FALSE))</f>
        <v>Batalla</v>
      </c>
    </row>
    <row r="1037" spans="1:10" x14ac:dyDescent="0.25">
      <c r="A1037">
        <v>11</v>
      </c>
      <c r="B1037" s="1">
        <v>45968</v>
      </c>
      <c r="C1037" t="s">
        <v>11</v>
      </c>
      <c r="D1037" t="s">
        <v>233</v>
      </c>
      <c r="E1037" t="str">
        <f>IF(ISERROR(VLOOKUP(D1037,Nombres!A:D,4,FALSE)),"PROBLEMAAAAAA",VLOOKUP(D1037,Nombres!A:D,4,FALSE))</f>
        <v>DEF</v>
      </c>
      <c r="F1037" t="str">
        <f>IF(ISERROR(VLOOKUP(D1037,Nombres!A:D,3,FALSE)),"PROBLEMAAAAAA",VLOOKUP(D1037,Nombres!A:D,3,FALSE))</f>
        <v>Elche</v>
      </c>
      <c r="G1037">
        <v>0</v>
      </c>
      <c r="H1037" s="2">
        <f t="shared" si="4"/>
        <v>0</v>
      </c>
      <c r="I1037">
        <f t="shared" si="5"/>
        <v>2</v>
      </c>
      <c r="J1037" t="str">
        <f>IF(ISERROR(VLOOKUP(D1037,Nombres!A:D,2,FALSE)),"PROBLEMAAAAAA",VLOOKUP(D1037,Nombres!A:D,2,FALSE))</f>
        <v>Affengruber</v>
      </c>
    </row>
    <row r="1038" spans="1:10" x14ac:dyDescent="0.25">
      <c r="A1038">
        <v>11</v>
      </c>
      <c r="B1038" s="1">
        <v>45968</v>
      </c>
      <c r="C1038" t="s">
        <v>11</v>
      </c>
      <c r="D1038" t="s">
        <v>115</v>
      </c>
      <c r="E1038" t="str">
        <f>IF(ISERROR(VLOOKUP(D1038,Nombres!A:D,4,FALSE)),"PROBLEMAAAAAA",VLOOKUP(D1038,Nombres!A:D,4,FALSE))</f>
        <v>DEF</v>
      </c>
      <c r="F1038" t="str">
        <f>IF(ISERROR(VLOOKUP(D1038,Nombres!A:D,3,FALSE)),"PROBLEMAAAAAA",VLOOKUP(D1038,Nombres!A:D,3,FALSE))</f>
        <v>Osasuna</v>
      </c>
      <c r="G1038">
        <v>8</v>
      </c>
      <c r="H1038" s="2">
        <f t="shared" si="4"/>
        <v>800000</v>
      </c>
      <c r="I1038">
        <f t="shared" si="5"/>
        <v>2</v>
      </c>
      <c r="J1038" t="str">
        <f>IF(ISERROR(VLOOKUP(D1038,Nombres!A:D,2,FALSE)),"PROBLEMAAAAAA",VLOOKUP(D1038,Nombres!A:D,2,FALSE))</f>
        <v>Boyomo</v>
      </c>
    </row>
    <row r="1039" spans="1:10" x14ac:dyDescent="0.25">
      <c r="A1039">
        <v>11</v>
      </c>
      <c r="B1039" s="1">
        <v>45968</v>
      </c>
      <c r="C1039" t="s">
        <v>11</v>
      </c>
      <c r="D1039" t="s">
        <v>698</v>
      </c>
      <c r="E1039" t="str">
        <f>IF(ISERROR(VLOOKUP(D1039,Nombres!A:D,4,FALSE)),"PROBLEMAAAAAA",VLOOKUP(D1039,Nombres!A:D,4,FALSE))</f>
        <v>DEF</v>
      </c>
      <c r="F1039" t="str">
        <f>IF(ISERROR(VLOOKUP(D1039,Nombres!A:D,3,FALSE)),"PROBLEMAAAAAA",VLOOKUP(D1039,Nombres!A:D,3,FALSE))</f>
        <v>Espanyol</v>
      </c>
      <c r="G1039">
        <v>2</v>
      </c>
      <c r="H1039" s="2">
        <f t="shared" si="4"/>
        <v>200000</v>
      </c>
      <c r="I1039">
        <f t="shared" si="5"/>
        <v>2</v>
      </c>
      <c r="J1039" t="str">
        <f>IF(ISERROR(VLOOKUP(D1039,Nombres!A:D,2,FALSE)),"PROBLEMAAAAAA",VLOOKUP(D1039,Nombres!A:D,2,FALSE))</f>
        <v>Riedel</v>
      </c>
    </row>
    <row r="1040" spans="1:10" x14ac:dyDescent="0.25">
      <c r="A1040">
        <v>11</v>
      </c>
      <c r="B1040" s="1">
        <v>45968</v>
      </c>
      <c r="C1040" t="s">
        <v>11</v>
      </c>
      <c r="D1040" t="s">
        <v>765</v>
      </c>
      <c r="E1040" t="str">
        <f>IF(ISERROR(VLOOKUP(D1040,Nombres!A:D,4,FALSE)),"PROBLEMAAAAAA",VLOOKUP(D1040,Nombres!A:D,4,FALSE))</f>
        <v>DEF</v>
      </c>
      <c r="F1040" t="str">
        <f>IF(ISERROR(VLOOKUP(D1040,Nombres!A:D,3,FALSE)),"PROBLEMAAAAAA",VLOOKUP(D1040,Nombres!A:D,3,FALSE))</f>
        <v>Atlético</v>
      </c>
      <c r="G1040">
        <v>8</v>
      </c>
      <c r="H1040" s="2">
        <f t="shared" si="4"/>
        <v>800000</v>
      </c>
      <c r="I1040">
        <f t="shared" si="5"/>
        <v>2</v>
      </c>
      <c r="J1040" t="str">
        <f>IF(ISERROR(VLOOKUP(D1040,Nombres!A:D,2,FALSE)),"PROBLEMAAAAAA",VLOOKUP(D1040,Nombres!A:D,2,FALSE))</f>
        <v>M. Llorente</v>
      </c>
    </row>
    <row r="1041" spans="1:10" x14ac:dyDescent="0.25">
      <c r="A1041">
        <v>11</v>
      </c>
      <c r="B1041" s="1">
        <v>45968</v>
      </c>
      <c r="C1041" t="s">
        <v>11</v>
      </c>
      <c r="D1041" t="s">
        <v>213</v>
      </c>
      <c r="E1041" t="str">
        <f>IF(ISERROR(VLOOKUP(D1041,Nombres!A:D,4,FALSE)),"PROBLEMAAAAAA",VLOOKUP(D1041,Nombres!A:D,4,FALSE))</f>
        <v>DEF</v>
      </c>
      <c r="F1041" t="str">
        <f>IF(ISERROR(VLOOKUP(D1041,Nombres!A:D,3,FALSE)),"PROBLEMAAAAAA",VLOOKUP(D1041,Nombres!A:D,3,FALSE))</f>
        <v>Athletic</v>
      </c>
      <c r="G1041">
        <v>2</v>
      </c>
      <c r="H1041" s="2">
        <f t="shared" si="4"/>
        <v>200000</v>
      </c>
      <c r="I1041">
        <f t="shared" si="5"/>
        <v>2</v>
      </c>
      <c r="J1041" t="str">
        <f>IF(ISERROR(VLOOKUP(D1041,Nombres!A:D,2,FALSE)),"PROBLEMAAAAAA",VLOOKUP(D1041,Nombres!A:D,2,FALSE))</f>
        <v>Vivian</v>
      </c>
    </row>
    <row r="1042" spans="1:10" x14ac:dyDescent="0.25">
      <c r="A1042">
        <v>11</v>
      </c>
      <c r="B1042" s="1">
        <v>45968</v>
      </c>
      <c r="C1042" t="s">
        <v>11</v>
      </c>
      <c r="D1042" t="s">
        <v>156</v>
      </c>
      <c r="E1042" t="str">
        <f>IF(ISERROR(VLOOKUP(D1042,Nombres!A:D,4,FALSE)),"PROBLEMAAAAAA",VLOOKUP(D1042,Nombres!A:D,4,FALSE))</f>
        <v>MED</v>
      </c>
      <c r="F1042" t="str">
        <f>IF(ISERROR(VLOOKUP(D1042,Nombres!A:D,3,FALSE)),"PROBLEMAAAAAA",VLOOKUP(D1042,Nombres!A:D,3,FALSE))</f>
        <v>Atlético</v>
      </c>
      <c r="G1042">
        <v>6</v>
      </c>
      <c r="H1042" s="2">
        <f t="shared" si="4"/>
        <v>600000</v>
      </c>
      <c r="I1042">
        <f t="shared" si="5"/>
        <v>3</v>
      </c>
      <c r="J1042" t="str">
        <f>IF(ISERROR(VLOOKUP(D1042,Nombres!A:D,2,FALSE)),"PROBLEMAAAAAA",VLOOKUP(D1042,Nombres!A:D,2,FALSE))</f>
        <v>Koke</v>
      </c>
    </row>
    <row r="1043" spans="1:10" x14ac:dyDescent="0.25">
      <c r="A1043">
        <v>11</v>
      </c>
      <c r="B1043" s="1">
        <v>45968</v>
      </c>
      <c r="C1043" t="s">
        <v>11</v>
      </c>
      <c r="D1043" t="s">
        <v>216</v>
      </c>
      <c r="E1043" t="str">
        <f>IF(ISERROR(VLOOKUP(D1043,Nombres!A:D,4,FALSE)),"PROBLEMAAAAAA",VLOOKUP(D1043,Nombres!A:D,4,FALSE))</f>
        <v>MED</v>
      </c>
      <c r="F1043" t="str">
        <f>IF(ISERROR(VLOOKUP(D1043,Nombres!A:D,3,FALSE)),"PROBLEMAAAAAA",VLOOKUP(D1043,Nombres!A:D,3,FALSE))</f>
        <v>Elche</v>
      </c>
      <c r="G1043">
        <v>2</v>
      </c>
      <c r="H1043" s="2">
        <f t="shared" si="4"/>
        <v>200000</v>
      </c>
      <c r="I1043">
        <f t="shared" si="5"/>
        <v>3</v>
      </c>
      <c r="J1043" t="str">
        <f>IF(ISERROR(VLOOKUP(D1043,Nombres!A:D,2,FALSE)),"PROBLEMAAAAAA",VLOOKUP(D1043,Nombres!A:D,2,FALSE))</f>
        <v>Febas</v>
      </c>
    </row>
    <row r="1044" spans="1:10" x14ac:dyDescent="0.25">
      <c r="A1044">
        <v>11</v>
      </c>
      <c r="B1044" s="1">
        <v>45968</v>
      </c>
      <c r="C1044" t="s">
        <v>11</v>
      </c>
      <c r="D1044" t="s">
        <v>204</v>
      </c>
      <c r="E1044" t="str">
        <f>IF(ISERROR(VLOOKUP(D1044,Nombres!A:D,4,FALSE)),"PROBLEMAAAAAA",VLOOKUP(D1044,Nombres!A:D,4,FALSE))</f>
        <v>MED</v>
      </c>
      <c r="F1044" t="str">
        <f>IF(ISERROR(VLOOKUP(D1044,Nombres!A:D,3,FALSE)),"PROBLEMAAAAAA",VLOOKUP(D1044,Nombres!A:D,3,FALSE))</f>
        <v>Atlético</v>
      </c>
      <c r="G1044">
        <v>10</v>
      </c>
      <c r="H1044" s="2">
        <f t="shared" si="4"/>
        <v>1000000</v>
      </c>
      <c r="I1044">
        <f t="shared" si="5"/>
        <v>3</v>
      </c>
      <c r="J1044" t="str">
        <f>IF(ISERROR(VLOOKUP(D1044,Nombres!A:D,2,FALSE)),"PROBLEMAAAAAA",VLOOKUP(D1044,Nombres!A:D,2,FALSE))</f>
        <v>Baena</v>
      </c>
    </row>
    <row r="1045" spans="1:10" x14ac:dyDescent="0.25">
      <c r="A1045">
        <v>11</v>
      </c>
      <c r="B1045" s="1">
        <v>45968</v>
      </c>
      <c r="C1045" t="s">
        <v>11</v>
      </c>
      <c r="D1045" t="s">
        <v>274</v>
      </c>
      <c r="E1045" t="str">
        <f>IF(ISERROR(VLOOKUP(D1045,Nombres!A:D,4,FALSE)),"PROBLEMAAAAAA",VLOOKUP(D1045,Nombres!A:D,4,FALSE))</f>
        <v>DEL</v>
      </c>
      <c r="F1045" t="str">
        <f>IF(ISERROR(VLOOKUP(D1045,Nombres!A:D,3,FALSE)),"PROBLEMAAAAAA",VLOOKUP(D1045,Nombres!A:D,3,FALSE))</f>
        <v>Levante</v>
      </c>
      <c r="G1045">
        <v>1</v>
      </c>
      <c r="H1045" s="2">
        <f t="shared" si="4"/>
        <v>100000</v>
      </c>
      <c r="I1045">
        <f t="shared" si="5"/>
        <v>4</v>
      </c>
      <c r="J1045" t="str">
        <f>IF(ISERROR(VLOOKUP(D1045,Nombres!A:D,2,FALSE)),"PROBLEMAAAAAA",VLOOKUP(D1045,Nombres!A:D,2,FALSE))</f>
        <v>Etta Eyong</v>
      </c>
    </row>
    <row r="1046" spans="1:10" x14ac:dyDescent="0.25">
      <c r="A1046">
        <v>11</v>
      </c>
      <c r="B1046" s="1">
        <v>45968</v>
      </c>
      <c r="C1046" t="s">
        <v>11</v>
      </c>
      <c r="D1046" t="s">
        <v>119</v>
      </c>
      <c r="E1046" t="str">
        <f>IF(ISERROR(VLOOKUP(D1046,Nombres!A:D,4,FALSE)),"PROBLEMAAAAAA",VLOOKUP(D1046,Nombres!A:D,4,FALSE))</f>
        <v>DEL</v>
      </c>
      <c r="F1046" t="str">
        <f>IF(ISERROR(VLOOKUP(D1046,Nombres!A:D,3,FALSE)),"PROBLEMAAAAAA",VLOOKUP(D1046,Nombres!A:D,3,FALSE))</f>
        <v>Rayo</v>
      </c>
      <c r="G1046">
        <v>1</v>
      </c>
      <c r="H1046" s="2">
        <f t="shared" si="4"/>
        <v>100000</v>
      </c>
      <c r="I1046">
        <f t="shared" si="5"/>
        <v>4</v>
      </c>
      <c r="J1046" t="str">
        <f>IF(ISERROR(VLOOKUP(D1046,Nombres!A:D,2,FALSE)),"PROBLEMAAAAAA",VLOOKUP(D1046,Nombres!A:D,2,FALSE))</f>
        <v>De Frutos</v>
      </c>
    </row>
    <row r="1047" spans="1:10" x14ac:dyDescent="0.25">
      <c r="A1047">
        <v>12</v>
      </c>
      <c r="B1047" s="1">
        <v>45968</v>
      </c>
      <c r="C1047" t="s">
        <v>11</v>
      </c>
      <c r="D1047" t="s">
        <v>171</v>
      </c>
      <c r="E1047" t="str">
        <f>IF(ISERROR(VLOOKUP(D1047,Nombres!A:D,4,FALSE)),"PROBLEMAAAAAA",VLOOKUP(D1047,Nombres!A:D,4,FALSE))</f>
        <v>POR</v>
      </c>
      <c r="F1047" t="str">
        <f>IF(ISERROR(VLOOKUP(D1047,Nombres!A:D,3,FALSE)),"PROBLEMAAAAAA",VLOOKUP(D1047,Nombres!A:D,3,FALSE))</f>
        <v>Rayo</v>
      </c>
      <c r="G1047">
        <v>13</v>
      </c>
      <c r="H1047" s="2">
        <f t="shared" si="4"/>
        <v>1300000</v>
      </c>
      <c r="I1047">
        <f t="shared" si="5"/>
        <v>1</v>
      </c>
      <c r="J1047" t="str">
        <f>IF(ISERROR(VLOOKUP(D1047,Nombres!A:D,2,FALSE)),"PROBLEMAAAAAA",VLOOKUP(D1047,Nombres!A:D,2,FALSE))</f>
        <v>Batalla</v>
      </c>
    </row>
    <row r="1048" spans="1:10" x14ac:dyDescent="0.25">
      <c r="A1048">
        <v>12</v>
      </c>
      <c r="B1048" s="1">
        <v>45968</v>
      </c>
      <c r="C1048" t="s">
        <v>11</v>
      </c>
      <c r="D1048" t="s">
        <v>233</v>
      </c>
      <c r="E1048" t="str">
        <f>IF(ISERROR(VLOOKUP(D1048,Nombres!A:D,4,FALSE)),"PROBLEMAAAAAA",VLOOKUP(D1048,Nombres!A:D,4,FALSE))</f>
        <v>DEF</v>
      </c>
      <c r="F1048" t="str">
        <f>IF(ISERROR(VLOOKUP(D1048,Nombres!A:D,3,FALSE)),"PROBLEMAAAAAA",VLOOKUP(D1048,Nombres!A:D,3,FALSE))</f>
        <v>Elche</v>
      </c>
      <c r="G1048">
        <v>2</v>
      </c>
      <c r="H1048" s="2">
        <f t="shared" si="4"/>
        <v>200000</v>
      </c>
      <c r="I1048">
        <f t="shared" si="5"/>
        <v>2</v>
      </c>
      <c r="J1048" t="str">
        <f>IF(ISERROR(VLOOKUP(D1048,Nombres!A:D,2,FALSE)),"PROBLEMAAAAAA",VLOOKUP(D1048,Nombres!A:D,2,FALSE))</f>
        <v>Affengruber</v>
      </c>
    </row>
    <row r="1049" spans="1:10" x14ac:dyDescent="0.25">
      <c r="A1049">
        <v>12</v>
      </c>
      <c r="B1049" s="1">
        <v>45968</v>
      </c>
      <c r="C1049" t="s">
        <v>11</v>
      </c>
      <c r="D1049" t="s">
        <v>115</v>
      </c>
      <c r="E1049" t="str">
        <f>IF(ISERROR(VLOOKUP(D1049,Nombres!A:D,4,FALSE)),"PROBLEMAAAAAA",VLOOKUP(D1049,Nombres!A:D,4,FALSE))</f>
        <v>DEF</v>
      </c>
      <c r="F1049" t="str">
        <f>IF(ISERROR(VLOOKUP(D1049,Nombres!A:D,3,FALSE)),"PROBLEMAAAAAA",VLOOKUP(D1049,Nombres!A:D,3,FALSE))</f>
        <v>Osasuna</v>
      </c>
      <c r="G1049">
        <v>3</v>
      </c>
      <c r="H1049" s="2">
        <f t="shared" si="4"/>
        <v>300000</v>
      </c>
      <c r="I1049">
        <f t="shared" si="5"/>
        <v>2</v>
      </c>
      <c r="J1049" t="str">
        <f>IF(ISERROR(VLOOKUP(D1049,Nombres!A:D,2,FALSE)),"PROBLEMAAAAAA",VLOOKUP(D1049,Nombres!A:D,2,FALSE))</f>
        <v>Boyomo</v>
      </c>
    </row>
    <row r="1050" spans="1:10" x14ac:dyDescent="0.25">
      <c r="A1050">
        <v>12</v>
      </c>
      <c r="B1050" s="1">
        <v>45968</v>
      </c>
      <c r="C1050" t="s">
        <v>11</v>
      </c>
      <c r="D1050" t="s">
        <v>765</v>
      </c>
      <c r="E1050" t="str">
        <f>IF(ISERROR(VLOOKUP(D1050,Nombres!A:D,4,FALSE)),"PROBLEMAAAAAA",VLOOKUP(D1050,Nombres!A:D,4,FALSE))</f>
        <v>DEF</v>
      </c>
      <c r="F1050" t="str">
        <f>IF(ISERROR(VLOOKUP(D1050,Nombres!A:D,3,FALSE)),"PROBLEMAAAAAA",VLOOKUP(D1050,Nombres!A:D,3,FALSE))</f>
        <v>Atlético</v>
      </c>
      <c r="G1050">
        <v>10</v>
      </c>
      <c r="H1050" s="2">
        <f t="shared" si="4"/>
        <v>1000000</v>
      </c>
      <c r="I1050">
        <f t="shared" si="5"/>
        <v>2</v>
      </c>
      <c r="J1050" t="str">
        <f>IF(ISERROR(VLOOKUP(D1050,Nombres!A:D,2,FALSE)),"PROBLEMAAAAAA",VLOOKUP(D1050,Nombres!A:D,2,FALSE))</f>
        <v>M. Llorente</v>
      </c>
    </row>
    <row r="1051" spans="1:10" x14ac:dyDescent="0.25">
      <c r="A1051">
        <v>12</v>
      </c>
      <c r="B1051" s="1">
        <v>45968</v>
      </c>
      <c r="C1051" t="s">
        <v>11</v>
      </c>
      <c r="D1051" t="s">
        <v>213</v>
      </c>
      <c r="E1051" t="str">
        <f>IF(ISERROR(VLOOKUP(D1051,Nombres!A:D,4,FALSE)),"PROBLEMAAAAAA",VLOOKUP(D1051,Nombres!A:D,4,FALSE))</f>
        <v>DEF</v>
      </c>
      <c r="F1051" t="str">
        <f>IF(ISERROR(VLOOKUP(D1051,Nombres!A:D,3,FALSE)),"PROBLEMAAAAAA",VLOOKUP(D1051,Nombres!A:D,3,FALSE))</f>
        <v>Athletic</v>
      </c>
      <c r="G1051">
        <v>11</v>
      </c>
      <c r="H1051" s="2">
        <f t="shared" si="4"/>
        <v>1100000</v>
      </c>
      <c r="I1051">
        <f t="shared" si="5"/>
        <v>2</v>
      </c>
      <c r="J1051" t="str">
        <f>IF(ISERROR(VLOOKUP(D1051,Nombres!A:D,2,FALSE)),"PROBLEMAAAAAA",VLOOKUP(D1051,Nombres!A:D,2,FALSE))</f>
        <v>Vivian</v>
      </c>
    </row>
    <row r="1052" spans="1:10" x14ac:dyDescent="0.25">
      <c r="A1052">
        <v>12</v>
      </c>
      <c r="B1052" s="1">
        <v>45968</v>
      </c>
      <c r="C1052" t="s">
        <v>11</v>
      </c>
      <c r="D1052" t="s">
        <v>107</v>
      </c>
      <c r="E1052" t="str">
        <f>IF(ISERROR(VLOOKUP(D1052,Nombres!A:D,4,FALSE)),"PROBLEMAAAAAA",VLOOKUP(D1052,Nombres!A:D,4,FALSE))</f>
        <v>DEF</v>
      </c>
      <c r="F1052" t="str">
        <f>IF(ISERROR(VLOOKUP(D1052,Nombres!A:D,3,FALSE)),"PROBLEMAAAAAA",VLOOKUP(D1052,Nombres!A:D,3,FALSE))</f>
        <v>Atlético</v>
      </c>
      <c r="G1052">
        <v>5</v>
      </c>
      <c r="H1052" s="2">
        <f t="shared" si="4"/>
        <v>500000</v>
      </c>
      <c r="I1052">
        <f t="shared" si="5"/>
        <v>2</v>
      </c>
      <c r="J1052" t="str">
        <f>IF(ISERROR(VLOOKUP(D1052,Nombres!A:D,2,FALSE)),"PROBLEMAAAAAA",VLOOKUP(D1052,Nombres!A:D,2,FALSE))</f>
        <v>Hancko</v>
      </c>
    </row>
    <row r="1053" spans="1:10" x14ac:dyDescent="0.25">
      <c r="A1053">
        <v>12</v>
      </c>
      <c r="B1053" s="1">
        <v>45968</v>
      </c>
      <c r="C1053" t="s">
        <v>11</v>
      </c>
      <c r="D1053" t="s">
        <v>216</v>
      </c>
      <c r="E1053" t="str">
        <f>IF(ISERROR(VLOOKUP(D1053,Nombres!A:D,4,FALSE)),"PROBLEMAAAAAA",VLOOKUP(D1053,Nombres!A:D,4,FALSE))</f>
        <v>MED</v>
      </c>
      <c r="F1053" t="str">
        <f>IF(ISERROR(VLOOKUP(D1053,Nombres!A:D,3,FALSE)),"PROBLEMAAAAAA",VLOOKUP(D1053,Nombres!A:D,3,FALSE))</f>
        <v>Elche</v>
      </c>
      <c r="G1053">
        <v>6</v>
      </c>
      <c r="H1053" s="2">
        <f t="shared" si="4"/>
        <v>600000</v>
      </c>
      <c r="I1053">
        <f t="shared" si="5"/>
        <v>3</v>
      </c>
      <c r="J1053" t="str">
        <f>IF(ISERROR(VLOOKUP(D1053,Nombres!A:D,2,FALSE)),"PROBLEMAAAAAA",VLOOKUP(D1053,Nombres!A:D,2,FALSE))</f>
        <v>Febas</v>
      </c>
    </row>
    <row r="1054" spans="1:10" x14ac:dyDescent="0.25">
      <c r="A1054">
        <v>12</v>
      </c>
      <c r="B1054" s="1">
        <v>45968</v>
      </c>
      <c r="C1054" t="s">
        <v>11</v>
      </c>
      <c r="D1054" t="s">
        <v>204</v>
      </c>
      <c r="E1054" t="str">
        <f>IF(ISERROR(VLOOKUP(D1054,Nombres!A:D,4,FALSE)),"PROBLEMAAAAAA",VLOOKUP(D1054,Nombres!A:D,4,FALSE))</f>
        <v>MED</v>
      </c>
      <c r="F1054" t="str">
        <f>IF(ISERROR(VLOOKUP(D1054,Nombres!A:D,3,FALSE)),"PROBLEMAAAAAA",VLOOKUP(D1054,Nombres!A:D,3,FALSE))</f>
        <v>Atlético</v>
      </c>
      <c r="G1054">
        <v>3</v>
      </c>
      <c r="H1054" s="2">
        <f t="shared" si="4"/>
        <v>300000</v>
      </c>
      <c r="I1054">
        <f t="shared" si="5"/>
        <v>3</v>
      </c>
      <c r="J1054" t="str">
        <f>IF(ISERROR(VLOOKUP(D1054,Nombres!A:D,2,FALSE)),"PROBLEMAAAAAA",VLOOKUP(D1054,Nombres!A:D,2,FALSE))</f>
        <v>Baena</v>
      </c>
    </row>
    <row r="1055" spans="1:10" x14ac:dyDescent="0.25">
      <c r="A1055">
        <v>12</v>
      </c>
      <c r="B1055" s="1">
        <v>45968</v>
      </c>
      <c r="C1055" t="s">
        <v>11</v>
      </c>
      <c r="D1055" t="s">
        <v>184</v>
      </c>
      <c r="E1055" t="str">
        <f>IF(ISERROR(VLOOKUP(D1055,Nombres!A:D,4,FALSE)),"PROBLEMAAAAAA",VLOOKUP(D1055,Nombres!A:D,4,FALSE))</f>
        <v>MED</v>
      </c>
      <c r="F1055" t="str">
        <f>IF(ISERROR(VLOOKUP(D1055,Nombres!A:D,3,FALSE)),"PROBLEMAAAAAA",VLOOKUP(D1055,Nombres!A:D,3,FALSE))</f>
        <v>Barcelona</v>
      </c>
      <c r="G1055">
        <v>4</v>
      </c>
      <c r="H1055" s="2">
        <f t="shared" si="4"/>
        <v>400000</v>
      </c>
      <c r="I1055">
        <f t="shared" si="5"/>
        <v>3</v>
      </c>
      <c r="J1055" t="str">
        <f>IF(ISERROR(VLOOKUP(D1055,Nombres!A:D,2,FALSE)),"PROBLEMAAAAAA",VLOOKUP(D1055,Nombres!A:D,2,FALSE))</f>
        <v>Fermín</v>
      </c>
    </row>
    <row r="1056" spans="1:10" x14ac:dyDescent="0.25">
      <c r="A1056">
        <v>12</v>
      </c>
      <c r="B1056" s="1">
        <v>45968</v>
      </c>
      <c r="C1056" t="s">
        <v>11</v>
      </c>
      <c r="D1056" t="s">
        <v>274</v>
      </c>
      <c r="E1056" t="str">
        <f>IF(ISERROR(VLOOKUP(D1056,Nombres!A:D,4,FALSE)),"PROBLEMAAAAAA",VLOOKUP(D1056,Nombres!A:D,4,FALSE))</f>
        <v>DEL</v>
      </c>
      <c r="F1056" t="str">
        <f>IF(ISERROR(VLOOKUP(D1056,Nombres!A:D,3,FALSE)),"PROBLEMAAAAAA",VLOOKUP(D1056,Nombres!A:D,3,FALSE))</f>
        <v>Levante</v>
      </c>
      <c r="G1056">
        <v>3</v>
      </c>
      <c r="H1056" s="2">
        <f t="shared" si="4"/>
        <v>300000</v>
      </c>
      <c r="I1056">
        <f t="shared" si="5"/>
        <v>4</v>
      </c>
      <c r="J1056" t="str">
        <f>IF(ISERROR(VLOOKUP(D1056,Nombres!A:D,2,FALSE)),"PROBLEMAAAAAA",VLOOKUP(D1056,Nombres!A:D,2,FALSE))</f>
        <v>Etta Eyong</v>
      </c>
    </row>
    <row r="1057" spans="1:10" x14ac:dyDescent="0.25">
      <c r="A1057">
        <v>12</v>
      </c>
      <c r="B1057" s="1">
        <v>45968</v>
      </c>
      <c r="C1057" t="s">
        <v>11</v>
      </c>
      <c r="D1057" t="s">
        <v>785</v>
      </c>
      <c r="E1057" t="str">
        <f>IF(ISERROR(VLOOKUP(D1057,Nombres!A:D,4,FALSE)),"PROBLEMAAAAAA",VLOOKUP(D1057,Nombres!A:D,4,FALSE))</f>
        <v>DEL</v>
      </c>
      <c r="F1057" t="str">
        <f>IF(ISERROR(VLOOKUP(D1057,Nombres!A:D,3,FALSE)),"PROBLEMAAAAAA",VLOOKUP(D1057,Nombres!A:D,3,FALSE))</f>
        <v>Celta</v>
      </c>
      <c r="G1057">
        <v>5</v>
      </c>
      <c r="H1057" s="2">
        <f t="shared" si="4"/>
        <v>500000</v>
      </c>
      <c r="I1057">
        <f t="shared" si="5"/>
        <v>4</v>
      </c>
      <c r="J1057" t="str">
        <f>IF(ISERROR(VLOOKUP(D1057,Nombres!A:D,2,FALSE)),"PROBLEMAAAAAA",VLOOKUP(D1057,Nombres!A:D,2,FALSE))</f>
        <v>Jutglà</v>
      </c>
    </row>
    <row r="1058" spans="1:10" x14ac:dyDescent="0.25">
      <c r="A1058">
        <v>9</v>
      </c>
      <c r="B1058" s="1">
        <v>45947</v>
      </c>
      <c r="C1058" t="s">
        <v>12</v>
      </c>
      <c r="D1058" t="s">
        <v>724</v>
      </c>
      <c r="E1058" t="str">
        <f>IF(ISERROR(VLOOKUP(D1058,Nombres!A:D,4,FALSE)),"PROBLEMAAAAAA",VLOOKUP(D1058,Nombres!A:D,4,FALSE))</f>
        <v>POR</v>
      </c>
      <c r="F1058" t="str">
        <f>IF(ISERROR(VLOOKUP(D1058,Nombres!A:D,3,FALSE)),"PROBLEMAAAAAA",VLOOKUP(D1058,Nombres!A:D,3,FALSE))</f>
        <v>Barcelona</v>
      </c>
      <c r="G1058">
        <v>5</v>
      </c>
      <c r="H1058" s="2">
        <f t="shared" si="4"/>
        <v>500000</v>
      </c>
      <c r="I1058">
        <f t="shared" si="5"/>
        <v>1</v>
      </c>
      <c r="J1058" t="str">
        <f>IF(ISERROR(VLOOKUP(D1058,Nombres!A:D,2,FALSE)),"PROBLEMAAAAAA",VLOOKUP(D1058,Nombres!A:D,2,FALSE))</f>
        <v>Szczesny</v>
      </c>
    </row>
    <row r="1059" spans="1:10" x14ac:dyDescent="0.25">
      <c r="A1059">
        <v>9</v>
      </c>
      <c r="B1059" s="1">
        <v>45947</v>
      </c>
      <c r="C1059" t="s">
        <v>12</v>
      </c>
      <c r="D1059" t="s">
        <v>129</v>
      </c>
      <c r="E1059" t="str">
        <f>IF(ISERROR(VLOOKUP(D1059,Nombres!A:D,4,FALSE)),"PROBLEMAAAAAA",VLOOKUP(D1059,Nombres!A:D,4,FALSE))</f>
        <v>DEF</v>
      </c>
      <c r="F1059" t="str">
        <f>IF(ISERROR(VLOOKUP(D1059,Nombres!A:D,3,FALSE)),"PROBLEMAAAAAA",VLOOKUP(D1059,Nombres!A:D,3,FALSE))</f>
        <v>Sevilla</v>
      </c>
      <c r="G1059">
        <v>1</v>
      </c>
      <c r="H1059" s="2">
        <f t="shared" si="4"/>
        <v>100000</v>
      </c>
      <c r="I1059">
        <f t="shared" si="5"/>
        <v>2</v>
      </c>
      <c r="J1059" t="str">
        <f>IF(ISERROR(VLOOKUP(D1059,Nombres!A:D,2,FALSE)),"PROBLEMAAAAAA",VLOOKUP(D1059,Nombres!A:D,2,FALSE))</f>
        <v>Marcão</v>
      </c>
    </row>
    <row r="1060" spans="1:10" x14ac:dyDescent="0.25">
      <c r="A1060">
        <v>9</v>
      </c>
      <c r="B1060" s="1">
        <v>45947</v>
      </c>
      <c r="C1060" t="s">
        <v>12</v>
      </c>
      <c r="D1060" t="s">
        <v>234</v>
      </c>
      <c r="E1060" t="str">
        <f>IF(ISERROR(VLOOKUP(D1060,Nombres!A:D,4,FALSE)),"PROBLEMAAAAAA",VLOOKUP(D1060,Nombres!A:D,4,FALSE))</f>
        <v>DEF</v>
      </c>
      <c r="F1060" t="str">
        <f>IF(ISERROR(VLOOKUP(D1060,Nombres!A:D,3,FALSE)),"PROBLEMAAAAAA",VLOOKUP(D1060,Nombres!A:D,3,FALSE))</f>
        <v>Villarreal</v>
      </c>
      <c r="G1060">
        <v>4</v>
      </c>
      <c r="H1060" s="2">
        <f t="shared" si="4"/>
        <v>400000</v>
      </c>
      <c r="I1060">
        <f t="shared" si="5"/>
        <v>2</v>
      </c>
      <c r="J1060" t="str">
        <f>IF(ISERROR(VLOOKUP(D1060,Nombres!A:D,2,FALSE)),"PROBLEMAAAAAA",VLOOKUP(D1060,Nombres!A:D,2,FALSE))</f>
        <v>Rafa Marín</v>
      </c>
    </row>
    <row r="1061" spans="1:10" x14ac:dyDescent="0.25">
      <c r="A1061">
        <v>9</v>
      </c>
      <c r="B1061" s="1">
        <v>45947</v>
      </c>
      <c r="C1061" t="s">
        <v>12</v>
      </c>
      <c r="D1061" t="s">
        <v>213</v>
      </c>
      <c r="E1061" t="str">
        <f>IF(ISERROR(VLOOKUP(D1061,Nombres!A:D,4,FALSE)),"PROBLEMAAAAAA",VLOOKUP(D1061,Nombres!A:D,4,FALSE))</f>
        <v>DEF</v>
      </c>
      <c r="F1061" t="str">
        <f>IF(ISERROR(VLOOKUP(D1061,Nombres!A:D,3,FALSE)),"PROBLEMAAAAAA",VLOOKUP(D1061,Nombres!A:D,3,FALSE))</f>
        <v>Athletic</v>
      </c>
      <c r="G1061">
        <v>6</v>
      </c>
      <c r="H1061" s="2">
        <f t="shared" si="4"/>
        <v>600000</v>
      </c>
      <c r="I1061">
        <f t="shared" si="5"/>
        <v>2</v>
      </c>
      <c r="J1061" t="str">
        <f>IF(ISERROR(VLOOKUP(D1061,Nombres!A:D,2,FALSE)),"PROBLEMAAAAAA",VLOOKUP(D1061,Nombres!A:D,2,FALSE))</f>
        <v>Vivian</v>
      </c>
    </row>
    <row r="1062" spans="1:10" x14ac:dyDescent="0.25">
      <c r="A1062">
        <v>9</v>
      </c>
      <c r="B1062" s="1">
        <v>45947</v>
      </c>
      <c r="C1062" t="s">
        <v>12</v>
      </c>
      <c r="D1062" t="s">
        <v>310</v>
      </c>
      <c r="E1062" t="str">
        <f>IF(ISERROR(VLOOKUP(D1062,Nombres!A:D,4,FALSE)),"PROBLEMAAAAAA",VLOOKUP(D1062,Nombres!A:D,4,FALSE))</f>
        <v>DEF</v>
      </c>
      <c r="F1062" t="str">
        <f>IF(ISERROR(VLOOKUP(D1062,Nombres!A:D,3,FALSE)),"PROBLEMAAAAAA",VLOOKUP(D1062,Nombres!A:D,3,FALSE))</f>
        <v>Rayo</v>
      </c>
      <c r="G1062">
        <v>8</v>
      </c>
      <c r="H1062" s="2">
        <f t="shared" si="4"/>
        <v>800000</v>
      </c>
      <c r="I1062">
        <f t="shared" si="5"/>
        <v>2</v>
      </c>
      <c r="J1062" t="str">
        <f>IF(ISERROR(VLOOKUP(D1062,Nombres!A:D,2,FALSE)),"PROBLEMAAAAAA",VLOOKUP(D1062,Nombres!A:D,2,FALSE))</f>
        <v>Ratiu</v>
      </c>
    </row>
    <row r="1063" spans="1:10" x14ac:dyDescent="0.25">
      <c r="A1063">
        <v>9</v>
      </c>
      <c r="B1063" s="1">
        <v>45947</v>
      </c>
      <c r="C1063" t="s">
        <v>12</v>
      </c>
      <c r="D1063" t="s">
        <v>224</v>
      </c>
      <c r="E1063" t="str">
        <f>IF(ISERROR(VLOOKUP(D1063,Nombres!A:D,4,FALSE)),"PROBLEMAAAAAA",VLOOKUP(D1063,Nombres!A:D,4,FALSE))</f>
        <v>DEF</v>
      </c>
      <c r="F1063" t="str">
        <f>IF(ISERROR(VLOOKUP(D1063,Nombres!A:D,3,FALSE)),"PROBLEMAAAAAA",VLOOKUP(D1063,Nombres!A:D,3,FALSE))</f>
        <v>Barcelona</v>
      </c>
      <c r="G1063">
        <v>4</v>
      </c>
      <c r="H1063" s="2">
        <f t="shared" si="4"/>
        <v>400000</v>
      </c>
      <c r="I1063">
        <f t="shared" si="5"/>
        <v>2</v>
      </c>
      <c r="J1063" t="str">
        <f>IF(ISERROR(VLOOKUP(D1063,Nombres!A:D,2,FALSE)),"PROBLEMAAAAAA",VLOOKUP(D1063,Nombres!A:D,2,FALSE))</f>
        <v>Balde</v>
      </c>
    </row>
    <row r="1064" spans="1:10" x14ac:dyDescent="0.25">
      <c r="A1064">
        <v>9</v>
      </c>
      <c r="B1064" s="1">
        <v>45947</v>
      </c>
      <c r="C1064" t="s">
        <v>12</v>
      </c>
      <c r="D1064" t="s">
        <v>101</v>
      </c>
      <c r="E1064" t="str">
        <f>IF(ISERROR(VLOOKUP(D1064,Nombres!A:D,4,FALSE)),"PROBLEMAAAAAA",VLOOKUP(D1064,Nombres!A:D,4,FALSE))</f>
        <v>MED</v>
      </c>
      <c r="F1064" t="str">
        <f>IF(ISERROR(VLOOKUP(D1064,Nombres!A:D,3,FALSE)),"PROBLEMAAAAAA",VLOOKUP(D1064,Nombres!A:D,3,FALSE))</f>
        <v>Valencia</v>
      </c>
      <c r="G1064">
        <v>4</v>
      </c>
      <c r="H1064" s="2">
        <f t="shared" si="4"/>
        <v>400000</v>
      </c>
      <c r="I1064">
        <f t="shared" si="5"/>
        <v>3</v>
      </c>
      <c r="J1064" t="str">
        <f>IF(ISERROR(VLOOKUP(D1064,Nombres!A:D,2,FALSE)),"PROBLEMAAAAAA",VLOOKUP(D1064,Nombres!A:D,2,FALSE))</f>
        <v>Rioja</v>
      </c>
    </row>
    <row r="1065" spans="1:10" x14ac:dyDescent="0.25">
      <c r="A1065">
        <v>9</v>
      </c>
      <c r="B1065" s="1">
        <v>45947</v>
      </c>
      <c r="C1065" t="s">
        <v>12</v>
      </c>
      <c r="D1065" t="s">
        <v>120</v>
      </c>
      <c r="E1065" t="str">
        <f>IF(ISERROR(VLOOKUP(D1065,Nombres!A:D,4,FALSE)),"PROBLEMAAAAAA",VLOOKUP(D1065,Nombres!A:D,4,FALSE))</f>
        <v>MED</v>
      </c>
      <c r="F1065" t="str">
        <f>IF(ISERROR(VLOOKUP(D1065,Nombres!A:D,3,FALSE)),"PROBLEMAAAAAA",VLOOKUP(D1065,Nombres!A:D,3,FALSE))</f>
        <v>Betis</v>
      </c>
      <c r="G1065">
        <v>11</v>
      </c>
      <c r="H1065" s="2">
        <f t="shared" si="4"/>
        <v>1100000</v>
      </c>
      <c r="I1065">
        <f t="shared" si="5"/>
        <v>3</v>
      </c>
      <c r="J1065" t="str">
        <f>IF(ISERROR(VLOOKUP(D1065,Nombres!A:D,2,FALSE)),"PROBLEMAAAAAA",VLOOKUP(D1065,Nombres!A:D,2,FALSE))</f>
        <v>Fornals</v>
      </c>
    </row>
    <row r="1066" spans="1:10" x14ac:dyDescent="0.25">
      <c r="A1066">
        <v>9</v>
      </c>
      <c r="B1066" s="1">
        <v>45947</v>
      </c>
      <c r="C1066" t="s">
        <v>12</v>
      </c>
      <c r="D1066" t="s">
        <v>204</v>
      </c>
      <c r="E1066" t="str">
        <f>IF(ISERROR(VLOOKUP(D1066,Nombres!A:D,4,FALSE)),"PROBLEMAAAAAA",VLOOKUP(D1066,Nombres!A:D,4,FALSE))</f>
        <v>MED</v>
      </c>
      <c r="F1066" t="str">
        <f>IF(ISERROR(VLOOKUP(D1066,Nombres!A:D,3,FALSE)),"PROBLEMAAAAAA",VLOOKUP(D1066,Nombres!A:D,3,FALSE))</f>
        <v>Atlético</v>
      </c>
      <c r="G1066">
        <v>6</v>
      </c>
      <c r="H1066" s="2">
        <f t="shared" si="4"/>
        <v>600000</v>
      </c>
      <c r="I1066">
        <f t="shared" si="5"/>
        <v>3</v>
      </c>
      <c r="J1066" t="str">
        <f>IF(ISERROR(VLOOKUP(D1066,Nombres!A:D,2,FALSE)),"PROBLEMAAAAAA",VLOOKUP(D1066,Nombres!A:D,2,FALSE))</f>
        <v>Baena</v>
      </c>
    </row>
    <row r="1067" spans="1:10" x14ac:dyDescent="0.25">
      <c r="A1067">
        <v>9</v>
      </c>
      <c r="B1067" s="1">
        <v>45947</v>
      </c>
      <c r="C1067" t="s">
        <v>12</v>
      </c>
      <c r="D1067" t="s">
        <v>187</v>
      </c>
      <c r="E1067" t="str">
        <f>IF(ISERROR(VLOOKUP(D1067,Nombres!A:D,4,FALSE)),"PROBLEMAAAAAA",VLOOKUP(D1067,Nombres!A:D,4,FALSE))</f>
        <v>DEL</v>
      </c>
      <c r="F1067" t="str">
        <f>IF(ISERROR(VLOOKUP(D1067,Nombres!A:D,3,FALSE)),"PROBLEMAAAAAA",VLOOKUP(D1067,Nombres!A:D,3,FALSE))</f>
        <v>Sevilla</v>
      </c>
      <c r="G1067">
        <v>2</v>
      </c>
      <c r="H1067" s="2">
        <f t="shared" si="4"/>
        <v>200000</v>
      </c>
      <c r="I1067">
        <f t="shared" si="5"/>
        <v>4</v>
      </c>
      <c r="J1067" t="str">
        <f>IF(ISERROR(VLOOKUP(D1067,Nombres!A:D,2,FALSE)),"PROBLEMAAAAAA",VLOOKUP(D1067,Nombres!A:D,2,FALSE))</f>
        <v>Romero</v>
      </c>
    </row>
    <row r="1068" spans="1:10" x14ac:dyDescent="0.25">
      <c r="A1068">
        <v>9</v>
      </c>
      <c r="B1068" s="1">
        <v>45947</v>
      </c>
      <c r="C1068" t="s">
        <v>12</v>
      </c>
      <c r="D1068" t="s">
        <v>281</v>
      </c>
      <c r="E1068" t="str">
        <f>IF(ISERROR(VLOOKUP(D1068,Nombres!A:D,4,FALSE)),"PROBLEMAAAAAA",VLOOKUP(D1068,Nombres!A:D,4,FALSE))</f>
        <v>DEL</v>
      </c>
      <c r="F1068" t="str">
        <f>IF(ISERROR(VLOOKUP(D1068,Nombres!A:D,3,FALSE)),"PROBLEMAAAAAA",VLOOKUP(D1068,Nombres!A:D,3,FALSE))</f>
        <v>Levante</v>
      </c>
      <c r="G1068">
        <v>4</v>
      </c>
      <c r="H1068" s="2">
        <f t="shared" si="4"/>
        <v>400000</v>
      </c>
      <c r="I1068">
        <f t="shared" si="5"/>
        <v>4</v>
      </c>
      <c r="J1068" t="str">
        <f>IF(ISERROR(VLOOKUP(D1068,Nombres!A:D,2,FALSE)),"PROBLEMAAAAAA",VLOOKUP(D1068,Nombres!A:D,2,FALSE))</f>
        <v>Iván Romero</v>
      </c>
    </row>
    <row r="1069" spans="1:10" x14ac:dyDescent="0.25">
      <c r="A1069">
        <v>10</v>
      </c>
      <c r="B1069" s="1">
        <v>45947</v>
      </c>
      <c r="C1069" t="s">
        <v>12</v>
      </c>
      <c r="D1069" t="s">
        <v>338</v>
      </c>
      <c r="E1069" t="str">
        <f>IF(ISERROR(VLOOKUP(D1069,Nombres!A:D,4,FALSE)),"PROBLEMAAAAAA",VLOOKUP(D1069,Nombres!A:D,4,FALSE))</f>
        <v>POR</v>
      </c>
      <c r="F1069" t="str">
        <f>IF(ISERROR(VLOOKUP(D1069,Nombres!A:D,3,FALSE)),"PROBLEMAAAAAA",VLOOKUP(D1069,Nombres!A:D,3,FALSE))</f>
        <v>Girona</v>
      </c>
      <c r="G1069">
        <v>2</v>
      </c>
      <c r="H1069" s="2">
        <f t="shared" si="4"/>
        <v>200000</v>
      </c>
      <c r="I1069">
        <f t="shared" si="5"/>
        <v>1</v>
      </c>
      <c r="J1069" t="str">
        <f>IF(ISERROR(VLOOKUP(D1069,Nombres!A:D,2,FALSE)),"PROBLEMAAAAAA",VLOOKUP(D1069,Nombres!A:D,2,FALSE))</f>
        <v>Gazzaniga</v>
      </c>
    </row>
    <row r="1070" spans="1:10" x14ac:dyDescent="0.25">
      <c r="A1070">
        <v>10</v>
      </c>
      <c r="B1070" s="1">
        <v>45947</v>
      </c>
      <c r="C1070" t="s">
        <v>12</v>
      </c>
      <c r="D1070" t="s">
        <v>213</v>
      </c>
      <c r="E1070" t="str">
        <f>IF(ISERROR(VLOOKUP(D1070,Nombres!A:D,4,FALSE)),"PROBLEMAAAAAA",VLOOKUP(D1070,Nombres!A:D,4,FALSE))</f>
        <v>DEF</v>
      </c>
      <c r="F1070" t="str">
        <f>IF(ISERROR(VLOOKUP(D1070,Nombres!A:D,3,FALSE)),"PROBLEMAAAAAA",VLOOKUP(D1070,Nombres!A:D,3,FALSE))</f>
        <v>Athletic</v>
      </c>
      <c r="G1070">
        <v>6</v>
      </c>
      <c r="H1070" s="2">
        <f t="shared" si="4"/>
        <v>600000</v>
      </c>
      <c r="I1070">
        <f t="shared" si="5"/>
        <v>2</v>
      </c>
      <c r="J1070" t="str">
        <f>IF(ISERROR(VLOOKUP(D1070,Nombres!A:D,2,FALSE)),"PROBLEMAAAAAA",VLOOKUP(D1070,Nombres!A:D,2,FALSE))</f>
        <v>Vivian</v>
      </c>
    </row>
    <row r="1071" spans="1:10" x14ac:dyDescent="0.25">
      <c r="A1071">
        <v>10</v>
      </c>
      <c r="B1071" s="1">
        <v>45947</v>
      </c>
      <c r="C1071" t="s">
        <v>12</v>
      </c>
      <c r="D1071" t="s">
        <v>310</v>
      </c>
      <c r="E1071" t="str">
        <f>IF(ISERROR(VLOOKUP(D1071,Nombres!A:D,4,FALSE)),"PROBLEMAAAAAA",VLOOKUP(D1071,Nombres!A:D,4,FALSE))</f>
        <v>DEF</v>
      </c>
      <c r="F1071" t="str">
        <f>IF(ISERROR(VLOOKUP(D1071,Nombres!A:D,3,FALSE)),"PROBLEMAAAAAA",VLOOKUP(D1071,Nombres!A:D,3,FALSE))</f>
        <v>Rayo</v>
      </c>
      <c r="G1071">
        <v>7</v>
      </c>
      <c r="H1071" s="2">
        <f t="shared" si="4"/>
        <v>700000</v>
      </c>
      <c r="I1071">
        <f t="shared" si="5"/>
        <v>2</v>
      </c>
      <c r="J1071" t="str">
        <f>IF(ISERROR(VLOOKUP(D1071,Nombres!A:D,2,FALSE)),"PROBLEMAAAAAA",VLOOKUP(D1071,Nombres!A:D,2,FALSE))</f>
        <v>Ratiu</v>
      </c>
    </row>
    <row r="1072" spans="1:10" x14ac:dyDescent="0.25">
      <c r="A1072">
        <v>10</v>
      </c>
      <c r="B1072" s="1">
        <v>45947</v>
      </c>
      <c r="C1072" t="s">
        <v>12</v>
      </c>
      <c r="D1072" t="s">
        <v>200</v>
      </c>
      <c r="E1072" t="str">
        <f>IF(ISERROR(VLOOKUP(D1072,Nombres!A:D,4,FALSE)),"PROBLEMAAAAAA",VLOOKUP(D1072,Nombres!A:D,4,FALSE))</f>
        <v>DEF</v>
      </c>
      <c r="F1072" t="str">
        <f>IF(ISERROR(VLOOKUP(D1072,Nombres!A:D,3,FALSE)),"PROBLEMAAAAAA",VLOOKUP(D1072,Nombres!A:D,3,FALSE))</f>
        <v>Espanyol</v>
      </c>
      <c r="G1072">
        <v>6</v>
      </c>
      <c r="H1072" s="2">
        <f t="shared" si="4"/>
        <v>600000</v>
      </c>
      <c r="I1072">
        <f t="shared" si="5"/>
        <v>2</v>
      </c>
      <c r="J1072" t="str">
        <f>IF(ISERROR(VLOOKUP(D1072,Nombres!A:D,2,FALSE)),"PROBLEMAAAAAA",VLOOKUP(D1072,Nombres!A:D,2,FALSE))</f>
        <v>Cabrera</v>
      </c>
    </row>
    <row r="1073" spans="1:10" x14ac:dyDescent="0.25">
      <c r="A1073">
        <v>10</v>
      </c>
      <c r="B1073" s="1">
        <v>45947</v>
      </c>
      <c r="C1073" t="s">
        <v>12</v>
      </c>
      <c r="D1073" t="s">
        <v>781</v>
      </c>
      <c r="E1073" t="str">
        <f>IF(ISERROR(VLOOKUP(D1073,Nombres!A:D,4,FALSE)),"PROBLEMAAAAAA",VLOOKUP(D1073,Nombres!A:D,4,FALSE))</f>
        <v>DEF</v>
      </c>
      <c r="F1073" t="str">
        <f>IF(ISERROR(VLOOKUP(D1073,Nombres!A:D,3,FALSE)),"PROBLEMAAAAAA",VLOOKUP(D1073,Nombres!A:D,3,FALSE))</f>
        <v>Levante</v>
      </c>
      <c r="G1073">
        <v>5</v>
      </c>
      <c r="H1073" s="2">
        <f t="shared" si="4"/>
        <v>500000</v>
      </c>
      <c r="I1073">
        <f t="shared" si="5"/>
        <v>2</v>
      </c>
      <c r="J1073" t="str">
        <f>IF(ISERROR(VLOOKUP(D1073,Nombres!A:D,2,FALSE)),"PROBLEMAAAAAA",VLOOKUP(D1073,Nombres!A:D,2,FALSE))</f>
        <v>Moreno</v>
      </c>
    </row>
    <row r="1074" spans="1:10" x14ac:dyDescent="0.25">
      <c r="A1074">
        <v>10</v>
      </c>
      <c r="B1074" s="1">
        <v>45947</v>
      </c>
      <c r="C1074" t="s">
        <v>12</v>
      </c>
      <c r="D1074" t="s">
        <v>120</v>
      </c>
      <c r="E1074" t="str">
        <f>IF(ISERROR(VLOOKUP(D1074,Nombres!A:D,4,FALSE)),"PROBLEMAAAAAA",VLOOKUP(D1074,Nombres!A:D,4,FALSE))</f>
        <v>MED</v>
      </c>
      <c r="F1074" t="str">
        <f>IF(ISERROR(VLOOKUP(D1074,Nombres!A:D,3,FALSE)),"PROBLEMAAAAAA",VLOOKUP(D1074,Nombres!A:D,3,FALSE))</f>
        <v>Betis</v>
      </c>
      <c r="G1074">
        <v>1</v>
      </c>
      <c r="H1074" s="2">
        <f t="shared" ref="H1074:H1137" si="6">G1074*100000</f>
        <v>100000</v>
      </c>
      <c r="I1074">
        <f t="shared" ref="I1074:I1137" si="7">IF(E1074="POR",1,IF(E1074="DEF",2,IF(E1074="MED",3,4)))</f>
        <v>3</v>
      </c>
      <c r="J1074" t="str">
        <f>IF(ISERROR(VLOOKUP(D1074,Nombres!A:D,2,FALSE)),"PROBLEMAAAAAA",VLOOKUP(D1074,Nombres!A:D,2,FALSE))</f>
        <v>Fornals</v>
      </c>
    </row>
    <row r="1075" spans="1:10" x14ac:dyDescent="0.25">
      <c r="A1075">
        <v>10</v>
      </c>
      <c r="B1075" s="1">
        <v>45947</v>
      </c>
      <c r="C1075" t="s">
        <v>12</v>
      </c>
      <c r="D1075" t="s">
        <v>204</v>
      </c>
      <c r="E1075" t="str">
        <f>IF(ISERROR(VLOOKUP(D1075,Nombres!A:D,4,FALSE)),"PROBLEMAAAAAA",VLOOKUP(D1075,Nombres!A:D,4,FALSE))</f>
        <v>MED</v>
      </c>
      <c r="F1075" t="str">
        <f>IF(ISERROR(VLOOKUP(D1075,Nombres!A:D,3,FALSE)),"PROBLEMAAAAAA",VLOOKUP(D1075,Nombres!A:D,3,FALSE))</f>
        <v>Atlético</v>
      </c>
      <c r="G1075">
        <v>11</v>
      </c>
      <c r="H1075" s="2">
        <f t="shared" si="6"/>
        <v>1100000</v>
      </c>
      <c r="I1075">
        <f t="shared" si="7"/>
        <v>3</v>
      </c>
      <c r="J1075" t="str">
        <f>IF(ISERROR(VLOOKUP(D1075,Nombres!A:D,2,FALSE)),"PROBLEMAAAAAA",VLOOKUP(D1075,Nombres!A:D,2,FALSE))</f>
        <v>Baena</v>
      </c>
    </row>
    <row r="1076" spans="1:10" x14ac:dyDescent="0.25">
      <c r="A1076">
        <v>10</v>
      </c>
      <c r="B1076" s="1">
        <v>45947</v>
      </c>
      <c r="C1076" t="s">
        <v>12</v>
      </c>
      <c r="D1076" t="s">
        <v>761</v>
      </c>
      <c r="E1076" t="str">
        <f>IF(ISERROR(VLOOKUP(D1076,Nombres!A:D,4,FALSE)),"PROBLEMAAAAAA",VLOOKUP(D1076,Nombres!A:D,4,FALSE))</f>
        <v>MED</v>
      </c>
      <c r="F1076" t="str">
        <f>IF(ISERROR(VLOOKUP(D1076,Nombres!A:D,3,FALSE)),"PROBLEMAAAAAA",VLOOKUP(D1076,Nombres!A:D,3,FALSE))</f>
        <v>Mallorca</v>
      </c>
      <c r="G1076">
        <v>1</v>
      </c>
      <c r="H1076" s="2">
        <f t="shared" si="6"/>
        <v>100000</v>
      </c>
      <c r="I1076">
        <f t="shared" si="7"/>
        <v>3</v>
      </c>
      <c r="J1076" t="str">
        <f>IF(ISERROR(VLOOKUP(D1076,Nombres!A:D,2,FALSE)),"PROBLEMAAAAAA",VLOOKUP(D1076,Nombres!A:D,2,FALSE))</f>
        <v>Samú</v>
      </c>
    </row>
    <row r="1077" spans="1:10" x14ac:dyDescent="0.25">
      <c r="A1077">
        <v>10</v>
      </c>
      <c r="B1077" s="1">
        <v>45947</v>
      </c>
      <c r="C1077" t="s">
        <v>12</v>
      </c>
      <c r="D1077" t="s">
        <v>218</v>
      </c>
      <c r="E1077" t="str">
        <f>IF(ISERROR(VLOOKUP(D1077,Nombres!A:D,4,FALSE)),"PROBLEMAAAAAA",VLOOKUP(D1077,Nombres!A:D,4,FALSE))</f>
        <v>MED</v>
      </c>
      <c r="F1077" t="str">
        <f>IF(ISERROR(VLOOKUP(D1077,Nombres!A:D,3,FALSE)),"PROBLEMAAAAAA",VLOOKUP(D1077,Nombres!A:D,3,FALSE))</f>
        <v>Espanyol</v>
      </c>
      <c r="G1077">
        <v>6</v>
      </c>
      <c r="H1077" s="2">
        <f t="shared" si="6"/>
        <v>600000</v>
      </c>
      <c r="I1077">
        <f t="shared" si="7"/>
        <v>3</v>
      </c>
      <c r="J1077" t="str">
        <f>IF(ISERROR(VLOOKUP(D1077,Nombres!A:D,2,FALSE)),"PROBLEMAAAAAA",VLOOKUP(D1077,Nombres!A:D,2,FALSE))</f>
        <v>Lozano</v>
      </c>
    </row>
    <row r="1078" spans="1:10" x14ac:dyDescent="0.25">
      <c r="A1078">
        <v>10</v>
      </c>
      <c r="B1078" s="1">
        <v>45947</v>
      </c>
      <c r="C1078" t="s">
        <v>12</v>
      </c>
      <c r="D1078" t="s">
        <v>281</v>
      </c>
      <c r="E1078" t="str">
        <f>IF(ISERROR(VLOOKUP(D1078,Nombres!A:D,4,FALSE)),"PROBLEMAAAAAA",VLOOKUP(D1078,Nombres!A:D,4,FALSE))</f>
        <v>DEL</v>
      </c>
      <c r="F1078" t="str">
        <f>IF(ISERROR(VLOOKUP(D1078,Nombres!A:D,3,FALSE)),"PROBLEMAAAAAA",VLOOKUP(D1078,Nombres!A:D,3,FALSE))</f>
        <v>Levante</v>
      </c>
      <c r="G1078">
        <v>0</v>
      </c>
      <c r="H1078" s="2">
        <f t="shared" si="6"/>
        <v>0</v>
      </c>
      <c r="I1078">
        <f t="shared" si="7"/>
        <v>4</v>
      </c>
      <c r="J1078" t="str">
        <f>IF(ISERROR(VLOOKUP(D1078,Nombres!A:D,2,FALSE)),"PROBLEMAAAAAA",VLOOKUP(D1078,Nombres!A:D,2,FALSE))</f>
        <v>Iván Romero</v>
      </c>
    </row>
    <row r="1079" spans="1:10" x14ac:dyDescent="0.25">
      <c r="A1079">
        <v>10</v>
      </c>
      <c r="B1079" s="1">
        <v>45947</v>
      </c>
      <c r="C1079" t="s">
        <v>12</v>
      </c>
      <c r="D1079" t="s">
        <v>426</v>
      </c>
      <c r="E1079" t="str">
        <f>IF(ISERROR(VLOOKUP(D1079,Nombres!A:D,4,FALSE)),"PROBLEMAAAAAA",VLOOKUP(D1079,Nombres!A:D,4,FALSE))</f>
        <v>DEL</v>
      </c>
      <c r="F1079" t="str">
        <f>IF(ISERROR(VLOOKUP(D1079,Nombres!A:D,3,FALSE)),"PROBLEMAAAAAA",VLOOKUP(D1079,Nombres!A:D,3,FALSE))</f>
        <v>Espanyol</v>
      </c>
      <c r="G1079">
        <v>5</v>
      </c>
      <c r="H1079" s="2">
        <f t="shared" si="6"/>
        <v>500000</v>
      </c>
      <c r="I1079">
        <f t="shared" si="7"/>
        <v>4</v>
      </c>
      <c r="J1079" t="str">
        <f>IF(ISERROR(VLOOKUP(D1079,Nombres!A:D,2,FALSE)),"PROBLEMAAAAAA",VLOOKUP(D1079,Nombres!A:D,2,FALSE))</f>
        <v>Pere Milla</v>
      </c>
    </row>
    <row r="1080" spans="1:10" x14ac:dyDescent="0.25">
      <c r="A1080">
        <v>11</v>
      </c>
      <c r="B1080" s="1">
        <v>45968</v>
      </c>
      <c r="C1080" t="s">
        <v>12</v>
      </c>
      <c r="D1080" t="s">
        <v>266</v>
      </c>
      <c r="E1080" t="str">
        <f>IF(ISERROR(VLOOKUP(D1080,Nombres!A:D,4,FALSE)),"PROBLEMAAAAAA",VLOOKUP(D1080,Nombres!A:D,4,FALSE))</f>
        <v>POR</v>
      </c>
      <c r="F1080" t="str">
        <f>IF(ISERROR(VLOOKUP(D1080,Nombres!A:D,3,FALSE)),"PROBLEMAAAAAA",VLOOKUP(D1080,Nombres!A:D,3,FALSE))</f>
        <v>Betis</v>
      </c>
      <c r="G1080">
        <v>0</v>
      </c>
      <c r="H1080" s="2">
        <f t="shared" si="6"/>
        <v>0</v>
      </c>
      <c r="I1080">
        <f t="shared" si="7"/>
        <v>1</v>
      </c>
      <c r="J1080" t="str">
        <f>IF(ISERROR(VLOOKUP(D1080,Nombres!A:D,2,FALSE)),"PROBLEMAAAAAA",VLOOKUP(D1080,Nombres!A:D,2,FALSE))</f>
        <v>Pau López</v>
      </c>
    </row>
    <row r="1081" spans="1:10" x14ac:dyDescent="0.25">
      <c r="A1081">
        <v>11</v>
      </c>
      <c r="B1081" s="1">
        <v>45968</v>
      </c>
      <c r="C1081" t="s">
        <v>12</v>
      </c>
      <c r="D1081" t="s">
        <v>200</v>
      </c>
      <c r="E1081" t="str">
        <f>IF(ISERROR(VLOOKUP(D1081,Nombres!A:D,4,FALSE)),"PROBLEMAAAAAA",VLOOKUP(D1081,Nombres!A:D,4,FALSE))</f>
        <v>DEF</v>
      </c>
      <c r="F1081" t="str">
        <f>IF(ISERROR(VLOOKUP(D1081,Nombres!A:D,3,FALSE)),"PROBLEMAAAAAA",VLOOKUP(D1081,Nombres!A:D,3,FALSE))</f>
        <v>Espanyol</v>
      </c>
      <c r="G1081">
        <v>1</v>
      </c>
      <c r="H1081" s="2">
        <f t="shared" si="6"/>
        <v>100000</v>
      </c>
      <c r="I1081">
        <f t="shared" si="7"/>
        <v>2</v>
      </c>
      <c r="J1081" t="str">
        <f>IF(ISERROR(VLOOKUP(D1081,Nombres!A:D,2,FALSE)),"PROBLEMAAAAAA",VLOOKUP(D1081,Nombres!A:D,2,FALSE))</f>
        <v>Cabrera</v>
      </c>
    </row>
    <row r="1082" spans="1:10" x14ac:dyDescent="0.25">
      <c r="A1082">
        <v>11</v>
      </c>
      <c r="B1082" s="1">
        <v>45968</v>
      </c>
      <c r="C1082" t="s">
        <v>12</v>
      </c>
      <c r="D1082" t="s">
        <v>781</v>
      </c>
      <c r="E1082" t="str">
        <f>IF(ISERROR(VLOOKUP(D1082,Nombres!A:D,4,FALSE)),"PROBLEMAAAAAA",VLOOKUP(D1082,Nombres!A:D,4,FALSE))</f>
        <v>DEF</v>
      </c>
      <c r="F1082" t="str">
        <f>IF(ISERROR(VLOOKUP(D1082,Nombres!A:D,3,FALSE)),"PROBLEMAAAAAA",VLOOKUP(D1082,Nombres!A:D,3,FALSE))</f>
        <v>Levante</v>
      </c>
      <c r="G1082">
        <v>3</v>
      </c>
      <c r="H1082" s="2">
        <f t="shared" si="6"/>
        <v>300000</v>
      </c>
      <c r="I1082">
        <f t="shared" si="7"/>
        <v>2</v>
      </c>
      <c r="J1082" t="str">
        <f>IF(ISERROR(VLOOKUP(D1082,Nombres!A:D,2,FALSE)),"PROBLEMAAAAAA",VLOOKUP(D1082,Nombres!A:D,2,FALSE))</f>
        <v>Moreno</v>
      </c>
    </row>
    <row r="1083" spans="1:10" x14ac:dyDescent="0.25">
      <c r="A1083">
        <v>11</v>
      </c>
      <c r="B1083" s="1">
        <v>45968</v>
      </c>
      <c r="C1083" t="s">
        <v>12</v>
      </c>
      <c r="D1083" t="s">
        <v>163</v>
      </c>
      <c r="E1083" t="str">
        <f>IF(ISERROR(VLOOKUP(D1083,Nombres!A:D,4,FALSE)),"PROBLEMAAAAAA",VLOOKUP(D1083,Nombres!A:D,4,FALSE))</f>
        <v>DEF</v>
      </c>
      <c r="F1083" t="str">
        <f>IF(ISERROR(VLOOKUP(D1083,Nombres!A:D,3,FALSE)),"PROBLEMAAAAAA",VLOOKUP(D1083,Nombres!A:D,3,FALSE))</f>
        <v>Atlético</v>
      </c>
      <c r="G1083">
        <v>7</v>
      </c>
      <c r="H1083" s="2">
        <f t="shared" si="6"/>
        <v>700000</v>
      </c>
      <c r="I1083">
        <f t="shared" si="7"/>
        <v>2</v>
      </c>
      <c r="J1083" t="str">
        <f>IF(ISERROR(VLOOKUP(D1083,Nombres!A:D,2,FALSE)),"PROBLEMAAAAAA",VLOOKUP(D1083,Nombres!A:D,2,FALSE))</f>
        <v>Giménez</v>
      </c>
    </row>
    <row r="1084" spans="1:10" x14ac:dyDescent="0.25">
      <c r="A1084">
        <v>11</v>
      </c>
      <c r="B1084" s="1">
        <v>45968</v>
      </c>
      <c r="C1084" t="s">
        <v>12</v>
      </c>
      <c r="D1084" t="s">
        <v>334</v>
      </c>
      <c r="E1084" t="str">
        <f>IF(ISERROR(VLOOKUP(D1084,Nombres!A:D,4,FALSE)),"PROBLEMAAAAAA",VLOOKUP(D1084,Nombres!A:D,4,FALSE))</f>
        <v>DEF</v>
      </c>
      <c r="F1084" t="str">
        <f>IF(ISERROR(VLOOKUP(D1084,Nombres!A:D,3,FALSE)),"PROBLEMAAAAAA",VLOOKUP(D1084,Nombres!A:D,3,FALSE))</f>
        <v>Getafe</v>
      </c>
      <c r="G1084">
        <v>2</v>
      </c>
      <c r="H1084" s="2">
        <f t="shared" si="6"/>
        <v>200000</v>
      </c>
      <c r="I1084">
        <f t="shared" si="7"/>
        <v>2</v>
      </c>
      <c r="J1084" t="str">
        <f>IF(ISERROR(VLOOKUP(D1084,Nombres!A:D,2,FALSE)),"PROBLEMAAAAAA",VLOOKUP(D1084,Nombres!A:D,2,FALSE))</f>
        <v>Femenia</v>
      </c>
    </row>
    <row r="1085" spans="1:10" x14ac:dyDescent="0.25">
      <c r="A1085">
        <v>11</v>
      </c>
      <c r="B1085" s="1">
        <v>45968</v>
      </c>
      <c r="C1085" t="s">
        <v>12</v>
      </c>
      <c r="D1085" t="s">
        <v>120</v>
      </c>
      <c r="E1085" t="str">
        <f>IF(ISERROR(VLOOKUP(D1085,Nombres!A:D,4,FALSE)),"PROBLEMAAAAAA",VLOOKUP(D1085,Nombres!A:D,4,FALSE))</f>
        <v>MED</v>
      </c>
      <c r="F1085" t="str">
        <f>IF(ISERROR(VLOOKUP(D1085,Nombres!A:D,3,FALSE)),"PROBLEMAAAAAA",VLOOKUP(D1085,Nombres!A:D,3,FALSE))</f>
        <v>Betis</v>
      </c>
      <c r="G1085">
        <v>6</v>
      </c>
      <c r="H1085" s="2">
        <f t="shared" si="6"/>
        <v>600000</v>
      </c>
      <c r="I1085">
        <f t="shared" si="7"/>
        <v>3</v>
      </c>
      <c r="J1085" t="str">
        <f>IF(ISERROR(VLOOKUP(D1085,Nombres!A:D,2,FALSE)),"PROBLEMAAAAAA",VLOOKUP(D1085,Nombres!A:D,2,FALSE))</f>
        <v>Fornals</v>
      </c>
    </row>
    <row r="1086" spans="1:10" x14ac:dyDescent="0.25">
      <c r="A1086">
        <v>11</v>
      </c>
      <c r="B1086" s="1">
        <v>45968</v>
      </c>
      <c r="C1086" t="s">
        <v>12</v>
      </c>
      <c r="D1086" t="s">
        <v>218</v>
      </c>
      <c r="E1086" t="str">
        <f>IF(ISERROR(VLOOKUP(D1086,Nombres!A:D,4,FALSE)),"PROBLEMAAAAAA",VLOOKUP(D1086,Nombres!A:D,4,FALSE))</f>
        <v>MED</v>
      </c>
      <c r="F1086" t="str">
        <f>IF(ISERROR(VLOOKUP(D1086,Nombres!A:D,3,FALSE)),"PROBLEMAAAAAA",VLOOKUP(D1086,Nombres!A:D,3,FALSE))</f>
        <v>Espanyol</v>
      </c>
      <c r="G1086">
        <v>3</v>
      </c>
      <c r="H1086" s="2">
        <f t="shared" si="6"/>
        <v>300000</v>
      </c>
      <c r="I1086">
        <f t="shared" si="7"/>
        <v>3</v>
      </c>
      <c r="J1086" t="str">
        <f>IF(ISERROR(VLOOKUP(D1086,Nombres!A:D,2,FALSE)),"PROBLEMAAAAAA",VLOOKUP(D1086,Nombres!A:D,2,FALSE))</f>
        <v>Lozano</v>
      </c>
    </row>
    <row r="1087" spans="1:10" x14ac:dyDescent="0.25">
      <c r="A1087">
        <v>11</v>
      </c>
      <c r="B1087" s="1">
        <v>45968</v>
      </c>
      <c r="C1087" t="s">
        <v>12</v>
      </c>
      <c r="D1087" t="s">
        <v>271</v>
      </c>
      <c r="E1087" t="str">
        <f>IF(ISERROR(VLOOKUP(D1087,Nombres!A:D,4,FALSE)),"PROBLEMAAAAAA",VLOOKUP(D1087,Nombres!A:D,4,FALSE))</f>
        <v>MED</v>
      </c>
      <c r="F1087" t="str">
        <f>IF(ISERROR(VLOOKUP(D1087,Nombres!A:D,3,FALSE)),"PROBLEMAAAAAA",VLOOKUP(D1087,Nombres!A:D,3,FALSE))</f>
        <v>Espanyol</v>
      </c>
      <c r="G1087">
        <v>5</v>
      </c>
      <c r="H1087" s="2">
        <f t="shared" si="6"/>
        <v>500000</v>
      </c>
      <c r="I1087">
        <f t="shared" si="7"/>
        <v>3</v>
      </c>
      <c r="J1087" t="str">
        <f>IF(ISERROR(VLOOKUP(D1087,Nombres!A:D,2,FALSE)),"PROBLEMAAAAAA",VLOOKUP(D1087,Nombres!A:D,2,FALSE))</f>
        <v>Edu Expósito</v>
      </c>
    </row>
    <row r="1088" spans="1:10" x14ac:dyDescent="0.25">
      <c r="A1088">
        <v>11</v>
      </c>
      <c r="B1088" s="1">
        <v>45968</v>
      </c>
      <c r="C1088" t="s">
        <v>12</v>
      </c>
      <c r="D1088" t="s">
        <v>689</v>
      </c>
      <c r="E1088" t="str">
        <f>IF(ISERROR(VLOOKUP(D1088,Nombres!A:D,4,FALSE)),"PROBLEMAAAAAA",VLOOKUP(D1088,Nombres!A:D,4,FALSE))</f>
        <v>DEL</v>
      </c>
      <c r="F1088" t="str">
        <f>IF(ISERROR(VLOOKUP(D1088,Nombres!A:D,3,FALSE)),"PROBLEMAAAAAA",VLOOKUP(D1088,Nombres!A:D,3,FALSE))</f>
        <v>Barcelona</v>
      </c>
      <c r="G1088">
        <v>11</v>
      </c>
      <c r="H1088" s="2">
        <f t="shared" si="6"/>
        <v>1100000</v>
      </c>
      <c r="I1088">
        <f t="shared" si="7"/>
        <v>4</v>
      </c>
      <c r="J1088" t="str">
        <f>IF(ISERROR(VLOOKUP(D1088,Nombres!A:D,2,FALSE)),"PROBLEMAAAAAA",VLOOKUP(D1088,Nombres!A:D,2,FALSE))</f>
        <v>Rashford</v>
      </c>
    </row>
    <row r="1089" spans="1:10" x14ac:dyDescent="0.25">
      <c r="A1089">
        <v>11</v>
      </c>
      <c r="B1089" s="1">
        <v>45968</v>
      </c>
      <c r="C1089" t="s">
        <v>12</v>
      </c>
      <c r="D1089" t="s">
        <v>148</v>
      </c>
      <c r="E1089" t="str">
        <f>IF(ISERROR(VLOOKUP(D1089,Nombres!A:D,4,FALSE)),"PROBLEMAAAAAA",VLOOKUP(D1089,Nombres!A:D,4,FALSE))</f>
        <v>DEL</v>
      </c>
      <c r="F1089" t="str">
        <f>IF(ISERROR(VLOOKUP(D1089,Nombres!A:D,3,FALSE)),"PROBLEMAAAAAA",VLOOKUP(D1089,Nombres!A:D,3,FALSE))</f>
        <v>Villarreal</v>
      </c>
      <c r="G1089">
        <v>14</v>
      </c>
      <c r="H1089" s="2">
        <f t="shared" si="6"/>
        <v>1400000</v>
      </c>
      <c r="I1089">
        <f t="shared" si="7"/>
        <v>4</v>
      </c>
      <c r="J1089" t="str">
        <f>IF(ISERROR(VLOOKUP(D1089,Nombres!A:D,2,FALSE)),"PROBLEMAAAAAA",VLOOKUP(D1089,Nombres!A:D,2,FALSE))</f>
        <v>Gerard</v>
      </c>
    </row>
    <row r="1090" spans="1:10" x14ac:dyDescent="0.25">
      <c r="A1090">
        <v>11</v>
      </c>
      <c r="B1090" s="1">
        <v>45968</v>
      </c>
      <c r="C1090" t="s">
        <v>12</v>
      </c>
      <c r="D1090" t="s">
        <v>136</v>
      </c>
      <c r="E1090" t="str">
        <f>IF(ISERROR(VLOOKUP(D1090,Nombres!A:D,4,FALSE)),"PROBLEMAAAAAA",VLOOKUP(D1090,Nombres!A:D,4,FALSE))</f>
        <v>DEL</v>
      </c>
      <c r="F1090" t="str">
        <f>IF(ISERROR(VLOOKUP(D1090,Nombres!A:D,3,FALSE)),"PROBLEMAAAAAA",VLOOKUP(D1090,Nombres!A:D,3,FALSE))</f>
        <v>Real Sociedad</v>
      </c>
      <c r="G1090">
        <v>8</v>
      </c>
      <c r="H1090" s="2">
        <f t="shared" si="6"/>
        <v>800000</v>
      </c>
      <c r="I1090">
        <f t="shared" si="7"/>
        <v>4</v>
      </c>
      <c r="J1090" t="str">
        <f>IF(ISERROR(VLOOKUP(D1090,Nombres!A:D,2,FALSE)),"PROBLEMAAAAAA",VLOOKUP(D1090,Nombres!A:D,2,FALSE))</f>
        <v>Oyarzabal</v>
      </c>
    </row>
    <row r="1091" spans="1:10" x14ac:dyDescent="0.25">
      <c r="A1091">
        <v>12</v>
      </c>
      <c r="B1091" s="1">
        <v>45968</v>
      </c>
      <c r="C1091" t="s">
        <v>12</v>
      </c>
      <c r="D1091" t="s">
        <v>338</v>
      </c>
      <c r="E1091" t="str">
        <f>IF(ISERROR(VLOOKUP(D1091,Nombres!A:D,4,FALSE)),"PROBLEMAAAAAA",VLOOKUP(D1091,Nombres!A:D,4,FALSE))</f>
        <v>POR</v>
      </c>
      <c r="F1091" t="str">
        <f>IF(ISERROR(VLOOKUP(D1091,Nombres!A:D,3,FALSE)),"PROBLEMAAAAAA",VLOOKUP(D1091,Nombres!A:D,3,FALSE))</f>
        <v>Girona</v>
      </c>
      <c r="G1091">
        <v>14</v>
      </c>
      <c r="H1091" s="2">
        <f t="shared" si="6"/>
        <v>1400000</v>
      </c>
      <c r="I1091">
        <f t="shared" si="7"/>
        <v>1</v>
      </c>
      <c r="J1091" t="str">
        <f>IF(ISERROR(VLOOKUP(D1091,Nombres!A:D,2,FALSE)),"PROBLEMAAAAAA",VLOOKUP(D1091,Nombres!A:D,2,FALSE))</f>
        <v>Gazzaniga</v>
      </c>
    </row>
    <row r="1092" spans="1:10" x14ac:dyDescent="0.25">
      <c r="A1092">
        <v>12</v>
      </c>
      <c r="B1092" s="1">
        <v>45968</v>
      </c>
      <c r="C1092" t="s">
        <v>12</v>
      </c>
      <c r="D1092" t="s">
        <v>163</v>
      </c>
      <c r="E1092" t="str">
        <f>IF(ISERROR(VLOOKUP(D1092,Nombres!A:D,4,FALSE)),"PROBLEMAAAAAA",VLOOKUP(D1092,Nombres!A:D,4,FALSE))</f>
        <v>DEF</v>
      </c>
      <c r="F1092" t="str">
        <f>IF(ISERROR(VLOOKUP(D1092,Nombres!A:D,3,FALSE)),"PROBLEMAAAAAA",VLOOKUP(D1092,Nombres!A:D,3,FALSE))</f>
        <v>Atlético</v>
      </c>
      <c r="G1092">
        <v>3</v>
      </c>
      <c r="H1092" s="2">
        <f t="shared" si="6"/>
        <v>300000</v>
      </c>
      <c r="I1092">
        <f t="shared" si="7"/>
        <v>2</v>
      </c>
      <c r="J1092" t="str">
        <f>IF(ISERROR(VLOOKUP(D1092,Nombres!A:D,2,FALSE)),"PROBLEMAAAAAA",VLOOKUP(D1092,Nombres!A:D,2,FALSE))</f>
        <v>Giménez</v>
      </c>
    </row>
    <row r="1093" spans="1:10" x14ac:dyDescent="0.25">
      <c r="A1093">
        <v>12</v>
      </c>
      <c r="B1093" s="1">
        <v>45968</v>
      </c>
      <c r="C1093" t="s">
        <v>12</v>
      </c>
      <c r="D1093" t="s">
        <v>197</v>
      </c>
      <c r="E1093" t="str">
        <f>IF(ISERROR(VLOOKUP(D1093,Nombres!A:D,4,FALSE)),"PROBLEMAAAAAA",VLOOKUP(D1093,Nombres!A:D,4,FALSE))</f>
        <v>DEF</v>
      </c>
      <c r="F1093" t="str">
        <f>IF(ISERROR(VLOOKUP(D1093,Nombres!A:D,3,FALSE)),"PROBLEMAAAAAA",VLOOKUP(D1093,Nombres!A:D,3,FALSE))</f>
        <v>Mallorca</v>
      </c>
      <c r="G1093">
        <v>8</v>
      </c>
      <c r="H1093" s="2">
        <f t="shared" si="6"/>
        <v>800000</v>
      </c>
      <c r="I1093">
        <f t="shared" si="7"/>
        <v>2</v>
      </c>
      <c r="J1093" t="str">
        <f>IF(ISERROR(VLOOKUP(D1093,Nombres!A:D,2,FALSE)),"PROBLEMAAAAAA",VLOOKUP(D1093,Nombres!A:D,2,FALSE))</f>
        <v>Valjent</v>
      </c>
    </row>
    <row r="1094" spans="1:10" x14ac:dyDescent="0.25">
      <c r="A1094">
        <v>12</v>
      </c>
      <c r="B1094" s="1">
        <v>45968</v>
      </c>
      <c r="C1094" t="s">
        <v>12</v>
      </c>
      <c r="D1094" t="s">
        <v>55</v>
      </c>
      <c r="E1094" t="str">
        <f>IF(ISERROR(VLOOKUP(D1094,Nombres!A:D,4,FALSE)),"PROBLEMAAAAAA",VLOOKUP(D1094,Nombres!A:D,4,FALSE))</f>
        <v>DEF</v>
      </c>
      <c r="F1094" t="str">
        <f>IF(ISERROR(VLOOKUP(D1094,Nombres!A:D,3,FALSE)),"PROBLEMAAAAAA",VLOOKUP(D1094,Nombres!A:D,3,FALSE))</f>
        <v>Athletic</v>
      </c>
      <c r="G1094">
        <v>10</v>
      </c>
      <c r="H1094" s="2">
        <f t="shared" si="6"/>
        <v>1000000</v>
      </c>
      <c r="I1094">
        <f t="shared" si="7"/>
        <v>2</v>
      </c>
      <c r="J1094" t="str">
        <f>IF(ISERROR(VLOOKUP(D1094,Nombres!A:D,2,FALSE)),"PROBLEMAAAAAA",VLOOKUP(D1094,Nombres!A:D,2,FALSE))</f>
        <v>Gorosabel</v>
      </c>
    </row>
    <row r="1095" spans="1:10" x14ac:dyDescent="0.25">
      <c r="A1095">
        <v>12</v>
      </c>
      <c r="B1095" s="1">
        <v>45968</v>
      </c>
      <c r="C1095" t="s">
        <v>12</v>
      </c>
      <c r="D1095" t="s">
        <v>120</v>
      </c>
      <c r="E1095" t="str">
        <f>IF(ISERROR(VLOOKUP(D1095,Nombres!A:D,4,FALSE)),"PROBLEMAAAAAA",VLOOKUP(D1095,Nombres!A:D,4,FALSE))</f>
        <v>MED</v>
      </c>
      <c r="F1095" t="str">
        <f>IF(ISERROR(VLOOKUP(D1095,Nombres!A:D,3,FALSE)),"PROBLEMAAAAAA",VLOOKUP(D1095,Nombres!A:D,3,FALSE))</f>
        <v>Betis</v>
      </c>
      <c r="G1095">
        <v>7</v>
      </c>
      <c r="H1095" s="2">
        <f t="shared" si="6"/>
        <v>700000</v>
      </c>
      <c r="I1095">
        <f t="shared" si="7"/>
        <v>3</v>
      </c>
      <c r="J1095" t="str">
        <f>IF(ISERROR(VLOOKUP(D1095,Nombres!A:D,2,FALSE)),"PROBLEMAAAAAA",VLOOKUP(D1095,Nombres!A:D,2,FALSE))</f>
        <v>Fornals</v>
      </c>
    </row>
    <row r="1096" spans="1:10" x14ac:dyDescent="0.25">
      <c r="A1096">
        <v>12</v>
      </c>
      <c r="B1096" s="1">
        <v>45968</v>
      </c>
      <c r="C1096" t="s">
        <v>12</v>
      </c>
      <c r="D1096" t="s">
        <v>761</v>
      </c>
      <c r="E1096" t="str">
        <f>IF(ISERROR(VLOOKUP(D1096,Nombres!A:D,4,FALSE)),"PROBLEMAAAAAA",VLOOKUP(D1096,Nombres!A:D,4,FALSE))</f>
        <v>MED</v>
      </c>
      <c r="F1096" t="str">
        <f>IF(ISERROR(VLOOKUP(D1096,Nombres!A:D,3,FALSE)),"PROBLEMAAAAAA",VLOOKUP(D1096,Nombres!A:D,3,FALSE))</f>
        <v>Mallorca</v>
      </c>
      <c r="G1096">
        <v>8</v>
      </c>
      <c r="H1096" s="2">
        <f t="shared" si="6"/>
        <v>800000</v>
      </c>
      <c r="I1096">
        <f t="shared" si="7"/>
        <v>3</v>
      </c>
      <c r="J1096" t="str">
        <f>IF(ISERROR(VLOOKUP(D1096,Nombres!A:D,2,FALSE)),"PROBLEMAAAAAA",VLOOKUP(D1096,Nombres!A:D,2,FALSE))</f>
        <v>Samú</v>
      </c>
    </row>
    <row r="1097" spans="1:10" x14ac:dyDescent="0.25">
      <c r="A1097">
        <v>12</v>
      </c>
      <c r="B1097" s="1">
        <v>45968</v>
      </c>
      <c r="C1097" t="s">
        <v>12</v>
      </c>
      <c r="D1097" t="s">
        <v>271</v>
      </c>
      <c r="E1097" t="str">
        <f>IF(ISERROR(VLOOKUP(D1097,Nombres!A:D,4,FALSE)),"PROBLEMAAAAAA",VLOOKUP(D1097,Nombres!A:D,4,FALSE))</f>
        <v>MED</v>
      </c>
      <c r="F1097" t="str">
        <f>IF(ISERROR(VLOOKUP(D1097,Nombres!A:D,3,FALSE)),"PROBLEMAAAAAA",VLOOKUP(D1097,Nombres!A:D,3,FALSE))</f>
        <v>Espanyol</v>
      </c>
      <c r="G1097">
        <v>1</v>
      </c>
      <c r="H1097" s="2">
        <f t="shared" si="6"/>
        <v>100000</v>
      </c>
      <c r="I1097">
        <f t="shared" si="7"/>
        <v>3</v>
      </c>
      <c r="J1097" t="str">
        <f>IF(ISERROR(VLOOKUP(D1097,Nombres!A:D,2,FALSE)),"PROBLEMAAAAAA",VLOOKUP(D1097,Nombres!A:D,2,FALSE))</f>
        <v>Edu Expósito</v>
      </c>
    </row>
    <row r="1098" spans="1:10" x14ac:dyDescent="0.25">
      <c r="A1098">
        <v>12</v>
      </c>
      <c r="B1098" s="1">
        <v>45968</v>
      </c>
      <c r="C1098" t="s">
        <v>12</v>
      </c>
      <c r="D1098" t="s">
        <v>466</v>
      </c>
      <c r="E1098" t="str">
        <f>IF(ISERROR(VLOOKUP(D1098,Nombres!A:D,4,FALSE)),"PROBLEMAAAAAA",VLOOKUP(D1098,Nombres!A:D,4,FALSE))</f>
        <v>MED</v>
      </c>
      <c r="F1098" t="str">
        <f>IF(ISERROR(VLOOKUP(D1098,Nombres!A:D,3,FALSE)),"PROBLEMAAAAAA",VLOOKUP(D1098,Nombres!A:D,3,FALSE))</f>
        <v>Elche</v>
      </c>
      <c r="G1098">
        <v>5</v>
      </c>
      <c r="H1098" s="2">
        <f t="shared" si="6"/>
        <v>500000</v>
      </c>
      <c r="I1098">
        <f t="shared" si="7"/>
        <v>3</v>
      </c>
      <c r="J1098" t="str">
        <f>IF(ISERROR(VLOOKUP(D1098,Nombres!A:D,2,FALSE)),"PROBLEMAAAAAA",VLOOKUP(D1098,Nombres!A:D,2,FALSE))</f>
        <v>Aguado</v>
      </c>
    </row>
    <row r="1099" spans="1:10" x14ac:dyDescent="0.25">
      <c r="A1099">
        <v>12</v>
      </c>
      <c r="B1099" s="1">
        <v>45968</v>
      </c>
      <c r="C1099" t="s">
        <v>12</v>
      </c>
      <c r="D1099" t="s">
        <v>689</v>
      </c>
      <c r="E1099" t="str">
        <f>IF(ISERROR(VLOOKUP(D1099,Nombres!A:D,4,FALSE)),"PROBLEMAAAAAA",VLOOKUP(D1099,Nombres!A:D,4,FALSE))</f>
        <v>DEL</v>
      </c>
      <c r="F1099" t="str">
        <f>IF(ISERROR(VLOOKUP(D1099,Nombres!A:D,3,FALSE)),"PROBLEMAAAAAA",VLOOKUP(D1099,Nombres!A:D,3,FALSE))</f>
        <v>Barcelona</v>
      </c>
      <c r="G1099">
        <v>13</v>
      </c>
      <c r="H1099" s="2">
        <f t="shared" si="6"/>
        <v>1300000</v>
      </c>
      <c r="I1099">
        <f t="shared" si="7"/>
        <v>4</v>
      </c>
      <c r="J1099" t="str">
        <f>IF(ISERROR(VLOOKUP(D1099,Nombres!A:D,2,FALSE)),"PROBLEMAAAAAA",VLOOKUP(D1099,Nombres!A:D,2,FALSE))</f>
        <v>Rashford</v>
      </c>
    </row>
    <row r="1100" spans="1:10" x14ac:dyDescent="0.25">
      <c r="A1100">
        <v>12</v>
      </c>
      <c r="B1100" s="1">
        <v>45968</v>
      </c>
      <c r="C1100" t="s">
        <v>12</v>
      </c>
      <c r="D1100" t="s">
        <v>148</v>
      </c>
      <c r="E1100" t="str">
        <f>IF(ISERROR(VLOOKUP(D1100,Nombres!A:D,4,FALSE)),"PROBLEMAAAAAA",VLOOKUP(D1100,Nombres!A:D,4,FALSE))</f>
        <v>DEL</v>
      </c>
      <c r="F1100" t="str">
        <f>IF(ISERROR(VLOOKUP(D1100,Nombres!A:D,3,FALSE)),"PROBLEMAAAAAA",VLOOKUP(D1100,Nombres!A:D,3,FALSE))</f>
        <v>Villarreal</v>
      </c>
      <c r="G1100">
        <v>12</v>
      </c>
      <c r="H1100" s="2">
        <f t="shared" si="6"/>
        <v>1200000</v>
      </c>
      <c r="I1100">
        <f t="shared" si="7"/>
        <v>4</v>
      </c>
      <c r="J1100" t="str">
        <f>IF(ISERROR(VLOOKUP(D1100,Nombres!A:D,2,FALSE)),"PROBLEMAAAAAA",VLOOKUP(D1100,Nombres!A:D,2,FALSE))</f>
        <v>Gerard</v>
      </c>
    </row>
    <row r="1101" spans="1:10" x14ac:dyDescent="0.25">
      <c r="A1101">
        <v>12</v>
      </c>
      <c r="B1101" s="1">
        <v>45968</v>
      </c>
      <c r="C1101" t="s">
        <v>12</v>
      </c>
      <c r="D1101" t="s">
        <v>136</v>
      </c>
      <c r="E1101" t="str">
        <f>IF(ISERROR(VLOOKUP(D1101,Nombres!A:D,4,FALSE)),"PROBLEMAAAAAA",VLOOKUP(D1101,Nombres!A:D,4,FALSE))</f>
        <v>DEL</v>
      </c>
      <c r="F1101" t="str">
        <f>IF(ISERROR(VLOOKUP(D1101,Nombres!A:D,3,FALSE)),"PROBLEMAAAAAA",VLOOKUP(D1101,Nombres!A:D,3,FALSE))</f>
        <v>Real Sociedad</v>
      </c>
      <c r="G1101">
        <v>9</v>
      </c>
      <c r="H1101" s="2">
        <f t="shared" si="6"/>
        <v>900000</v>
      </c>
      <c r="I1101">
        <f t="shared" si="7"/>
        <v>4</v>
      </c>
      <c r="J1101" t="str">
        <f>IF(ISERROR(VLOOKUP(D1101,Nombres!A:D,2,FALSE)),"PROBLEMAAAAAA",VLOOKUP(D1101,Nombres!A:D,2,FALSE))</f>
        <v>Oyarzabal</v>
      </c>
    </row>
    <row r="1102" spans="1:10" x14ac:dyDescent="0.25">
      <c r="A1102">
        <v>9</v>
      </c>
      <c r="B1102" s="1">
        <v>45947</v>
      </c>
      <c r="C1102" t="s">
        <v>6</v>
      </c>
      <c r="D1102" t="s">
        <v>137</v>
      </c>
      <c r="E1102" t="str">
        <f>IF(ISERROR(VLOOKUP(D1102,Nombres!A:D,4,FALSE)),"PROBLEMAAAAAA",VLOOKUP(D1102,Nombres!A:D,4,FALSE))</f>
        <v>POR</v>
      </c>
      <c r="F1102" t="str">
        <f>IF(ISERROR(VLOOKUP(D1102,Nombres!A:D,3,FALSE)),"PROBLEMAAAAAA",VLOOKUP(D1102,Nombres!A:D,3,FALSE))</f>
        <v>Alavés</v>
      </c>
      <c r="G1102">
        <v>10</v>
      </c>
      <c r="H1102" s="2">
        <f t="shared" si="6"/>
        <v>1000000</v>
      </c>
      <c r="I1102">
        <f t="shared" si="7"/>
        <v>1</v>
      </c>
      <c r="J1102" t="str">
        <f>IF(ISERROR(VLOOKUP(D1102,Nombres!A:D,2,FALSE)),"PROBLEMAAAAAA",VLOOKUP(D1102,Nombres!A:D,2,FALSE))</f>
        <v>Sivera</v>
      </c>
    </row>
    <row r="1103" spans="1:10" x14ac:dyDescent="0.25">
      <c r="A1103">
        <v>9</v>
      </c>
      <c r="B1103" s="1">
        <v>45947</v>
      </c>
      <c r="C1103" t="s">
        <v>6</v>
      </c>
      <c r="D1103" t="s">
        <v>118</v>
      </c>
      <c r="E1103" t="str">
        <f>IF(ISERROR(VLOOKUP(D1103,Nombres!A:D,4,FALSE)),"PROBLEMAAAAAA",VLOOKUP(D1103,Nombres!A:D,4,FALSE))</f>
        <v>DEF</v>
      </c>
      <c r="F1103" t="str">
        <f>IF(ISERROR(VLOOKUP(D1103,Nombres!A:D,3,FALSE)),"PROBLEMAAAAAA",VLOOKUP(D1103,Nombres!A:D,3,FALSE))</f>
        <v>Betis</v>
      </c>
      <c r="G1103">
        <v>7</v>
      </c>
      <c r="H1103" s="2">
        <f t="shared" si="6"/>
        <v>700000</v>
      </c>
      <c r="I1103">
        <f t="shared" si="7"/>
        <v>2</v>
      </c>
      <c r="J1103" t="str">
        <f>IF(ISERROR(VLOOKUP(D1103,Nombres!A:D,2,FALSE)),"PROBLEMAAAAAA",VLOOKUP(D1103,Nombres!A:D,2,FALSE))</f>
        <v>Natan</v>
      </c>
    </row>
    <row r="1104" spans="1:10" x14ac:dyDescent="0.25">
      <c r="A1104">
        <v>9</v>
      </c>
      <c r="B1104" s="1">
        <v>45947</v>
      </c>
      <c r="C1104" t="s">
        <v>6</v>
      </c>
      <c r="D1104" t="s">
        <v>337</v>
      </c>
      <c r="E1104" t="str">
        <f>IF(ISERROR(VLOOKUP(D1104,Nombres!A:D,4,FALSE)),"PROBLEMAAAAAA",VLOOKUP(D1104,Nombres!A:D,4,FALSE))</f>
        <v>DEF</v>
      </c>
      <c r="F1104" t="str">
        <f>IF(ISERROR(VLOOKUP(D1104,Nombres!A:D,3,FALSE)),"PROBLEMAAAAAA",VLOOKUP(D1104,Nombres!A:D,3,FALSE))</f>
        <v>Sevilla</v>
      </c>
      <c r="G1104">
        <v>1</v>
      </c>
      <c r="H1104" s="2">
        <f t="shared" si="6"/>
        <v>100000</v>
      </c>
      <c r="I1104">
        <f t="shared" si="7"/>
        <v>2</v>
      </c>
      <c r="J1104" t="str">
        <f>IF(ISERROR(VLOOKUP(D1104,Nombres!A:D,2,FALSE)),"PROBLEMAAAAAA",VLOOKUP(D1104,Nombres!A:D,2,FALSE))</f>
        <v>Azpilicueta</v>
      </c>
    </row>
    <row r="1105" spans="1:10" x14ac:dyDescent="0.25">
      <c r="A1105">
        <v>9</v>
      </c>
      <c r="B1105" s="1">
        <v>45947</v>
      </c>
      <c r="C1105" t="s">
        <v>6</v>
      </c>
      <c r="D1105" t="s">
        <v>126</v>
      </c>
      <c r="E1105" t="str">
        <f>IF(ISERROR(VLOOKUP(D1105,Nombres!A:D,4,FALSE)),"PROBLEMAAAAAA",VLOOKUP(D1105,Nombres!A:D,4,FALSE))</f>
        <v>DEF</v>
      </c>
      <c r="F1105" t="str">
        <f>IF(ISERROR(VLOOKUP(D1105,Nombres!A:D,3,FALSE)),"PROBLEMAAAAAA",VLOOKUP(D1105,Nombres!A:D,3,FALSE))</f>
        <v>Athletic</v>
      </c>
      <c r="G1105">
        <v>7</v>
      </c>
      <c r="H1105" s="2">
        <f t="shared" si="6"/>
        <v>700000</v>
      </c>
      <c r="I1105">
        <f t="shared" si="7"/>
        <v>2</v>
      </c>
      <c r="J1105" t="str">
        <f>IF(ISERROR(VLOOKUP(D1105,Nombres!A:D,2,FALSE)),"PROBLEMAAAAAA",VLOOKUP(D1105,Nombres!A:D,2,FALSE))</f>
        <v>Yuri</v>
      </c>
    </row>
    <row r="1106" spans="1:10" x14ac:dyDescent="0.25">
      <c r="A1106">
        <v>9</v>
      </c>
      <c r="B1106" s="1">
        <v>45947</v>
      </c>
      <c r="C1106" t="s">
        <v>6</v>
      </c>
      <c r="D1106" t="s">
        <v>155</v>
      </c>
      <c r="E1106" t="str">
        <f>IF(ISERROR(VLOOKUP(D1106,Nombres!A:D,4,FALSE)),"PROBLEMAAAAAA",VLOOKUP(D1106,Nombres!A:D,4,FALSE))</f>
        <v>MED</v>
      </c>
      <c r="F1106" t="str">
        <f>IF(ISERROR(VLOOKUP(D1106,Nombres!A:D,3,FALSE)),"PROBLEMAAAAAA",VLOOKUP(D1106,Nombres!A:D,3,FALSE))</f>
        <v>Athletic</v>
      </c>
      <c r="G1106">
        <v>6</v>
      </c>
      <c r="H1106" s="2">
        <f t="shared" si="6"/>
        <v>600000</v>
      </c>
      <c r="I1106">
        <f t="shared" si="7"/>
        <v>3</v>
      </c>
      <c r="J1106" t="str">
        <f>IF(ISERROR(VLOOKUP(D1106,Nombres!A:D,2,FALSE)),"PROBLEMAAAAAA",VLOOKUP(D1106,Nombres!A:D,2,FALSE))</f>
        <v>R. de Galarreta</v>
      </c>
    </row>
    <row r="1107" spans="1:10" x14ac:dyDescent="0.25">
      <c r="A1107">
        <v>9</v>
      </c>
      <c r="B1107" s="1">
        <v>45947</v>
      </c>
      <c r="C1107" t="s">
        <v>6</v>
      </c>
      <c r="D1107" t="s">
        <v>218</v>
      </c>
      <c r="E1107" t="str">
        <f>IF(ISERROR(VLOOKUP(D1107,Nombres!A:D,4,FALSE)),"PROBLEMAAAAAA",VLOOKUP(D1107,Nombres!A:D,4,FALSE))</f>
        <v>MED</v>
      </c>
      <c r="F1107" t="str">
        <f>IF(ISERROR(VLOOKUP(D1107,Nombres!A:D,3,FALSE)),"PROBLEMAAAAAA",VLOOKUP(D1107,Nombres!A:D,3,FALSE))</f>
        <v>Espanyol</v>
      </c>
      <c r="G1107">
        <v>6</v>
      </c>
      <c r="H1107" s="2">
        <f t="shared" si="6"/>
        <v>600000</v>
      </c>
      <c r="I1107">
        <f t="shared" si="7"/>
        <v>3</v>
      </c>
      <c r="J1107" t="str">
        <f>IF(ISERROR(VLOOKUP(D1107,Nombres!A:D,2,FALSE)),"PROBLEMAAAAAA",VLOOKUP(D1107,Nombres!A:D,2,FALSE))</f>
        <v>Lozano</v>
      </c>
    </row>
    <row r="1108" spans="1:10" x14ac:dyDescent="0.25">
      <c r="A1108">
        <v>9</v>
      </c>
      <c r="B1108" s="1">
        <v>45947</v>
      </c>
      <c r="C1108" t="s">
        <v>6</v>
      </c>
      <c r="D1108" t="s">
        <v>326</v>
      </c>
      <c r="E1108" t="str">
        <f>IF(ISERROR(VLOOKUP(D1108,Nombres!A:D,4,FALSE)),"PROBLEMAAAAAA",VLOOKUP(D1108,Nombres!A:D,4,FALSE))</f>
        <v>MED</v>
      </c>
      <c r="F1108" t="str">
        <f>IF(ISERROR(VLOOKUP(D1108,Nombres!A:D,3,FALSE)),"PROBLEMAAAAAA",VLOOKUP(D1108,Nombres!A:D,3,FALSE))</f>
        <v>Getafe</v>
      </c>
      <c r="G1108">
        <v>3</v>
      </c>
      <c r="H1108" s="2">
        <f t="shared" si="6"/>
        <v>300000</v>
      </c>
      <c r="I1108">
        <f t="shared" si="7"/>
        <v>3</v>
      </c>
      <c r="J1108" t="str">
        <f>IF(ISERROR(VLOOKUP(D1108,Nombres!A:D,2,FALSE)),"PROBLEMAAAAAA",VLOOKUP(D1108,Nombres!A:D,2,FALSE))</f>
        <v>Luis Milla</v>
      </c>
    </row>
    <row r="1109" spans="1:10" x14ac:dyDescent="0.25">
      <c r="A1109">
        <v>9</v>
      </c>
      <c r="B1109" s="1">
        <v>45947</v>
      </c>
      <c r="C1109" t="s">
        <v>6</v>
      </c>
      <c r="D1109" t="s">
        <v>331</v>
      </c>
      <c r="E1109" t="str">
        <f>IF(ISERROR(VLOOKUP(D1109,Nombres!A:D,4,FALSE)),"PROBLEMAAAAAA",VLOOKUP(D1109,Nombres!A:D,4,FALSE))</f>
        <v>MED</v>
      </c>
      <c r="F1109" t="str">
        <f>IF(ISERROR(VLOOKUP(D1109,Nombres!A:D,3,FALSE)),"PROBLEMAAAAAA",VLOOKUP(D1109,Nombres!A:D,3,FALSE))</f>
        <v>Levante</v>
      </c>
      <c r="G1109">
        <v>2</v>
      </c>
      <c r="H1109" s="2">
        <f t="shared" si="6"/>
        <v>200000</v>
      </c>
      <c r="I1109">
        <f t="shared" si="7"/>
        <v>3</v>
      </c>
      <c r="J1109" t="str">
        <f>IF(ISERROR(VLOOKUP(D1109,Nombres!A:D,2,FALSE)),"PROBLEMAAAAAA",VLOOKUP(D1109,Nombres!A:D,2,FALSE))</f>
        <v>C. Álvarez</v>
      </c>
    </row>
    <row r="1110" spans="1:10" x14ac:dyDescent="0.25">
      <c r="A1110">
        <v>9</v>
      </c>
      <c r="B1110" s="1">
        <v>45947</v>
      </c>
      <c r="C1110" t="s">
        <v>6</v>
      </c>
      <c r="D1110" t="s">
        <v>306</v>
      </c>
      <c r="E1110" t="str">
        <f>IF(ISERROR(VLOOKUP(D1110,Nombres!A:D,4,FALSE)),"PROBLEMAAAAAA",VLOOKUP(D1110,Nombres!A:D,4,FALSE))</f>
        <v>DEL</v>
      </c>
      <c r="F1110" t="str">
        <f>IF(ISERROR(VLOOKUP(D1110,Nombres!A:D,3,FALSE)),"PROBLEMAAAAAA",VLOOKUP(D1110,Nombres!A:D,3,FALSE))</f>
        <v>Espanyol</v>
      </c>
      <c r="G1110">
        <v>7</v>
      </c>
      <c r="H1110" s="2">
        <f t="shared" si="6"/>
        <v>700000</v>
      </c>
      <c r="I1110">
        <f t="shared" si="7"/>
        <v>4</v>
      </c>
      <c r="J1110" t="str">
        <f>IF(ISERROR(VLOOKUP(D1110,Nombres!A:D,2,FALSE)),"PROBLEMAAAAAA",VLOOKUP(D1110,Nombres!A:D,2,FALSE))</f>
        <v>Roberto</v>
      </c>
    </row>
    <row r="1111" spans="1:10" x14ac:dyDescent="0.25">
      <c r="A1111">
        <v>9</v>
      </c>
      <c r="B1111" s="1">
        <v>45947</v>
      </c>
      <c r="C1111" t="s">
        <v>6</v>
      </c>
      <c r="D1111" t="s">
        <v>314</v>
      </c>
      <c r="E1111" t="str">
        <f>IF(ISERROR(VLOOKUP(D1111,Nombres!A:D,4,FALSE)),"PROBLEMAAAAAA",VLOOKUP(D1111,Nombres!A:D,4,FALSE))</f>
        <v>DEL</v>
      </c>
      <c r="F1111" t="str">
        <f>IF(ISERROR(VLOOKUP(D1111,Nombres!A:D,3,FALSE)),"PROBLEMAAAAAA",VLOOKUP(D1111,Nombres!A:D,3,FALSE))</f>
        <v>Alavés</v>
      </c>
      <c r="G1111">
        <v>4</v>
      </c>
      <c r="H1111" s="2">
        <f t="shared" si="6"/>
        <v>400000</v>
      </c>
      <c r="I1111">
        <f t="shared" si="7"/>
        <v>4</v>
      </c>
      <c r="J1111" t="str">
        <f>IF(ISERROR(VLOOKUP(D1111,Nombres!A:D,2,FALSE)),"PROBLEMAAAAAA",VLOOKUP(D1111,Nombres!A:D,2,FALSE))</f>
        <v>Boyé</v>
      </c>
    </row>
    <row r="1112" spans="1:10" x14ac:dyDescent="0.25">
      <c r="A1112">
        <v>9</v>
      </c>
      <c r="B1112" s="1">
        <v>45947</v>
      </c>
      <c r="C1112" t="s">
        <v>6</v>
      </c>
      <c r="D1112" t="s">
        <v>105</v>
      </c>
      <c r="E1112" t="str">
        <f>IF(ISERROR(VLOOKUP(D1112,Nombres!A:D,4,FALSE)),"PROBLEMAAAAAA",VLOOKUP(D1112,Nombres!A:D,4,FALSE))</f>
        <v>DEL</v>
      </c>
      <c r="F1112" t="str">
        <f>IF(ISERROR(VLOOKUP(D1112,Nombres!A:D,3,FALSE)),"PROBLEMAAAAAA",VLOOKUP(D1112,Nombres!A:D,3,FALSE))</f>
        <v>Villarreal</v>
      </c>
      <c r="G1112">
        <v>0</v>
      </c>
      <c r="H1112" s="2">
        <f t="shared" si="6"/>
        <v>0</v>
      </c>
      <c r="I1112">
        <f t="shared" si="7"/>
        <v>4</v>
      </c>
      <c r="J1112" t="str">
        <f>IF(ISERROR(VLOOKUP(D1112,Nombres!A:D,2,FALSE)),"PROBLEMAAAAAA",VLOOKUP(D1112,Nombres!A:D,2,FALSE))</f>
        <v>Pépé</v>
      </c>
    </row>
    <row r="1113" spans="1:10" x14ac:dyDescent="0.25">
      <c r="A1113">
        <v>10</v>
      </c>
      <c r="B1113" s="1">
        <v>45947</v>
      </c>
      <c r="C1113" t="s">
        <v>6</v>
      </c>
      <c r="D1113" t="s">
        <v>137</v>
      </c>
      <c r="E1113" t="str">
        <f>IF(ISERROR(VLOOKUP(D1113,Nombres!A:D,4,FALSE)),"PROBLEMAAAAAA",VLOOKUP(D1113,Nombres!A:D,4,FALSE))</f>
        <v>POR</v>
      </c>
      <c r="F1113" t="str">
        <f>IF(ISERROR(VLOOKUP(D1113,Nombres!A:D,3,FALSE)),"PROBLEMAAAAAA",VLOOKUP(D1113,Nombres!A:D,3,FALSE))</f>
        <v>Alavés</v>
      </c>
      <c r="G1113">
        <v>7</v>
      </c>
      <c r="H1113" s="2">
        <f t="shared" si="6"/>
        <v>700000</v>
      </c>
      <c r="I1113">
        <f t="shared" si="7"/>
        <v>1</v>
      </c>
      <c r="J1113" t="str">
        <f>IF(ISERROR(VLOOKUP(D1113,Nombres!A:D,2,FALSE)),"PROBLEMAAAAAA",VLOOKUP(D1113,Nombres!A:D,2,FALSE))</f>
        <v>Sivera</v>
      </c>
    </row>
    <row r="1114" spans="1:10" x14ac:dyDescent="0.25">
      <c r="A1114">
        <v>10</v>
      </c>
      <c r="B1114" s="1">
        <v>45947</v>
      </c>
      <c r="C1114" t="s">
        <v>6</v>
      </c>
      <c r="D1114" t="s">
        <v>118</v>
      </c>
      <c r="E1114" t="str">
        <f>IF(ISERROR(VLOOKUP(D1114,Nombres!A:D,4,FALSE)),"PROBLEMAAAAAA",VLOOKUP(D1114,Nombres!A:D,4,FALSE))</f>
        <v>DEF</v>
      </c>
      <c r="F1114" t="str">
        <f>IF(ISERROR(VLOOKUP(D1114,Nombres!A:D,3,FALSE)),"PROBLEMAAAAAA",VLOOKUP(D1114,Nombres!A:D,3,FALSE))</f>
        <v>Betis</v>
      </c>
      <c r="G1114">
        <v>3</v>
      </c>
      <c r="H1114" s="2">
        <f t="shared" si="6"/>
        <v>300000</v>
      </c>
      <c r="I1114">
        <f t="shared" si="7"/>
        <v>2</v>
      </c>
      <c r="J1114" t="str">
        <f>IF(ISERROR(VLOOKUP(D1114,Nombres!A:D,2,FALSE)),"PROBLEMAAAAAA",VLOOKUP(D1114,Nombres!A:D,2,FALSE))</f>
        <v>Natan</v>
      </c>
    </row>
    <row r="1115" spans="1:10" x14ac:dyDescent="0.25">
      <c r="A1115">
        <v>10</v>
      </c>
      <c r="B1115" s="1">
        <v>45947</v>
      </c>
      <c r="C1115" t="s">
        <v>6</v>
      </c>
      <c r="D1115" t="s">
        <v>430</v>
      </c>
      <c r="E1115" t="str">
        <f>IF(ISERROR(VLOOKUP(D1115,Nombres!A:D,4,FALSE)),"PROBLEMAAAAAA",VLOOKUP(D1115,Nombres!A:D,4,FALSE))</f>
        <v>DEF</v>
      </c>
      <c r="F1115" t="str">
        <f>IF(ISERROR(VLOOKUP(D1115,Nombres!A:D,3,FALSE)),"PROBLEMAAAAAA",VLOOKUP(D1115,Nombres!A:D,3,FALSE))</f>
        <v>Villarreal</v>
      </c>
      <c r="G1115">
        <v>7</v>
      </c>
      <c r="H1115" s="2">
        <f t="shared" si="6"/>
        <v>700000</v>
      </c>
      <c r="I1115">
        <f t="shared" si="7"/>
        <v>2</v>
      </c>
      <c r="J1115" t="str">
        <f>IF(ISERROR(VLOOKUP(D1115,Nombres!A:D,2,FALSE)),"PROBLEMAAAAAA",VLOOKUP(D1115,Nombres!A:D,2,FALSE))</f>
        <v>Veiga</v>
      </c>
    </row>
    <row r="1116" spans="1:10" x14ac:dyDescent="0.25">
      <c r="A1116">
        <v>10</v>
      </c>
      <c r="B1116" s="1">
        <v>45947</v>
      </c>
      <c r="C1116" t="s">
        <v>6</v>
      </c>
      <c r="D1116" t="s">
        <v>364</v>
      </c>
      <c r="E1116" t="str">
        <f>IF(ISERROR(VLOOKUP(D1116,Nombres!A:D,4,FALSE)),"PROBLEMAAAAAA",VLOOKUP(D1116,Nombres!A:D,4,FALSE))</f>
        <v>DEF</v>
      </c>
      <c r="F1116" t="str">
        <f>IF(ISERROR(VLOOKUP(D1116,Nombres!A:D,3,FALSE)),"PROBLEMAAAAAA",VLOOKUP(D1116,Nombres!A:D,3,FALSE))</f>
        <v>Mallorca</v>
      </c>
      <c r="G1116">
        <v>14</v>
      </c>
      <c r="H1116" s="2">
        <f t="shared" si="6"/>
        <v>1400000</v>
      </c>
      <c r="I1116">
        <f t="shared" si="7"/>
        <v>2</v>
      </c>
      <c r="J1116" t="str">
        <f>IF(ISERROR(VLOOKUP(D1116,Nombres!A:D,2,FALSE)),"PROBLEMAAAAAA",VLOOKUP(D1116,Nombres!A:D,2,FALSE))</f>
        <v>Maffeo</v>
      </c>
    </row>
    <row r="1117" spans="1:10" x14ac:dyDescent="0.25">
      <c r="A1117">
        <v>10</v>
      </c>
      <c r="B1117" s="1">
        <v>45947</v>
      </c>
      <c r="C1117" t="s">
        <v>6</v>
      </c>
      <c r="D1117" t="s">
        <v>155</v>
      </c>
      <c r="E1117" t="str">
        <f>IF(ISERROR(VLOOKUP(D1117,Nombres!A:D,4,FALSE)),"PROBLEMAAAAAA",VLOOKUP(D1117,Nombres!A:D,4,FALSE))</f>
        <v>MED</v>
      </c>
      <c r="F1117" t="str">
        <f>IF(ISERROR(VLOOKUP(D1117,Nombres!A:D,3,FALSE)),"PROBLEMAAAAAA",VLOOKUP(D1117,Nombres!A:D,3,FALSE))</f>
        <v>Athletic</v>
      </c>
      <c r="G1117">
        <v>1</v>
      </c>
      <c r="H1117" s="2">
        <f t="shared" si="6"/>
        <v>100000</v>
      </c>
      <c r="I1117">
        <f t="shared" si="7"/>
        <v>3</v>
      </c>
      <c r="J1117" t="str">
        <f>IF(ISERROR(VLOOKUP(D1117,Nombres!A:D,2,FALSE)),"PROBLEMAAAAAA",VLOOKUP(D1117,Nombres!A:D,2,FALSE))</f>
        <v>R. de Galarreta</v>
      </c>
    </row>
    <row r="1118" spans="1:10" x14ac:dyDescent="0.25">
      <c r="A1118">
        <v>10</v>
      </c>
      <c r="B1118" s="1">
        <v>45947</v>
      </c>
      <c r="C1118" t="s">
        <v>6</v>
      </c>
      <c r="D1118" t="s">
        <v>326</v>
      </c>
      <c r="E1118" t="str">
        <f>IF(ISERROR(VLOOKUP(D1118,Nombres!A:D,4,FALSE)),"PROBLEMAAAAAA",VLOOKUP(D1118,Nombres!A:D,4,FALSE))</f>
        <v>MED</v>
      </c>
      <c r="F1118" t="str">
        <f>IF(ISERROR(VLOOKUP(D1118,Nombres!A:D,3,FALSE)),"PROBLEMAAAAAA",VLOOKUP(D1118,Nombres!A:D,3,FALSE))</f>
        <v>Getafe</v>
      </c>
      <c r="G1118">
        <v>9</v>
      </c>
      <c r="H1118" s="2">
        <f t="shared" si="6"/>
        <v>900000</v>
      </c>
      <c r="I1118">
        <f t="shared" si="7"/>
        <v>3</v>
      </c>
      <c r="J1118" t="str">
        <f>IF(ISERROR(VLOOKUP(D1118,Nombres!A:D,2,FALSE)),"PROBLEMAAAAAA",VLOOKUP(D1118,Nombres!A:D,2,FALSE))</f>
        <v>Luis Milla</v>
      </c>
    </row>
    <row r="1119" spans="1:10" x14ac:dyDescent="0.25">
      <c r="A1119">
        <v>10</v>
      </c>
      <c r="B1119" s="1">
        <v>45947</v>
      </c>
      <c r="C1119" t="s">
        <v>6</v>
      </c>
      <c r="D1119" t="s">
        <v>121</v>
      </c>
      <c r="E1119" t="str">
        <f>IF(ISERROR(VLOOKUP(D1119,Nombres!A:D,4,FALSE)),"PROBLEMAAAAAA",VLOOKUP(D1119,Nombres!A:D,4,FALSE))</f>
        <v>MED</v>
      </c>
      <c r="F1119" t="str">
        <f>IF(ISERROR(VLOOKUP(D1119,Nombres!A:D,3,FALSE)),"PROBLEMAAAAAA",VLOOKUP(D1119,Nombres!A:D,3,FALSE))</f>
        <v>Real Sociedad</v>
      </c>
      <c r="G1119">
        <v>2</v>
      </c>
      <c r="H1119" s="2">
        <f t="shared" si="6"/>
        <v>200000</v>
      </c>
      <c r="I1119">
        <f t="shared" si="7"/>
        <v>3</v>
      </c>
      <c r="J1119" t="str">
        <f>IF(ISERROR(VLOOKUP(D1119,Nombres!A:D,2,FALSE)),"PROBLEMAAAAAA",VLOOKUP(D1119,Nombres!A:D,2,FALSE))</f>
        <v>Herrera</v>
      </c>
    </row>
    <row r="1120" spans="1:10" x14ac:dyDescent="0.25">
      <c r="A1120">
        <v>10</v>
      </c>
      <c r="B1120" s="1">
        <v>45947</v>
      </c>
      <c r="C1120" t="s">
        <v>6</v>
      </c>
      <c r="D1120" t="s">
        <v>750</v>
      </c>
      <c r="E1120" t="str">
        <f>IF(ISERROR(VLOOKUP(D1120,Nombres!A:D,4,FALSE)),"PROBLEMAAAAAA",VLOOKUP(D1120,Nombres!A:D,4,FALSE))</f>
        <v>MED</v>
      </c>
      <c r="F1120" t="str">
        <f>IF(ISERROR(VLOOKUP(D1120,Nombres!A:D,3,FALSE)),"PROBLEMAAAAAA",VLOOKUP(D1120,Nombres!A:D,3,FALSE))</f>
        <v>Girona</v>
      </c>
      <c r="G1120">
        <v>3</v>
      </c>
      <c r="H1120" s="2">
        <f t="shared" si="6"/>
        <v>300000</v>
      </c>
      <c r="I1120">
        <f t="shared" si="7"/>
        <v>3</v>
      </c>
      <c r="J1120" t="str">
        <f>IF(ISERROR(VLOOKUP(D1120,Nombres!A:D,2,FALSE)),"PROBLEMAAAAAA",VLOOKUP(D1120,Nombres!A:D,2,FALSE))</f>
        <v>Witsel</v>
      </c>
    </row>
    <row r="1121" spans="1:10" x14ac:dyDescent="0.25">
      <c r="A1121">
        <v>10</v>
      </c>
      <c r="B1121" s="1">
        <v>45947</v>
      </c>
      <c r="C1121" t="s">
        <v>6</v>
      </c>
      <c r="D1121" t="s">
        <v>306</v>
      </c>
      <c r="E1121" t="str">
        <f>IF(ISERROR(VLOOKUP(D1121,Nombres!A:D,4,FALSE)),"PROBLEMAAAAAA",VLOOKUP(D1121,Nombres!A:D,4,FALSE))</f>
        <v>DEL</v>
      </c>
      <c r="F1121" t="str">
        <f>IF(ISERROR(VLOOKUP(D1121,Nombres!A:D,3,FALSE)),"PROBLEMAAAAAA",VLOOKUP(D1121,Nombres!A:D,3,FALSE))</f>
        <v>Espanyol</v>
      </c>
      <c r="G1121">
        <v>4</v>
      </c>
      <c r="H1121" s="2">
        <f t="shared" si="6"/>
        <v>400000</v>
      </c>
      <c r="I1121">
        <f t="shared" si="7"/>
        <v>4</v>
      </c>
      <c r="J1121" t="str">
        <f>IF(ISERROR(VLOOKUP(D1121,Nombres!A:D,2,FALSE)),"PROBLEMAAAAAA",VLOOKUP(D1121,Nombres!A:D,2,FALSE))</f>
        <v>Roberto</v>
      </c>
    </row>
    <row r="1122" spans="1:10" x14ac:dyDescent="0.25">
      <c r="A1122">
        <v>10</v>
      </c>
      <c r="B1122" s="1">
        <v>45947</v>
      </c>
      <c r="C1122" t="s">
        <v>6</v>
      </c>
      <c r="D1122" t="s">
        <v>314</v>
      </c>
      <c r="E1122" t="str">
        <f>IF(ISERROR(VLOOKUP(D1122,Nombres!A:D,4,FALSE)),"PROBLEMAAAAAA",VLOOKUP(D1122,Nombres!A:D,4,FALSE))</f>
        <v>DEL</v>
      </c>
      <c r="F1122" t="str">
        <f>IF(ISERROR(VLOOKUP(D1122,Nombres!A:D,3,FALSE)),"PROBLEMAAAAAA",VLOOKUP(D1122,Nombres!A:D,3,FALSE))</f>
        <v>Alavés</v>
      </c>
      <c r="G1122">
        <v>8</v>
      </c>
      <c r="H1122" s="2">
        <f t="shared" si="6"/>
        <v>800000</v>
      </c>
      <c r="I1122">
        <f t="shared" si="7"/>
        <v>4</v>
      </c>
      <c r="J1122" t="str">
        <f>IF(ISERROR(VLOOKUP(D1122,Nombres!A:D,2,FALSE)),"PROBLEMAAAAAA",VLOOKUP(D1122,Nombres!A:D,2,FALSE))</f>
        <v>Boyé</v>
      </c>
    </row>
    <row r="1123" spans="1:10" x14ac:dyDescent="0.25">
      <c r="A1123">
        <v>10</v>
      </c>
      <c r="B1123" s="1">
        <v>45947</v>
      </c>
      <c r="C1123" t="s">
        <v>6</v>
      </c>
      <c r="D1123" t="s">
        <v>205</v>
      </c>
      <c r="E1123" t="str">
        <f>IF(ISERROR(VLOOKUP(D1123,Nombres!A:D,4,FALSE)),"PROBLEMAAAAAA",VLOOKUP(D1123,Nombres!A:D,4,FALSE))</f>
        <v>DEL</v>
      </c>
      <c r="F1123" t="str">
        <f>IF(ISERROR(VLOOKUP(D1123,Nombres!A:D,3,FALSE)),"PROBLEMAAAAAA",VLOOKUP(D1123,Nombres!A:D,3,FALSE))</f>
        <v>Athletic</v>
      </c>
      <c r="G1123">
        <v>3</v>
      </c>
      <c r="H1123" s="2">
        <f t="shared" si="6"/>
        <v>300000</v>
      </c>
      <c r="I1123">
        <f t="shared" si="7"/>
        <v>4</v>
      </c>
      <c r="J1123" t="str">
        <f>IF(ISERROR(VLOOKUP(D1123,Nombres!A:D,2,FALSE)),"PROBLEMAAAAAA",VLOOKUP(D1123,Nombres!A:D,2,FALSE))</f>
        <v>N. Williams</v>
      </c>
    </row>
    <row r="1124" spans="1:10" x14ac:dyDescent="0.25">
      <c r="A1124">
        <v>11</v>
      </c>
      <c r="B1124" s="1">
        <v>45968</v>
      </c>
      <c r="C1124" t="s">
        <v>6</v>
      </c>
      <c r="D1124" t="s">
        <v>137</v>
      </c>
      <c r="E1124" t="str">
        <f>IF(ISERROR(VLOOKUP(D1124,Nombres!A:D,4,FALSE)),"PROBLEMAAAAAA",VLOOKUP(D1124,Nombres!A:D,4,FALSE))</f>
        <v>POR</v>
      </c>
      <c r="F1124" t="str">
        <f>IF(ISERROR(VLOOKUP(D1124,Nombres!A:D,3,FALSE)),"PROBLEMAAAAAA",VLOOKUP(D1124,Nombres!A:D,3,FALSE))</f>
        <v>Alavés</v>
      </c>
      <c r="G1124">
        <v>4</v>
      </c>
      <c r="H1124" s="2">
        <f t="shared" si="6"/>
        <v>400000</v>
      </c>
      <c r="I1124">
        <f t="shared" si="7"/>
        <v>1</v>
      </c>
      <c r="J1124" t="str">
        <f>IF(ISERROR(VLOOKUP(D1124,Nombres!A:D,2,FALSE)),"PROBLEMAAAAAA",VLOOKUP(D1124,Nombres!A:D,2,FALSE))</f>
        <v>Sivera</v>
      </c>
    </row>
    <row r="1125" spans="1:10" x14ac:dyDescent="0.25">
      <c r="A1125">
        <v>11</v>
      </c>
      <c r="B1125" s="1">
        <v>45968</v>
      </c>
      <c r="C1125" t="s">
        <v>6</v>
      </c>
      <c r="D1125" t="s">
        <v>118</v>
      </c>
      <c r="E1125" t="str">
        <f>IF(ISERROR(VLOOKUP(D1125,Nombres!A:D,4,FALSE)),"PROBLEMAAAAAA",VLOOKUP(D1125,Nombres!A:D,4,FALSE))</f>
        <v>DEF</v>
      </c>
      <c r="F1125" t="str">
        <f>IF(ISERROR(VLOOKUP(D1125,Nombres!A:D,3,FALSE)),"PROBLEMAAAAAA",VLOOKUP(D1125,Nombres!A:D,3,FALSE))</f>
        <v>Betis</v>
      </c>
      <c r="G1125">
        <v>9</v>
      </c>
      <c r="H1125" s="2">
        <f t="shared" si="6"/>
        <v>900000</v>
      </c>
      <c r="I1125">
        <f t="shared" si="7"/>
        <v>2</v>
      </c>
      <c r="J1125" t="str">
        <f>IF(ISERROR(VLOOKUP(D1125,Nombres!A:D,2,FALSE)),"PROBLEMAAAAAA",VLOOKUP(D1125,Nombres!A:D,2,FALSE))</f>
        <v>Natan</v>
      </c>
    </row>
    <row r="1126" spans="1:10" x14ac:dyDescent="0.25">
      <c r="A1126">
        <v>11</v>
      </c>
      <c r="B1126" s="1">
        <v>45968</v>
      </c>
      <c r="C1126" t="s">
        <v>6</v>
      </c>
      <c r="D1126" t="s">
        <v>430</v>
      </c>
      <c r="E1126" t="str">
        <f>IF(ISERROR(VLOOKUP(D1126,Nombres!A:D,4,FALSE)),"PROBLEMAAAAAA",VLOOKUP(D1126,Nombres!A:D,4,FALSE))</f>
        <v>DEF</v>
      </c>
      <c r="F1126" t="str">
        <f>IF(ISERROR(VLOOKUP(D1126,Nombres!A:D,3,FALSE)),"PROBLEMAAAAAA",VLOOKUP(D1126,Nombres!A:D,3,FALSE))</f>
        <v>Villarreal</v>
      </c>
      <c r="G1126">
        <v>9</v>
      </c>
      <c r="H1126" s="2">
        <f t="shared" si="6"/>
        <v>900000</v>
      </c>
      <c r="I1126">
        <f t="shared" si="7"/>
        <v>2</v>
      </c>
      <c r="J1126" t="str">
        <f>IF(ISERROR(VLOOKUP(D1126,Nombres!A:D,2,FALSE)),"PROBLEMAAAAAA",VLOOKUP(D1126,Nombres!A:D,2,FALSE))</f>
        <v>Veiga</v>
      </c>
    </row>
    <row r="1127" spans="1:10" x14ac:dyDescent="0.25">
      <c r="A1127">
        <v>11</v>
      </c>
      <c r="B1127" s="1">
        <v>45968</v>
      </c>
      <c r="C1127" t="s">
        <v>6</v>
      </c>
      <c r="D1127" t="s">
        <v>126</v>
      </c>
      <c r="E1127" t="str">
        <f>IF(ISERROR(VLOOKUP(D1127,Nombres!A:D,4,FALSE)),"PROBLEMAAAAAA",VLOOKUP(D1127,Nombres!A:D,4,FALSE))</f>
        <v>DEF</v>
      </c>
      <c r="F1127" t="str">
        <f>IF(ISERROR(VLOOKUP(D1127,Nombres!A:D,3,FALSE)),"PROBLEMAAAAAA",VLOOKUP(D1127,Nombres!A:D,3,FALSE))</f>
        <v>Athletic</v>
      </c>
      <c r="G1127">
        <v>1</v>
      </c>
      <c r="H1127" s="2">
        <f t="shared" si="6"/>
        <v>100000</v>
      </c>
      <c r="I1127">
        <f t="shared" si="7"/>
        <v>2</v>
      </c>
      <c r="J1127" t="str">
        <f>IF(ISERROR(VLOOKUP(D1127,Nombres!A:D,2,FALSE)),"PROBLEMAAAAAA",VLOOKUP(D1127,Nombres!A:D,2,FALSE))</f>
        <v>Yuri</v>
      </c>
    </row>
    <row r="1128" spans="1:10" x14ac:dyDescent="0.25">
      <c r="A1128">
        <v>11</v>
      </c>
      <c r="B1128" s="1">
        <v>45968</v>
      </c>
      <c r="C1128" t="s">
        <v>6</v>
      </c>
      <c r="D1128" t="s">
        <v>321</v>
      </c>
      <c r="E1128" t="str">
        <f>IF(ISERROR(VLOOKUP(D1128,Nombres!A:D,4,FALSE)),"PROBLEMAAAAAA",VLOOKUP(D1128,Nombres!A:D,4,FALSE))</f>
        <v>DEF</v>
      </c>
      <c r="F1128" t="str">
        <f>IF(ISERROR(VLOOKUP(D1128,Nombres!A:D,3,FALSE)),"PROBLEMAAAAAA",VLOOKUP(D1128,Nombres!A:D,3,FALSE))</f>
        <v>Espanyol</v>
      </c>
      <c r="G1128">
        <v>7</v>
      </c>
      <c r="H1128" s="2">
        <f t="shared" si="6"/>
        <v>700000</v>
      </c>
      <c r="I1128">
        <f t="shared" si="7"/>
        <v>2</v>
      </c>
      <c r="J1128" t="str">
        <f>IF(ISERROR(VLOOKUP(D1128,Nombres!A:D,2,FALSE)),"PROBLEMAAAAAA",VLOOKUP(D1128,Nombres!A:D,2,FALSE))</f>
        <v>Romero</v>
      </c>
    </row>
    <row r="1129" spans="1:10" x14ac:dyDescent="0.25">
      <c r="A1129">
        <v>11</v>
      </c>
      <c r="B1129" s="1">
        <v>45968</v>
      </c>
      <c r="C1129" t="s">
        <v>6</v>
      </c>
      <c r="D1129" t="s">
        <v>155</v>
      </c>
      <c r="E1129" t="str">
        <f>IF(ISERROR(VLOOKUP(D1129,Nombres!A:D,4,FALSE)),"PROBLEMAAAAAA",VLOOKUP(D1129,Nombres!A:D,4,FALSE))</f>
        <v>MED</v>
      </c>
      <c r="F1129" t="str">
        <f>IF(ISERROR(VLOOKUP(D1129,Nombres!A:D,3,FALSE)),"PROBLEMAAAAAA",VLOOKUP(D1129,Nombres!A:D,3,FALSE))</f>
        <v>Athletic</v>
      </c>
      <c r="G1129">
        <v>2</v>
      </c>
      <c r="H1129" s="2">
        <f t="shared" si="6"/>
        <v>200000</v>
      </c>
      <c r="I1129">
        <f t="shared" si="7"/>
        <v>3</v>
      </c>
      <c r="J1129" t="str">
        <f>IF(ISERROR(VLOOKUP(D1129,Nombres!A:D,2,FALSE)),"PROBLEMAAAAAA",VLOOKUP(D1129,Nombres!A:D,2,FALSE))</f>
        <v>R. de Galarreta</v>
      </c>
    </row>
    <row r="1130" spans="1:10" x14ac:dyDescent="0.25">
      <c r="A1130">
        <v>11</v>
      </c>
      <c r="B1130" s="1">
        <v>45968</v>
      </c>
      <c r="C1130" t="s">
        <v>6</v>
      </c>
      <c r="D1130" t="s">
        <v>750</v>
      </c>
      <c r="E1130" t="str">
        <f>IF(ISERROR(VLOOKUP(D1130,Nombres!A:D,4,FALSE)),"PROBLEMAAAAAA",VLOOKUP(D1130,Nombres!A:D,4,FALSE))</f>
        <v>MED</v>
      </c>
      <c r="F1130" t="str">
        <f>IF(ISERROR(VLOOKUP(D1130,Nombres!A:D,3,FALSE)),"PROBLEMAAAAAA",VLOOKUP(D1130,Nombres!A:D,3,FALSE))</f>
        <v>Girona</v>
      </c>
      <c r="G1130">
        <v>5</v>
      </c>
      <c r="H1130" s="2">
        <f t="shared" si="6"/>
        <v>500000</v>
      </c>
      <c r="I1130">
        <f t="shared" si="7"/>
        <v>3</v>
      </c>
      <c r="J1130" t="str">
        <f>IF(ISERROR(VLOOKUP(D1130,Nombres!A:D,2,FALSE)),"PROBLEMAAAAAA",VLOOKUP(D1130,Nombres!A:D,2,FALSE))</f>
        <v>Witsel</v>
      </c>
    </row>
    <row r="1131" spans="1:10" x14ac:dyDescent="0.25">
      <c r="A1131">
        <v>11</v>
      </c>
      <c r="B1131" s="1">
        <v>45968</v>
      </c>
      <c r="C1131" t="s">
        <v>6</v>
      </c>
      <c r="D1131" t="s">
        <v>425</v>
      </c>
      <c r="E1131" t="str">
        <f>IF(ISERROR(VLOOKUP(D1131,Nombres!A:D,4,FALSE)),"PROBLEMAAAAAA",VLOOKUP(D1131,Nombres!A:D,4,FALSE))</f>
        <v>MED</v>
      </c>
      <c r="F1131" t="str">
        <f>IF(ISERROR(VLOOKUP(D1131,Nombres!A:D,3,FALSE)),"PROBLEMAAAAAA",VLOOKUP(D1131,Nombres!A:D,3,FALSE))</f>
        <v>Real Madrid</v>
      </c>
      <c r="G1131">
        <v>13</v>
      </c>
      <c r="H1131" s="2">
        <f t="shared" si="6"/>
        <v>1300000</v>
      </c>
      <c r="I1131">
        <f t="shared" si="7"/>
        <v>3</v>
      </c>
      <c r="J1131" t="str">
        <f>IF(ISERROR(VLOOKUP(D1131,Nombres!A:D,2,FALSE)),"PROBLEMAAAAAA",VLOOKUP(D1131,Nombres!A:D,2,FALSE))</f>
        <v>Bellingham</v>
      </c>
    </row>
    <row r="1132" spans="1:10" x14ac:dyDescent="0.25">
      <c r="A1132">
        <v>11</v>
      </c>
      <c r="B1132" s="1">
        <v>45968</v>
      </c>
      <c r="C1132" t="s">
        <v>6</v>
      </c>
      <c r="D1132" t="s">
        <v>306</v>
      </c>
      <c r="E1132" t="str">
        <f>IF(ISERROR(VLOOKUP(D1132,Nombres!A:D,4,FALSE)),"PROBLEMAAAAAA",VLOOKUP(D1132,Nombres!A:D,4,FALSE))</f>
        <v>DEL</v>
      </c>
      <c r="F1132" t="str">
        <f>IF(ISERROR(VLOOKUP(D1132,Nombres!A:D,3,FALSE)),"PROBLEMAAAAAA",VLOOKUP(D1132,Nombres!A:D,3,FALSE))</f>
        <v>Espanyol</v>
      </c>
      <c r="G1132">
        <v>7</v>
      </c>
      <c r="H1132" s="2">
        <f t="shared" si="6"/>
        <v>700000</v>
      </c>
      <c r="I1132">
        <f t="shared" si="7"/>
        <v>4</v>
      </c>
      <c r="J1132" t="str">
        <f>IF(ISERROR(VLOOKUP(D1132,Nombres!A:D,2,FALSE)),"PROBLEMAAAAAA",VLOOKUP(D1132,Nombres!A:D,2,FALSE))</f>
        <v>Roberto</v>
      </c>
    </row>
    <row r="1133" spans="1:10" x14ac:dyDescent="0.25">
      <c r="A1133">
        <v>11</v>
      </c>
      <c r="B1133" s="1">
        <v>45968</v>
      </c>
      <c r="C1133" t="s">
        <v>6</v>
      </c>
      <c r="D1133" t="s">
        <v>314</v>
      </c>
      <c r="E1133" t="str">
        <f>IF(ISERROR(VLOOKUP(D1133,Nombres!A:D,4,FALSE)),"PROBLEMAAAAAA",VLOOKUP(D1133,Nombres!A:D,4,FALSE))</f>
        <v>DEL</v>
      </c>
      <c r="F1133" t="str">
        <f>IF(ISERROR(VLOOKUP(D1133,Nombres!A:D,3,FALSE)),"PROBLEMAAAAAA",VLOOKUP(D1133,Nombres!A:D,3,FALSE))</f>
        <v>Alavés</v>
      </c>
      <c r="G1133">
        <v>12</v>
      </c>
      <c r="H1133" s="2">
        <f t="shared" si="6"/>
        <v>1200000</v>
      </c>
      <c r="I1133">
        <f t="shared" si="7"/>
        <v>4</v>
      </c>
      <c r="J1133" t="str">
        <f>IF(ISERROR(VLOOKUP(D1133,Nombres!A:D,2,FALSE)),"PROBLEMAAAAAA",VLOOKUP(D1133,Nombres!A:D,2,FALSE))</f>
        <v>Boyé</v>
      </c>
    </row>
    <row r="1134" spans="1:10" x14ac:dyDescent="0.25">
      <c r="A1134">
        <v>11</v>
      </c>
      <c r="B1134" s="1">
        <v>45968</v>
      </c>
      <c r="C1134" t="s">
        <v>6</v>
      </c>
      <c r="D1134" t="s">
        <v>251</v>
      </c>
      <c r="E1134" t="str">
        <f>IF(ISERROR(VLOOKUP(D1134,Nombres!A:D,4,FALSE)),"PROBLEMAAAAAA",VLOOKUP(D1134,Nombres!A:D,4,FALSE))</f>
        <v>DEL</v>
      </c>
      <c r="F1134" t="str">
        <f>IF(ISERROR(VLOOKUP(D1134,Nombres!A:D,3,FALSE)),"PROBLEMAAAAAA",VLOOKUP(D1134,Nombres!A:D,3,FALSE))</f>
        <v>Getafe</v>
      </c>
      <c r="G1134">
        <v>4</v>
      </c>
      <c r="H1134" s="2">
        <f t="shared" si="6"/>
        <v>400000</v>
      </c>
      <c r="I1134">
        <f t="shared" si="7"/>
        <v>4</v>
      </c>
      <c r="J1134" t="str">
        <f>IF(ISERROR(VLOOKUP(D1134,Nombres!A:D,2,FALSE)),"PROBLEMAAAAAA",VLOOKUP(D1134,Nombres!A:D,2,FALSE))</f>
        <v>Liso</v>
      </c>
    </row>
    <row r="1135" spans="1:10" x14ac:dyDescent="0.25">
      <c r="A1135">
        <v>12</v>
      </c>
      <c r="B1135" s="1">
        <v>45968</v>
      </c>
      <c r="C1135" t="s">
        <v>6</v>
      </c>
      <c r="D1135" t="s">
        <v>137</v>
      </c>
      <c r="E1135" t="str">
        <f>IF(ISERROR(VLOOKUP(D1135,Nombres!A:D,4,FALSE)),"PROBLEMAAAAAA",VLOOKUP(D1135,Nombres!A:D,4,FALSE))</f>
        <v>POR</v>
      </c>
      <c r="F1135" t="str">
        <f>IF(ISERROR(VLOOKUP(D1135,Nombres!A:D,3,FALSE)),"PROBLEMAAAAAA",VLOOKUP(D1135,Nombres!A:D,3,FALSE))</f>
        <v>Alavés</v>
      </c>
      <c r="G1135">
        <v>3</v>
      </c>
      <c r="H1135" s="2">
        <f t="shared" si="6"/>
        <v>300000</v>
      </c>
      <c r="I1135">
        <f t="shared" si="7"/>
        <v>1</v>
      </c>
      <c r="J1135" t="str">
        <f>IF(ISERROR(VLOOKUP(D1135,Nombres!A:D,2,FALSE)),"PROBLEMAAAAAA",VLOOKUP(D1135,Nombres!A:D,2,FALSE))</f>
        <v>Sivera</v>
      </c>
    </row>
    <row r="1136" spans="1:10" x14ac:dyDescent="0.25">
      <c r="A1136">
        <v>12</v>
      </c>
      <c r="B1136" s="1">
        <v>45968</v>
      </c>
      <c r="C1136" t="s">
        <v>6</v>
      </c>
      <c r="D1136" t="s">
        <v>118</v>
      </c>
      <c r="E1136" t="str">
        <f>IF(ISERROR(VLOOKUP(D1136,Nombres!A:D,4,FALSE)),"PROBLEMAAAAAA",VLOOKUP(D1136,Nombres!A:D,4,FALSE))</f>
        <v>DEF</v>
      </c>
      <c r="F1136" t="str">
        <f>IF(ISERROR(VLOOKUP(D1136,Nombres!A:D,3,FALSE)),"PROBLEMAAAAAA",VLOOKUP(D1136,Nombres!A:D,3,FALSE))</f>
        <v>Betis</v>
      </c>
      <c r="G1136">
        <v>4</v>
      </c>
      <c r="H1136" s="2">
        <f t="shared" si="6"/>
        <v>400000</v>
      </c>
      <c r="I1136">
        <f t="shared" si="7"/>
        <v>2</v>
      </c>
      <c r="J1136" t="str">
        <f>IF(ISERROR(VLOOKUP(D1136,Nombres!A:D,2,FALSE)),"PROBLEMAAAAAA",VLOOKUP(D1136,Nombres!A:D,2,FALSE))</f>
        <v>Natan</v>
      </c>
    </row>
    <row r="1137" spans="1:10" x14ac:dyDescent="0.25">
      <c r="A1137">
        <v>12</v>
      </c>
      <c r="B1137" s="1">
        <v>45968</v>
      </c>
      <c r="C1137" t="s">
        <v>6</v>
      </c>
      <c r="D1137" t="s">
        <v>430</v>
      </c>
      <c r="E1137" t="str">
        <f>IF(ISERROR(VLOOKUP(D1137,Nombres!A:D,4,FALSE)),"PROBLEMAAAAAA",VLOOKUP(D1137,Nombres!A:D,4,FALSE))</f>
        <v>DEF</v>
      </c>
      <c r="F1137" t="str">
        <f>IF(ISERROR(VLOOKUP(D1137,Nombres!A:D,3,FALSE)),"PROBLEMAAAAAA",VLOOKUP(D1137,Nombres!A:D,3,FALSE))</f>
        <v>Villarreal</v>
      </c>
      <c r="G1137">
        <v>12</v>
      </c>
      <c r="H1137" s="2">
        <f t="shared" si="6"/>
        <v>1200000</v>
      </c>
      <c r="I1137">
        <f t="shared" si="7"/>
        <v>2</v>
      </c>
      <c r="J1137" t="str">
        <f>IF(ISERROR(VLOOKUP(D1137,Nombres!A:D,2,FALSE)),"PROBLEMAAAAAA",VLOOKUP(D1137,Nombres!A:D,2,FALSE))</f>
        <v>Veiga</v>
      </c>
    </row>
    <row r="1138" spans="1:10" x14ac:dyDescent="0.25">
      <c r="A1138">
        <v>12</v>
      </c>
      <c r="B1138" s="1">
        <v>45968</v>
      </c>
      <c r="C1138" t="s">
        <v>6</v>
      </c>
      <c r="D1138" t="s">
        <v>36</v>
      </c>
      <c r="E1138" t="str">
        <f>IF(ISERROR(VLOOKUP(D1138,Nombres!A:D,4,FALSE)),"PROBLEMAAAAAA",VLOOKUP(D1138,Nombres!A:D,4,FALSE))</f>
        <v>DEF</v>
      </c>
      <c r="F1138" t="str">
        <f>IF(ISERROR(VLOOKUP(D1138,Nombres!A:D,3,FALSE)),"PROBLEMAAAAAA",VLOOKUP(D1138,Nombres!A:D,3,FALSE))</f>
        <v>Real Madrid</v>
      </c>
      <c r="G1138">
        <v>9</v>
      </c>
      <c r="H1138" s="2">
        <f t="shared" ref="H1138:H1201" si="8">G1138*100000</f>
        <v>900000</v>
      </c>
      <c r="I1138">
        <f t="shared" ref="I1138:I1201" si="9">IF(E1138="POR",1,IF(E1138="DEF",2,IF(E1138="MED",3,4)))</f>
        <v>2</v>
      </c>
      <c r="J1138" t="str">
        <f>IF(ISERROR(VLOOKUP(D1138,Nombres!A:D,2,FALSE)),"PROBLEMAAAAAA",VLOOKUP(D1138,Nombres!A:D,2,FALSE))</f>
        <v>A. F. Carreras</v>
      </c>
    </row>
    <row r="1139" spans="1:10" x14ac:dyDescent="0.25">
      <c r="A1139">
        <v>12</v>
      </c>
      <c r="B1139" s="1">
        <v>45968</v>
      </c>
      <c r="C1139" t="s">
        <v>6</v>
      </c>
      <c r="D1139" t="s">
        <v>155</v>
      </c>
      <c r="E1139" t="str">
        <f>IF(ISERROR(VLOOKUP(D1139,Nombres!A:D,4,FALSE)),"PROBLEMAAAAAA",VLOOKUP(D1139,Nombres!A:D,4,FALSE))</f>
        <v>MED</v>
      </c>
      <c r="F1139" t="str">
        <f>IF(ISERROR(VLOOKUP(D1139,Nombres!A:D,3,FALSE)),"PROBLEMAAAAAA",VLOOKUP(D1139,Nombres!A:D,3,FALSE))</f>
        <v>Athletic</v>
      </c>
      <c r="G1139">
        <v>8</v>
      </c>
      <c r="H1139" s="2">
        <f t="shared" si="8"/>
        <v>800000</v>
      </c>
      <c r="I1139">
        <f t="shared" si="9"/>
        <v>3</v>
      </c>
      <c r="J1139" t="str">
        <f>IF(ISERROR(VLOOKUP(D1139,Nombres!A:D,2,FALSE)),"PROBLEMAAAAAA",VLOOKUP(D1139,Nombres!A:D,2,FALSE))</f>
        <v>R. de Galarreta</v>
      </c>
    </row>
    <row r="1140" spans="1:10" x14ac:dyDescent="0.25">
      <c r="A1140">
        <v>12</v>
      </c>
      <c r="B1140" s="1">
        <v>45968</v>
      </c>
      <c r="C1140" t="s">
        <v>6</v>
      </c>
      <c r="D1140" t="s">
        <v>750</v>
      </c>
      <c r="E1140" t="str">
        <f>IF(ISERROR(VLOOKUP(D1140,Nombres!A:D,4,FALSE)),"PROBLEMAAAAAA",VLOOKUP(D1140,Nombres!A:D,4,FALSE))</f>
        <v>MED</v>
      </c>
      <c r="F1140" t="str">
        <f>IF(ISERROR(VLOOKUP(D1140,Nombres!A:D,3,FALSE)),"PROBLEMAAAAAA",VLOOKUP(D1140,Nombres!A:D,3,FALSE))</f>
        <v>Girona</v>
      </c>
      <c r="G1140">
        <v>6</v>
      </c>
      <c r="H1140" s="2">
        <f t="shared" si="8"/>
        <v>600000</v>
      </c>
      <c r="I1140">
        <f t="shared" si="9"/>
        <v>3</v>
      </c>
      <c r="J1140" t="str">
        <f>IF(ISERROR(VLOOKUP(D1140,Nombres!A:D,2,FALSE)),"PROBLEMAAAAAA",VLOOKUP(D1140,Nombres!A:D,2,FALSE))</f>
        <v>Witsel</v>
      </c>
    </row>
    <row r="1141" spans="1:10" x14ac:dyDescent="0.25">
      <c r="A1141">
        <v>12</v>
      </c>
      <c r="B1141" s="1">
        <v>45968</v>
      </c>
      <c r="C1141" t="s">
        <v>6</v>
      </c>
      <c r="D1141" t="s">
        <v>425</v>
      </c>
      <c r="E1141" t="str">
        <f>IF(ISERROR(VLOOKUP(D1141,Nombres!A:D,4,FALSE)),"PROBLEMAAAAAA",VLOOKUP(D1141,Nombres!A:D,4,FALSE))</f>
        <v>MED</v>
      </c>
      <c r="F1141" t="str">
        <f>IF(ISERROR(VLOOKUP(D1141,Nombres!A:D,3,FALSE)),"PROBLEMAAAAAA",VLOOKUP(D1141,Nombres!A:D,3,FALSE))</f>
        <v>Real Madrid</v>
      </c>
      <c r="G1141">
        <v>7</v>
      </c>
      <c r="H1141" s="2">
        <f t="shared" si="8"/>
        <v>700000</v>
      </c>
      <c r="I1141">
        <f t="shared" si="9"/>
        <v>3</v>
      </c>
      <c r="J1141" t="str">
        <f>IF(ISERROR(VLOOKUP(D1141,Nombres!A:D,2,FALSE)),"PROBLEMAAAAAA",VLOOKUP(D1141,Nombres!A:D,2,FALSE))</f>
        <v>Bellingham</v>
      </c>
    </row>
    <row r="1142" spans="1:10" x14ac:dyDescent="0.25">
      <c r="A1142">
        <v>12</v>
      </c>
      <c r="B1142" s="1">
        <v>45968</v>
      </c>
      <c r="C1142" t="s">
        <v>6</v>
      </c>
      <c r="D1142" t="s">
        <v>145</v>
      </c>
      <c r="E1142" t="str">
        <f>IF(ISERROR(VLOOKUP(D1142,Nombres!A:D,4,FALSE)),"PROBLEMAAAAAA",VLOOKUP(D1142,Nombres!A:D,4,FALSE))</f>
        <v>MED</v>
      </c>
      <c r="F1142" t="str">
        <f>IF(ISERROR(VLOOKUP(D1142,Nombres!A:D,3,FALSE)),"PROBLEMAAAAAA",VLOOKUP(D1142,Nombres!A:D,3,FALSE))</f>
        <v>Villarreal</v>
      </c>
      <c r="G1142">
        <v>9</v>
      </c>
      <c r="H1142" s="2">
        <f t="shared" si="8"/>
        <v>900000</v>
      </c>
      <c r="I1142">
        <f t="shared" si="9"/>
        <v>3</v>
      </c>
      <c r="J1142" t="str">
        <f>IF(ISERROR(VLOOKUP(D1142,Nombres!A:D,2,FALSE)),"PROBLEMAAAAAA",VLOOKUP(D1142,Nombres!A:D,2,FALSE))</f>
        <v>Comesaña</v>
      </c>
    </row>
    <row r="1143" spans="1:10" x14ac:dyDescent="0.25">
      <c r="A1143">
        <v>12</v>
      </c>
      <c r="B1143" s="1">
        <v>45968</v>
      </c>
      <c r="C1143" t="s">
        <v>6</v>
      </c>
      <c r="D1143" t="s">
        <v>306</v>
      </c>
      <c r="E1143" t="str">
        <f>IF(ISERROR(VLOOKUP(D1143,Nombres!A:D,4,FALSE)),"PROBLEMAAAAAA",VLOOKUP(D1143,Nombres!A:D,4,FALSE))</f>
        <v>DEL</v>
      </c>
      <c r="F1143" t="str">
        <f>IF(ISERROR(VLOOKUP(D1143,Nombres!A:D,3,FALSE)),"PROBLEMAAAAAA",VLOOKUP(D1143,Nombres!A:D,3,FALSE))</f>
        <v>Espanyol</v>
      </c>
      <c r="G1143">
        <v>3</v>
      </c>
      <c r="H1143" s="2">
        <f t="shared" si="8"/>
        <v>300000</v>
      </c>
      <c r="I1143">
        <f t="shared" si="9"/>
        <v>4</v>
      </c>
      <c r="J1143" t="str">
        <f>IF(ISERROR(VLOOKUP(D1143,Nombres!A:D,2,FALSE)),"PROBLEMAAAAAA",VLOOKUP(D1143,Nombres!A:D,2,FALSE))</f>
        <v>Roberto</v>
      </c>
    </row>
    <row r="1144" spans="1:10" x14ac:dyDescent="0.25">
      <c r="A1144">
        <v>12</v>
      </c>
      <c r="B1144" s="1">
        <v>45968</v>
      </c>
      <c r="C1144" t="s">
        <v>6</v>
      </c>
      <c r="D1144" t="s">
        <v>251</v>
      </c>
      <c r="E1144" t="str">
        <f>IF(ISERROR(VLOOKUP(D1144,Nombres!A:D,4,FALSE)),"PROBLEMAAAAAA",VLOOKUP(D1144,Nombres!A:D,4,FALSE))</f>
        <v>DEL</v>
      </c>
      <c r="F1144" t="str">
        <f>IF(ISERROR(VLOOKUP(D1144,Nombres!A:D,3,FALSE)),"PROBLEMAAAAAA",VLOOKUP(D1144,Nombres!A:D,3,FALSE))</f>
        <v>Getafe</v>
      </c>
      <c r="G1144">
        <v>2</v>
      </c>
      <c r="H1144" s="2">
        <f t="shared" si="8"/>
        <v>200000</v>
      </c>
      <c r="I1144">
        <f t="shared" si="9"/>
        <v>4</v>
      </c>
      <c r="J1144" t="str">
        <f>IF(ISERROR(VLOOKUP(D1144,Nombres!A:D,2,FALSE)),"PROBLEMAAAAAA",VLOOKUP(D1144,Nombres!A:D,2,FALSE))</f>
        <v>Liso</v>
      </c>
    </row>
    <row r="1145" spans="1:10" x14ac:dyDescent="0.25">
      <c r="A1145">
        <v>12</v>
      </c>
      <c r="B1145" s="1">
        <v>45968</v>
      </c>
      <c r="C1145" t="s">
        <v>6</v>
      </c>
      <c r="D1145" t="s">
        <v>71</v>
      </c>
      <c r="E1145" t="str">
        <f>IF(ISERROR(VLOOKUP(D1145,Nombres!A:D,4,FALSE)),"PROBLEMAAAAAA",VLOOKUP(D1145,Nombres!A:D,4,FALSE))</f>
        <v>DEL</v>
      </c>
      <c r="F1145" t="str">
        <f>IF(ISERROR(VLOOKUP(D1145,Nombres!A:D,3,FALSE)),"PROBLEMAAAAAA",VLOOKUP(D1145,Nombres!A:D,3,FALSE))</f>
        <v>Osasuna</v>
      </c>
      <c r="G1145">
        <v>4</v>
      </c>
      <c r="H1145" s="2">
        <f t="shared" si="8"/>
        <v>400000</v>
      </c>
      <c r="I1145">
        <f t="shared" si="9"/>
        <v>4</v>
      </c>
      <c r="J1145" t="str">
        <f>IF(ISERROR(VLOOKUP(D1145,Nombres!A:D,2,FALSE)),"PROBLEMAAAAAA",VLOOKUP(D1145,Nombres!A:D,2,FALSE))</f>
        <v>Raúl García</v>
      </c>
    </row>
    <row r="1146" spans="1:10" x14ac:dyDescent="0.25">
      <c r="A1146">
        <v>9</v>
      </c>
      <c r="B1146" s="1">
        <v>45947</v>
      </c>
      <c r="C1146" t="s">
        <v>9</v>
      </c>
      <c r="D1146" t="s">
        <v>253</v>
      </c>
      <c r="E1146" t="str">
        <f>IF(ISERROR(VLOOKUP(D1146,Nombres!A:D,4,FALSE)),"PROBLEMAAAAAA",VLOOKUP(D1146,Nombres!A:D,4,FALSE))</f>
        <v>POR</v>
      </c>
      <c r="F1146" t="str">
        <f>IF(ISERROR(VLOOKUP(D1146,Nombres!A:D,3,FALSE)),"PROBLEMAAAAAA",VLOOKUP(D1146,Nombres!A:D,3,FALSE))</f>
        <v>Valencia</v>
      </c>
      <c r="G1146">
        <v>11</v>
      </c>
      <c r="H1146" s="2">
        <f t="shared" si="8"/>
        <v>1100000</v>
      </c>
      <c r="I1146">
        <f t="shared" si="9"/>
        <v>1</v>
      </c>
      <c r="J1146" t="str">
        <f>IF(ISERROR(VLOOKUP(D1146,Nombres!A:D,2,FALSE)),"PROBLEMAAAAAA",VLOOKUP(D1146,Nombres!A:D,2,FALSE))</f>
        <v>Agirrezabala</v>
      </c>
    </row>
    <row r="1147" spans="1:10" x14ac:dyDescent="0.25">
      <c r="A1147">
        <v>9</v>
      </c>
      <c r="B1147" s="1">
        <v>45947</v>
      </c>
      <c r="C1147" t="s">
        <v>9</v>
      </c>
      <c r="D1147" t="s">
        <v>139</v>
      </c>
      <c r="E1147" t="str">
        <f>IF(ISERROR(VLOOKUP(D1147,Nombres!A:D,4,FALSE)),"PROBLEMAAAAAA",VLOOKUP(D1147,Nombres!A:D,4,FALSE))</f>
        <v>DEF</v>
      </c>
      <c r="F1147" t="str">
        <f>IF(ISERROR(VLOOKUP(D1147,Nombres!A:D,3,FALSE)),"PROBLEMAAAAAA",VLOOKUP(D1147,Nombres!A:D,3,FALSE))</f>
        <v>Elche</v>
      </c>
      <c r="G1147">
        <v>8</v>
      </c>
      <c r="H1147" s="2">
        <f t="shared" si="8"/>
        <v>800000</v>
      </c>
      <c r="I1147">
        <f t="shared" si="9"/>
        <v>2</v>
      </c>
      <c r="J1147" t="str">
        <f>IF(ISERROR(VLOOKUP(D1147,Nombres!A:D,2,FALSE)),"PROBLEMAAAAAA",VLOOKUP(D1147,Nombres!A:D,2,FALSE))</f>
        <v>Á. Núñez</v>
      </c>
    </row>
    <row r="1148" spans="1:10" x14ac:dyDescent="0.25">
      <c r="A1148">
        <v>9</v>
      </c>
      <c r="B1148" s="1">
        <v>45947</v>
      </c>
      <c r="C1148" t="s">
        <v>9</v>
      </c>
      <c r="D1148" t="s">
        <v>364</v>
      </c>
      <c r="E1148" t="str">
        <f>IF(ISERROR(VLOOKUP(D1148,Nombres!A:D,4,FALSE)),"PROBLEMAAAAAA",VLOOKUP(D1148,Nombres!A:D,4,FALSE))</f>
        <v>DEF</v>
      </c>
      <c r="F1148" t="str">
        <f>IF(ISERROR(VLOOKUP(D1148,Nombres!A:D,3,FALSE)),"PROBLEMAAAAAA",VLOOKUP(D1148,Nombres!A:D,3,FALSE))</f>
        <v>Mallorca</v>
      </c>
      <c r="G1148">
        <v>7</v>
      </c>
      <c r="H1148" s="2">
        <f t="shared" si="8"/>
        <v>700000</v>
      </c>
      <c r="I1148">
        <f t="shared" si="9"/>
        <v>2</v>
      </c>
      <c r="J1148" t="str">
        <f>IF(ISERROR(VLOOKUP(D1148,Nombres!A:D,2,FALSE)),"PROBLEMAAAAAA",VLOOKUP(D1148,Nombres!A:D,2,FALSE))</f>
        <v>Maffeo</v>
      </c>
    </row>
    <row r="1149" spans="1:10" x14ac:dyDescent="0.25">
      <c r="A1149">
        <v>9</v>
      </c>
      <c r="B1149" s="1">
        <v>45947</v>
      </c>
      <c r="C1149" t="s">
        <v>9</v>
      </c>
      <c r="D1149" t="s">
        <v>277</v>
      </c>
      <c r="E1149" t="str">
        <f>IF(ISERROR(VLOOKUP(D1149,Nombres!A:D,4,FALSE)),"PROBLEMAAAAAA",VLOOKUP(D1149,Nombres!A:D,4,FALSE))</f>
        <v>DEF</v>
      </c>
      <c r="F1149" t="str">
        <f>IF(ISERROR(VLOOKUP(D1149,Nombres!A:D,3,FALSE)),"PROBLEMAAAAAA",VLOOKUP(D1149,Nombres!A:D,3,FALSE))</f>
        <v>Celta</v>
      </c>
      <c r="G1149">
        <v>4</v>
      </c>
      <c r="H1149" s="2">
        <f t="shared" si="8"/>
        <v>400000</v>
      </c>
      <c r="I1149">
        <f t="shared" si="9"/>
        <v>2</v>
      </c>
      <c r="J1149" t="str">
        <f>IF(ISERROR(VLOOKUP(D1149,Nombres!A:D,2,FALSE)),"PROBLEMAAAAAA",VLOOKUP(D1149,Nombres!A:D,2,FALSE))</f>
        <v>Javi Rodríguez</v>
      </c>
    </row>
    <row r="1150" spans="1:10" x14ac:dyDescent="0.25">
      <c r="A1150">
        <v>9</v>
      </c>
      <c r="B1150" s="1">
        <v>45947</v>
      </c>
      <c r="C1150" t="s">
        <v>9</v>
      </c>
      <c r="D1150" t="s">
        <v>215</v>
      </c>
      <c r="E1150" t="str">
        <f>IF(ISERROR(VLOOKUP(D1150,Nombres!A:D,4,FALSE)),"PROBLEMAAAAAA",VLOOKUP(D1150,Nombres!A:D,4,FALSE))</f>
        <v>DEF</v>
      </c>
      <c r="F1150" t="str">
        <f>IF(ISERROR(VLOOKUP(D1150,Nombres!A:D,3,FALSE)),"PROBLEMAAAAAA",VLOOKUP(D1150,Nombres!A:D,3,FALSE))</f>
        <v>Getafe</v>
      </c>
      <c r="G1150">
        <v>2</v>
      </c>
      <c r="H1150" s="2">
        <f t="shared" si="8"/>
        <v>200000</v>
      </c>
      <c r="I1150">
        <f t="shared" si="9"/>
        <v>2</v>
      </c>
      <c r="J1150" t="str">
        <f>IF(ISERROR(VLOOKUP(D1150,Nombres!A:D,2,FALSE)),"PROBLEMAAAAAA",VLOOKUP(D1150,Nombres!A:D,2,FALSE))</f>
        <v>Iglesias</v>
      </c>
    </row>
    <row r="1151" spans="1:10" x14ac:dyDescent="0.25">
      <c r="A1151">
        <v>9</v>
      </c>
      <c r="B1151" s="1">
        <v>45947</v>
      </c>
      <c r="C1151" t="s">
        <v>9</v>
      </c>
      <c r="D1151" t="s">
        <v>291</v>
      </c>
      <c r="E1151" t="str">
        <f>IF(ISERROR(VLOOKUP(D1151,Nombres!A:D,4,FALSE)),"PROBLEMAAAAAA",VLOOKUP(D1151,Nombres!A:D,4,FALSE))</f>
        <v>MED</v>
      </c>
      <c r="F1151" t="str">
        <f>IF(ISERROR(VLOOKUP(D1151,Nombres!A:D,3,FALSE)),"PROBLEMAAAAAA",VLOOKUP(D1151,Nombres!A:D,3,FALSE))</f>
        <v>Real Sociedad</v>
      </c>
      <c r="G1151">
        <v>10</v>
      </c>
      <c r="H1151" s="2">
        <f t="shared" si="8"/>
        <v>1000000</v>
      </c>
      <c r="I1151">
        <f t="shared" si="9"/>
        <v>3</v>
      </c>
      <c r="J1151" t="str">
        <f>IF(ISERROR(VLOOKUP(D1151,Nombres!A:D,2,FALSE)),"PROBLEMAAAAAA",VLOOKUP(D1151,Nombres!A:D,2,FALSE))</f>
        <v>Carlos Soler</v>
      </c>
    </row>
    <row r="1152" spans="1:10" x14ac:dyDescent="0.25">
      <c r="A1152">
        <v>9</v>
      </c>
      <c r="B1152" s="1">
        <v>45947</v>
      </c>
      <c r="C1152" t="s">
        <v>9</v>
      </c>
      <c r="D1152" t="s">
        <v>111</v>
      </c>
      <c r="E1152" t="str">
        <f>IF(ISERROR(VLOOKUP(D1152,Nombres!A:D,4,FALSE)),"PROBLEMAAAAAA",VLOOKUP(D1152,Nombres!A:D,4,FALSE))</f>
        <v>MED</v>
      </c>
      <c r="F1152" t="str">
        <f>IF(ISERROR(VLOOKUP(D1152,Nombres!A:D,3,FALSE)),"PROBLEMAAAAAA",VLOOKUP(D1152,Nombres!A:D,3,FALSE))</f>
        <v>Villarreal</v>
      </c>
      <c r="G1152">
        <v>13</v>
      </c>
      <c r="H1152" s="2">
        <f t="shared" si="8"/>
        <v>1300000</v>
      </c>
      <c r="I1152">
        <f t="shared" si="9"/>
        <v>3</v>
      </c>
      <c r="J1152" t="str">
        <f>IF(ISERROR(VLOOKUP(D1152,Nombres!A:D,2,FALSE)),"PROBLEMAAAAAA",VLOOKUP(D1152,Nombres!A:D,2,FALSE))</f>
        <v>Moleiro</v>
      </c>
    </row>
    <row r="1153" spans="1:10" x14ac:dyDescent="0.25">
      <c r="A1153">
        <v>9</v>
      </c>
      <c r="B1153" s="1">
        <v>45947</v>
      </c>
      <c r="C1153" t="s">
        <v>9</v>
      </c>
      <c r="D1153" t="s">
        <v>771</v>
      </c>
      <c r="E1153" t="str">
        <f>IF(ISERROR(VLOOKUP(D1153,Nombres!A:D,4,FALSE)),"PROBLEMAAAAAA",VLOOKUP(D1153,Nombres!A:D,4,FALSE))</f>
        <v>MED</v>
      </c>
      <c r="F1153" t="str">
        <f>IF(ISERROR(VLOOKUP(D1153,Nombres!A:D,3,FALSE)),"PROBLEMAAAAAA",VLOOKUP(D1153,Nombres!A:D,3,FALSE))</f>
        <v>Celta</v>
      </c>
      <c r="G1153">
        <v>2</v>
      </c>
      <c r="H1153" s="2">
        <f t="shared" si="8"/>
        <v>200000</v>
      </c>
      <c r="I1153">
        <f t="shared" si="9"/>
        <v>3</v>
      </c>
      <c r="J1153" t="str">
        <f>IF(ISERROR(VLOOKUP(D1153,Nombres!A:D,2,FALSE)),"PROBLEMAAAAAA",VLOOKUP(D1153,Nombres!A:D,2,FALSE))</f>
        <v>Sotelo</v>
      </c>
    </row>
    <row r="1154" spans="1:10" x14ac:dyDescent="0.25">
      <c r="A1154">
        <v>9</v>
      </c>
      <c r="B1154" s="1">
        <v>45947</v>
      </c>
      <c r="C1154" t="s">
        <v>9</v>
      </c>
      <c r="D1154" t="s">
        <v>231</v>
      </c>
      <c r="E1154" t="str">
        <f>IF(ISERROR(VLOOKUP(D1154,Nombres!A:D,4,FALSE)),"PROBLEMAAAAAA",VLOOKUP(D1154,Nombres!A:D,4,FALSE))</f>
        <v>MED</v>
      </c>
      <c r="F1154" t="str">
        <f>IF(ISERROR(VLOOKUP(D1154,Nombres!A:D,3,FALSE)),"PROBLEMAAAAAA",VLOOKUP(D1154,Nombres!A:D,3,FALSE))</f>
        <v>Rayo</v>
      </c>
      <c r="G1154">
        <v>3</v>
      </c>
      <c r="H1154" s="2">
        <f t="shared" si="8"/>
        <v>300000</v>
      </c>
      <c r="I1154">
        <f t="shared" si="9"/>
        <v>3</v>
      </c>
      <c r="J1154" t="str">
        <f>IF(ISERROR(VLOOKUP(D1154,Nombres!A:D,2,FALSE)),"PROBLEMAAAAAA",VLOOKUP(D1154,Nombres!A:D,2,FALSE))</f>
        <v>Pathé Ciss</v>
      </c>
    </row>
    <row r="1155" spans="1:10" x14ac:dyDescent="0.25">
      <c r="A1155">
        <v>9</v>
      </c>
      <c r="B1155" s="1">
        <v>45947</v>
      </c>
      <c r="C1155" t="s">
        <v>9</v>
      </c>
      <c r="D1155" t="s">
        <v>328</v>
      </c>
      <c r="E1155" t="str">
        <f>IF(ISERROR(VLOOKUP(D1155,Nombres!A:D,4,FALSE)),"PROBLEMAAAAAA",VLOOKUP(D1155,Nombres!A:D,4,FALSE))</f>
        <v>DEL</v>
      </c>
      <c r="F1155" t="str">
        <f>IF(ISERROR(VLOOKUP(D1155,Nombres!A:D,3,FALSE)),"PROBLEMAAAAAA",VLOOKUP(D1155,Nombres!A:D,3,FALSE))</f>
        <v>Real Madrid</v>
      </c>
      <c r="G1155">
        <v>13</v>
      </c>
      <c r="H1155" s="2">
        <f t="shared" si="8"/>
        <v>1300000</v>
      </c>
      <c r="I1155">
        <f t="shared" si="9"/>
        <v>4</v>
      </c>
      <c r="J1155" t="str">
        <f>IF(ISERROR(VLOOKUP(D1155,Nombres!A:D,2,FALSE)),"PROBLEMAAAAAA",VLOOKUP(D1155,Nombres!A:D,2,FALSE))</f>
        <v>Mbappé</v>
      </c>
    </row>
    <row r="1156" spans="1:10" x14ac:dyDescent="0.25">
      <c r="A1156">
        <v>9</v>
      </c>
      <c r="B1156" s="1">
        <v>45947</v>
      </c>
      <c r="C1156" t="s">
        <v>9</v>
      </c>
      <c r="D1156" t="s">
        <v>295</v>
      </c>
      <c r="E1156" t="str">
        <f>IF(ISERROR(VLOOKUP(D1156,Nombres!A:D,4,FALSE)),"PROBLEMAAAAAA",VLOOKUP(D1156,Nombres!A:D,4,FALSE))</f>
        <v>DEL</v>
      </c>
      <c r="F1156" t="str">
        <f>IF(ISERROR(VLOOKUP(D1156,Nombres!A:D,3,FALSE)),"PROBLEMAAAAAA",VLOOKUP(D1156,Nombres!A:D,3,FALSE))</f>
        <v>Espanyol</v>
      </c>
      <c r="G1156">
        <v>4</v>
      </c>
      <c r="H1156" s="2">
        <f t="shared" si="8"/>
        <v>400000</v>
      </c>
      <c r="I1156">
        <f t="shared" si="9"/>
        <v>4</v>
      </c>
      <c r="J1156" t="str">
        <f>IF(ISERROR(VLOOKUP(D1156,Nombres!A:D,2,FALSE)),"PROBLEMAAAAAA",VLOOKUP(D1156,Nombres!A:D,2,FALSE))</f>
        <v>Dolan</v>
      </c>
    </row>
    <row r="1157" spans="1:10" x14ac:dyDescent="0.25">
      <c r="A1157">
        <v>10</v>
      </c>
      <c r="B1157" s="1">
        <v>45947</v>
      </c>
      <c r="C1157" t="s">
        <v>9</v>
      </c>
      <c r="D1157" t="s">
        <v>253</v>
      </c>
      <c r="E1157" t="str">
        <f>IF(ISERROR(VLOOKUP(D1157,Nombres!A:D,4,FALSE)),"PROBLEMAAAAAA",VLOOKUP(D1157,Nombres!A:D,4,FALSE))</f>
        <v>POR</v>
      </c>
      <c r="F1157" t="str">
        <f>IF(ISERROR(VLOOKUP(D1157,Nombres!A:D,3,FALSE)),"PROBLEMAAAAAA",VLOOKUP(D1157,Nombres!A:D,3,FALSE))</f>
        <v>Valencia</v>
      </c>
      <c r="G1157">
        <v>5</v>
      </c>
      <c r="H1157" s="2">
        <f t="shared" si="8"/>
        <v>500000</v>
      </c>
      <c r="I1157">
        <f t="shared" si="9"/>
        <v>1</v>
      </c>
      <c r="J1157" t="str">
        <f>IF(ISERROR(VLOOKUP(D1157,Nombres!A:D,2,FALSE)),"PROBLEMAAAAAA",VLOOKUP(D1157,Nombres!A:D,2,FALSE))</f>
        <v>Agirrezabala</v>
      </c>
    </row>
    <row r="1158" spans="1:10" x14ac:dyDescent="0.25">
      <c r="A1158">
        <v>10</v>
      </c>
      <c r="B1158" s="1">
        <v>45947</v>
      </c>
      <c r="C1158" t="s">
        <v>9</v>
      </c>
      <c r="D1158" t="s">
        <v>139</v>
      </c>
      <c r="E1158" t="str">
        <f>IF(ISERROR(VLOOKUP(D1158,Nombres!A:D,4,FALSE)),"PROBLEMAAAAAA",VLOOKUP(D1158,Nombres!A:D,4,FALSE))</f>
        <v>DEF</v>
      </c>
      <c r="F1158" t="str">
        <f>IF(ISERROR(VLOOKUP(D1158,Nombres!A:D,3,FALSE)),"PROBLEMAAAAAA",VLOOKUP(D1158,Nombres!A:D,3,FALSE))</f>
        <v>Elche</v>
      </c>
      <c r="G1158">
        <v>6</v>
      </c>
      <c r="H1158" s="2">
        <f t="shared" si="8"/>
        <v>600000</v>
      </c>
      <c r="I1158">
        <f t="shared" si="9"/>
        <v>2</v>
      </c>
      <c r="J1158" t="str">
        <f>IF(ISERROR(VLOOKUP(D1158,Nombres!A:D,2,FALSE)),"PROBLEMAAAAAA",VLOOKUP(D1158,Nombres!A:D,2,FALSE))</f>
        <v>Á. Núñez</v>
      </c>
    </row>
    <row r="1159" spans="1:10" x14ac:dyDescent="0.25">
      <c r="A1159">
        <v>10</v>
      </c>
      <c r="B1159" s="1">
        <v>45947</v>
      </c>
      <c r="C1159" t="s">
        <v>9</v>
      </c>
      <c r="D1159" t="s">
        <v>277</v>
      </c>
      <c r="E1159" t="str">
        <f>IF(ISERROR(VLOOKUP(D1159,Nombres!A:D,4,FALSE)),"PROBLEMAAAAAA",VLOOKUP(D1159,Nombres!A:D,4,FALSE))</f>
        <v>DEF</v>
      </c>
      <c r="F1159" t="str">
        <f>IF(ISERROR(VLOOKUP(D1159,Nombres!A:D,3,FALSE)),"PROBLEMAAAAAA",VLOOKUP(D1159,Nombres!A:D,3,FALSE))</f>
        <v>Celta</v>
      </c>
      <c r="G1159">
        <v>0</v>
      </c>
      <c r="H1159" s="2">
        <f t="shared" si="8"/>
        <v>0</v>
      </c>
      <c r="I1159">
        <f t="shared" si="9"/>
        <v>2</v>
      </c>
      <c r="J1159" t="str">
        <f>IF(ISERROR(VLOOKUP(D1159,Nombres!A:D,2,FALSE)),"PROBLEMAAAAAA",VLOOKUP(D1159,Nombres!A:D,2,FALSE))</f>
        <v>Javi Rodríguez</v>
      </c>
    </row>
    <row r="1160" spans="1:10" x14ac:dyDescent="0.25">
      <c r="A1160">
        <v>10</v>
      </c>
      <c r="B1160" s="1">
        <v>45947</v>
      </c>
      <c r="C1160" t="s">
        <v>9</v>
      </c>
      <c r="D1160" t="s">
        <v>226</v>
      </c>
      <c r="E1160" t="str">
        <f>IF(ISERROR(VLOOKUP(D1160,Nombres!A:D,4,FALSE)),"PROBLEMAAAAAA",VLOOKUP(D1160,Nombres!A:D,4,FALSE))</f>
        <v>DEF</v>
      </c>
      <c r="F1160" t="str">
        <f>IF(ISERROR(VLOOKUP(D1160,Nombres!A:D,3,FALSE)),"PROBLEMAAAAAA",VLOOKUP(D1160,Nombres!A:D,3,FALSE))</f>
        <v>Rayo</v>
      </c>
      <c r="G1160">
        <v>13</v>
      </c>
      <c r="H1160" s="2">
        <f t="shared" si="8"/>
        <v>1300000</v>
      </c>
      <c r="I1160">
        <f t="shared" si="9"/>
        <v>2</v>
      </c>
      <c r="J1160" t="str">
        <f>IF(ISERROR(VLOOKUP(D1160,Nombres!A:D,2,FALSE)),"PROBLEMAAAAAA",VLOOKUP(D1160,Nombres!A:D,2,FALSE))</f>
        <v>Pep Chavarría</v>
      </c>
    </row>
    <row r="1161" spans="1:10" x14ac:dyDescent="0.25">
      <c r="A1161">
        <v>10</v>
      </c>
      <c r="B1161" s="1">
        <v>45947</v>
      </c>
      <c r="C1161" t="s">
        <v>9</v>
      </c>
      <c r="D1161" t="s">
        <v>291</v>
      </c>
      <c r="E1161" t="str">
        <f>IF(ISERROR(VLOOKUP(D1161,Nombres!A:D,4,FALSE)),"PROBLEMAAAAAA",VLOOKUP(D1161,Nombres!A:D,4,FALSE))</f>
        <v>MED</v>
      </c>
      <c r="F1161" t="str">
        <f>IF(ISERROR(VLOOKUP(D1161,Nombres!A:D,3,FALSE)),"PROBLEMAAAAAA",VLOOKUP(D1161,Nombres!A:D,3,FALSE))</f>
        <v>Real Sociedad</v>
      </c>
      <c r="G1161">
        <v>1</v>
      </c>
      <c r="H1161" s="2">
        <f t="shared" si="8"/>
        <v>100000</v>
      </c>
      <c r="I1161">
        <f t="shared" si="9"/>
        <v>3</v>
      </c>
      <c r="J1161" t="str">
        <f>IF(ISERROR(VLOOKUP(D1161,Nombres!A:D,2,FALSE)),"PROBLEMAAAAAA",VLOOKUP(D1161,Nombres!A:D,2,FALSE))</f>
        <v>Carlos Soler</v>
      </c>
    </row>
    <row r="1162" spans="1:10" x14ac:dyDescent="0.25">
      <c r="A1162">
        <v>10</v>
      </c>
      <c r="B1162" s="1">
        <v>45947</v>
      </c>
      <c r="C1162" t="s">
        <v>9</v>
      </c>
      <c r="D1162" t="s">
        <v>437</v>
      </c>
      <c r="E1162" t="str">
        <f>IF(ISERROR(VLOOKUP(D1162,Nombres!A:D,4,FALSE)),"PROBLEMAAAAAA",VLOOKUP(D1162,Nombres!A:D,4,FALSE))</f>
        <v>MED</v>
      </c>
      <c r="F1162" t="str">
        <f>IF(ISERROR(VLOOKUP(D1162,Nombres!A:D,3,FALSE)),"PROBLEMAAAAAA",VLOOKUP(D1162,Nombres!A:D,3,FALSE))</f>
        <v>Girona</v>
      </c>
      <c r="G1162">
        <v>12</v>
      </c>
      <c r="H1162" s="2">
        <f t="shared" si="8"/>
        <v>1200000</v>
      </c>
      <c r="I1162">
        <f t="shared" si="9"/>
        <v>3</v>
      </c>
      <c r="J1162" t="str">
        <f>IF(ISERROR(VLOOKUP(D1162,Nombres!A:D,2,FALSE)),"PROBLEMAAAAAA",VLOOKUP(D1162,Nombres!A:D,2,FALSE))</f>
        <v>Ounahi</v>
      </c>
    </row>
    <row r="1163" spans="1:10" x14ac:dyDescent="0.25">
      <c r="A1163">
        <v>10</v>
      </c>
      <c r="B1163" s="1">
        <v>45947</v>
      </c>
      <c r="C1163" t="s">
        <v>9</v>
      </c>
      <c r="D1163" t="s">
        <v>771</v>
      </c>
      <c r="E1163" t="str">
        <f>IF(ISERROR(VLOOKUP(D1163,Nombres!A:D,4,FALSE)),"PROBLEMAAAAAA",VLOOKUP(D1163,Nombres!A:D,4,FALSE))</f>
        <v>MED</v>
      </c>
      <c r="F1163" t="str">
        <f>IF(ISERROR(VLOOKUP(D1163,Nombres!A:D,3,FALSE)),"PROBLEMAAAAAA",VLOOKUP(D1163,Nombres!A:D,3,FALSE))</f>
        <v>Celta</v>
      </c>
      <c r="G1163">
        <v>3</v>
      </c>
      <c r="H1163" s="2">
        <f t="shared" si="8"/>
        <v>300000</v>
      </c>
      <c r="I1163">
        <f t="shared" si="9"/>
        <v>3</v>
      </c>
      <c r="J1163" t="str">
        <f>IF(ISERROR(VLOOKUP(D1163,Nombres!A:D,2,FALSE)),"PROBLEMAAAAAA",VLOOKUP(D1163,Nombres!A:D,2,FALSE))</f>
        <v>Sotelo</v>
      </c>
    </row>
    <row r="1164" spans="1:10" x14ac:dyDescent="0.25">
      <c r="A1164">
        <v>10</v>
      </c>
      <c r="B1164" s="1">
        <v>45947</v>
      </c>
      <c r="C1164" t="s">
        <v>9</v>
      </c>
      <c r="D1164" t="s">
        <v>769</v>
      </c>
      <c r="E1164" t="str">
        <f>IF(ISERROR(VLOOKUP(D1164,Nombres!A:D,4,FALSE)),"PROBLEMAAAAAA",VLOOKUP(D1164,Nombres!A:D,4,FALSE))</f>
        <v>MED</v>
      </c>
      <c r="F1164" t="str">
        <f>IF(ISERROR(VLOOKUP(D1164,Nombres!A:D,3,FALSE)),"PROBLEMAAAAAA",VLOOKUP(D1164,Nombres!A:D,3,FALSE))</f>
        <v>Rayo</v>
      </c>
      <c r="G1164">
        <v>8</v>
      </c>
      <c r="H1164" s="2">
        <f t="shared" si="8"/>
        <v>800000</v>
      </c>
      <c r="I1164">
        <f t="shared" si="9"/>
        <v>3</v>
      </c>
      <c r="J1164" t="str">
        <f>IF(ISERROR(VLOOKUP(D1164,Nombres!A:D,2,FALSE)),"PROBLEMAAAAAA",VLOOKUP(D1164,Nombres!A:D,2,FALSE))</f>
        <v>Unai López</v>
      </c>
    </row>
    <row r="1165" spans="1:10" x14ac:dyDescent="0.25">
      <c r="A1165">
        <v>10</v>
      </c>
      <c r="B1165" s="1">
        <v>45947</v>
      </c>
      <c r="C1165" t="s">
        <v>9</v>
      </c>
      <c r="D1165" t="s">
        <v>328</v>
      </c>
      <c r="E1165" t="str">
        <f>IF(ISERROR(VLOOKUP(D1165,Nombres!A:D,4,FALSE)),"PROBLEMAAAAAA",VLOOKUP(D1165,Nombres!A:D,4,FALSE))</f>
        <v>DEL</v>
      </c>
      <c r="F1165" t="str">
        <f>IF(ISERROR(VLOOKUP(D1165,Nombres!A:D,3,FALSE)),"PROBLEMAAAAAA",VLOOKUP(D1165,Nombres!A:D,3,FALSE))</f>
        <v>Real Madrid</v>
      </c>
      <c r="G1165">
        <v>7</v>
      </c>
      <c r="H1165" s="2">
        <f t="shared" si="8"/>
        <v>700000</v>
      </c>
      <c r="I1165">
        <f t="shared" si="9"/>
        <v>4</v>
      </c>
      <c r="J1165" t="str">
        <f>IF(ISERROR(VLOOKUP(D1165,Nombres!A:D,2,FALSE)),"PROBLEMAAAAAA",VLOOKUP(D1165,Nombres!A:D,2,FALSE))</f>
        <v>Mbappé</v>
      </c>
    </row>
    <row r="1166" spans="1:10" x14ac:dyDescent="0.25">
      <c r="A1166">
        <v>10</v>
      </c>
      <c r="B1166" s="1">
        <v>45947</v>
      </c>
      <c r="C1166" t="s">
        <v>9</v>
      </c>
      <c r="D1166" t="s">
        <v>295</v>
      </c>
      <c r="E1166" t="str">
        <f>IF(ISERROR(VLOOKUP(D1166,Nombres!A:D,4,FALSE)),"PROBLEMAAAAAA",VLOOKUP(D1166,Nombres!A:D,4,FALSE))</f>
        <v>DEL</v>
      </c>
      <c r="F1166" t="str">
        <f>IF(ISERROR(VLOOKUP(D1166,Nombres!A:D,3,FALSE)),"PROBLEMAAAAAA",VLOOKUP(D1166,Nombres!A:D,3,FALSE))</f>
        <v>Espanyol</v>
      </c>
      <c r="G1166">
        <v>1</v>
      </c>
      <c r="H1166" s="2">
        <f t="shared" si="8"/>
        <v>100000</v>
      </c>
      <c r="I1166">
        <f t="shared" si="9"/>
        <v>4</v>
      </c>
      <c r="J1166" t="str">
        <f>IF(ISERROR(VLOOKUP(D1166,Nombres!A:D,2,FALSE)),"PROBLEMAAAAAA",VLOOKUP(D1166,Nombres!A:D,2,FALSE))</f>
        <v>Dolan</v>
      </c>
    </row>
    <row r="1167" spans="1:10" x14ac:dyDescent="0.25">
      <c r="A1167">
        <v>10</v>
      </c>
      <c r="B1167" s="1">
        <v>45947</v>
      </c>
      <c r="C1167" t="s">
        <v>9</v>
      </c>
      <c r="D1167" t="s">
        <v>51</v>
      </c>
      <c r="E1167" t="str">
        <f>IF(ISERROR(VLOOKUP(D1167,Nombres!A:D,4,FALSE)),"PROBLEMAAAAAA",VLOOKUP(D1167,Nombres!A:D,4,FALSE))</f>
        <v>DEL</v>
      </c>
      <c r="F1167" t="str">
        <f>IF(ISERROR(VLOOKUP(D1167,Nombres!A:D,3,FALSE)),"PROBLEMAAAAAA",VLOOKUP(D1167,Nombres!A:D,3,FALSE))</f>
        <v>Celta</v>
      </c>
      <c r="G1167">
        <v>8</v>
      </c>
      <c r="H1167" s="2">
        <f t="shared" si="8"/>
        <v>800000</v>
      </c>
      <c r="I1167">
        <f t="shared" si="9"/>
        <v>4</v>
      </c>
      <c r="J1167" t="str">
        <f>IF(ISERROR(VLOOKUP(D1167,Nombres!A:D,2,FALSE)),"PROBLEMAAAAAA",VLOOKUP(D1167,Nombres!A:D,2,FALSE))</f>
        <v>Durán</v>
      </c>
    </row>
    <row r="1168" spans="1:10" x14ac:dyDescent="0.25">
      <c r="A1168">
        <v>11</v>
      </c>
      <c r="B1168" s="1">
        <v>45968</v>
      </c>
      <c r="C1168" t="s">
        <v>9</v>
      </c>
      <c r="D1168" t="s">
        <v>253</v>
      </c>
      <c r="E1168" t="str">
        <f>IF(ISERROR(VLOOKUP(D1168,Nombres!A:D,4,FALSE)),"PROBLEMAAAAAA",VLOOKUP(D1168,Nombres!A:D,4,FALSE))</f>
        <v>POR</v>
      </c>
      <c r="F1168" t="str">
        <f>IF(ISERROR(VLOOKUP(D1168,Nombres!A:D,3,FALSE)),"PROBLEMAAAAAA",VLOOKUP(D1168,Nombres!A:D,3,FALSE))</f>
        <v>Valencia</v>
      </c>
      <c r="G1168">
        <v>9</v>
      </c>
      <c r="H1168" s="2">
        <f t="shared" si="8"/>
        <v>900000</v>
      </c>
      <c r="I1168">
        <f t="shared" si="9"/>
        <v>1</v>
      </c>
      <c r="J1168" t="str">
        <f>IF(ISERROR(VLOOKUP(D1168,Nombres!A:D,2,FALSE)),"PROBLEMAAAAAA",VLOOKUP(D1168,Nombres!A:D,2,FALSE))</f>
        <v>Agirrezabala</v>
      </c>
    </row>
    <row r="1169" spans="1:10" x14ac:dyDescent="0.25">
      <c r="A1169">
        <v>11</v>
      </c>
      <c r="B1169" s="1">
        <v>45968</v>
      </c>
      <c r="C1169" t="s">
        <v>9</v>
      </c>
      <c r="D1169" t="s">
        <v>139</v>
      </c>
      <c r="E1169" t="str">
        <f>IF(ISERROR(VLOOKUP(D1169,Nombres!A:D,4,FALSE)),"PROBLEMAAAAAA",VLOOKUP(D1169,Nombres!A:D,4,FALSE))</f>
        <v>DEF</v>
      </c>
      <c r="F1169" t="str">
        <f>IF(ISERROR(VLOOKUP(D1169,Nombres!A:D,3,FALSE)),"PROBLEMAAAAAA",VLOOKUP(D1169,Nombres!A:D,3,FALSE))</f>
        <v>Elche</v>
      </c>
      <c r="G1169">
        <v>7</v>
      </c>
      <c r="H1169" s="2">
        <f t="shared" si="8"/>
        <v>700000</v>
      </c>
      <c r="I1169">
        <f t="shared" si="9"/>
        <v>2</v>
      </c>
      <c r="J1169" t="str">
        <f>IF(ISERROR(VLOOKUP(D1169,Nombres!A:D,2,FALSE)),"PROBLEMAAAAAA",VLOOKUP(D1169,Nombres!A:D,2,FALSE))</f>
        <v>Á. Núñez</v>
      </c>
    </row>
    <row r="1170" spans="1:10" x14ac:dyDescent="0.25">
      <c r="A1170">
        <v>11</v>
      </c>
      <c r="B1170" s="1">
        <v>45968</v>
      </c>
      <c r="C1170" t="s">
        <v>9</v>
      </c>
      <c r="D1170" t="s">
        <v>226</v>
      </c>
      <c r="E1170" t="str">
        <f>IF(ISERROR(VLOOKUP(D1170,Nombres!A:D,4,FALSE)),"PROBLEMAAAAAA",VLOOKUP(D1170,Nombres!A:D,4,FALSE))</f>
        <v>DEF</v>
      </c>
      <c r="F1170" t="str">
        <f>IF(ISERROR(VLOOKUP(D1170,Nombres!A:D,3,FALSE)),"PROBLEMAAAAAA",VLOOKUP(D1170,Nombres!A:D,3,FALSE))</f>
        <v>Rayo</v>
      </c>
      <c r="G1170">
        <v>-1</v>
      </c>
      <c r="H1170" s="2">
        <f t="shared" si="8"/>
        <v>-100000</v>
      </c>
      <c r="I1170">
        <f t="shared" si="9"/>
        <v>2</v>
      </c>
      <c r="J1170" t="str">
        <f>IF(ISERROR(VLOOKUP(D1170,Nombres!A:D,2,FALSE)),"PROBLEMAAAAAA",VLOOKUP(D1170,Nombres!A:D,2,FALSE))</f>
        <v>Pep Chavarría</v>
      </c>
    </row>
    <row r="1171" spans="1:10" x14ac:dyDescent="0.25">
      <c r="A1171">
        <v>11</v>
      </c>
      <c r="B1171" s="1">
        <v>45968</v>
      </c>
      <c r="C1171" t="s">
        <v>9</v>
      </c>
      <c r="D1171" t="s">
        <v>317</v>
      </c>
      <c r="E1171" t="str">
        <f>IF(ISERROR(VLOOKUP(D1171,Nombres!A:D,4,FALSE)),"PROBLEMAAAAAA",VLOOKUP(D1171,Nombres!A:D,4,FALSE))</f>
        <v>DEF</v>
      </c>
      <c r="F1171" t="str">
        <f>IF(ISERROR(VLOOKUP(D1171,Nombres!A:D,3,FALSE)),"PROBLEMAAAAAA",VLOOKUP(D1171,Nombres!A:D,3,FALSE))</f>
        <v>Girona</v>
      </c>
      <c r="G1171">
        <v>3</v>
      </c>
      <c r="H1171" s="2">
        <f t="shared" si="8"/>
        <v>300000</v>
      </c>
      <c r="I1171">
        <f t="shared" si="9"/>
        <v>2</v>
      </c>
      <c r="J1171" t="str">
        <f>IF(ISERROR(VLOOKUP(D1171,Nombres!A:D,2,FALSE)),"PROBLEMAAAAAA",VLOOKUP(D1171,Nombres!A:D,2,FALSE))</f>
        <v>Vitor Reis</v>
      </c>
    </row>
    <row r="1172" spans="1:10" x14ac:dyDescent="0.25">
      <c r="A1172">
        <v>11</v>
      </c>
      <c r="B1172" s="1">
        <v>45968</v>
      </c>
      <c r="C1172" t="s">
        <v>9</v>
      </c>
      <c r="D1172" t="s">
        <v>291</v>
      </c>
      <c r="E1172" t="str">
        <f>IF(ISERROR(VLOOKUP(D1172,Nombres!A:D,4,FALSE)),"PROBLEMAAAAAA",VLOOKUP(D1172,Nombres!A:D,4,FALSE))</f>
        <v>MED</v>
      </c>
      <c r="F1172" t="str">
        <f>IF(ISERROR(VLOOKUP(D1172,Nombres!A:D,3,FALSE)),"PROBLEMAAAAAA",VLOOKUP(D1172,Nombres!A:D,3,FALSE))</f>
        <v>Real Sociedad</v>
      </c>
      <c r="G1172">
        <v>1</v>
      </c>
      <c r="H1172" s="2">
        <f t="shared" si="8"/>
        <v>100000</v>
      </c>
      <c r="I1172">
        <f t="shared" si="9"/>
        <v>3</v>
      </c>
      <c r="J1172" t="str">
        <f>IF(ISERROR(VLOOKUP(D1172,Nombres!A:D,2,FALSE)),"PROBLEMAAAAAA",VLOOKUP(D1172,Nombres!A:D,2,FALSE))</f>
        <v>Carlos Soler</v>
      </c>
    </row>
    <row r="1173" spans="1:10" x14ac:dyDescent="0.25">
      <c r="A1173">
        <v>11</v>
      </c>
      <c r="B1173" s="1">
        <v>45968</v>
      </c>
      <c r="C1173" t="s">
        <v>9</v>
      </c>
      <c r="D1173" t="s">
        <v>437</v>
      </c>
      <c r="E1173" t="str">
        <f>IF(ISERROR(VLOOKUP(D1173,Nombres!A:D,4,FALSE)),"PROBLEMAAAAAA",VLOOKUP(D1173,Nombres!A:D,4,FALSE))</f>
        <v>MED</v>
      </c>
      <c r="F1173" t="str">
        <f>IF(ISERROR(VLOOKUP(D1173,Nombres!A:D,3,FALSE)),"PROBLEMAAAAAA",VLOOKUP(D1173,Nombres!A:D,3,FALSE))</f>
        <v>Girona</v>
      </c>
      <c r="G1173">
        <v>3</v>
      </c>
      <c r="H1173" s="2">
        <f t="shared" si="8"/>
        <v>300000</v>
      </c>
      <c r="I1173">
        <f t="shared" si="9"/>
        <v>3</v>
      </c>
      <c r="J1173" t="str">
        <f>IF(ISERROR(VLOOKUP(D1173,Nombres!A:D,2,FALSE)),"PROBLEMAAAAAA",VLOOKUP(D1173,Nombres!A:D,2,FALSE))</f>
        <v>Ounahi</v>
      </c>
    </row>
    <row r="1174" spans="1:10" x14ac:dyDescent="0.25">
      <c r="A1174">
        <v>11</v>
      </c>
      <c r="B1174" s="1">
        <v>45968</v>
      </c>
      <c r="C1174" t="s">
        <v>9</v>
      </c>
      <c r="D1174" t="s">
        <v>626</v>
      </c>
      <c r="E1174" t="str">
        <f>IF(ISERROR(VLOOKUP(D1174,Nombres!A:D,4,FALSE)),"PROBLEMAAAAAA",VLOOKUP(D1174,Nombres!A:D,4,FALSE))</f>
        <v>MED</v>
      </c>
      <c r="F1174" t="str">
        <f>IF(ISERROR(VLOOKUP(D1174,Nombres!A:D,3,FALSE)),"PROBLEMAAAAAA",VLOOKUP(D1174,Nombres!A:D,3,FALSE))</f>
        <v>Girona</v>
      </c>
      <c r="G1174">
        <v>3</v>
      </c>
      <c r="H1174" s="2">
        <f t="shared" si="8"/>
        <v>300000</v>
      </c>
      <c r="I1174">
        <f t="shared" si="9"/>
        <v>3</v>
      </c>
      <c r="J1174" t="str">
        <f>IF(ISERROR(VLOOKUP(D1174,Nombres!A:D,2,FALSE)),"PROBLEMAAAAAA",VLOOKUP(D1174,Nombres!A:D,2,FALSE))</f>
        <v>Lemar</v>
      </c>
    </row>
    <row r="1175" spans="1:10" x14ac:dyDescent="0.25">
      <c r="A1175">
        <v>11</v>
      </c>
      <c r="B1175" s="1">
        <v>45968</v>
      </c>
      <c r="C1175" t="s">
        <v>9</v>
      </c>
      <c r="D1175" t="s">
        <v>769</v>
      </c>
      <c r="E1175" t="str">
        <f>IF(ISERROR(VLOOKUP(D1175,Nombres!A:D,4,FALSE)),"PROBLEMAAAAAA",VLOOKUP(D1175,Nombres!A:D,4,FALSE))</f>
        <v>MED</v>
      </c>
      <c r="F1175" t="str">
        <f>IF(ISERROR(VLOOKUP(D1175,Nombres!A:D,3,FALSE)),"PROBLEMAAAAAA",VLOOKUP(D1175,Nombres!A:D,3,FALSE))</f>
        <v>Rayo</v>
      </c>
      <c r="G1175">
        <v>0</v>
      </c>
      <c r="H1175" s="2">
        <f t="shared" si="8"/>
        <v>0</v>
      </c>
      <c r="I1175">
        <f t="shared" si="9"/>
        <v>3</v>
      </c>
      <c r="J1175" t="str">
        <f>IF(ISERROR(VLOOKUP(D1175,Nombres!A:D,2,FALSE)),"PROBLEMAAAAAA",VLOOKUP(D1175,Nombres!A:D,2,FALSE))</f>
        <v>Unai López</v>
      </c>
    </row>
    <row r="1176" spans="1:10" x14ac:dyDescent="0.25">
      <c r="A1176">
        <v>11</v>
      </c>
      <c r="B1176" s="1">
        <v>45968</v>
      </c>
      <c r="C1176" t="s">
        <v>9</v>
      </c>
      <c r="D1176" t="s">
        <v>248</v>
      </c>
      <c r="E1176" t="str">
        <f>IF(ISERROR(VLOOKUP(D1176,Nombres!A:D,4,FALSE)),"PROBLEMAAAAAA",VLOOKUP(D1176,Nombres!A:D,4,FALSE))</f>
        <v>MED</v>
      </c>
      <c r="F1176" t="str">
        <f>IF(ISERROR(VLOOKUP(D1176,Nombres!A:D,3,FALSE)),"PROBLEMAAAAAA",VLOOKUP(D1176,Nombres!A:D,3,FALSE))</f>
        <v>Rayo</v>
      </c>
      <c r="G1176">
        <v>1</v>
      </c>
      <c r="H1176" s="2">
        <f t="shared" si="8"/>
        <v>100000</v>
      </c>
      <c r="I1176">
        <f t="shared" si="9"/>
        <v>3</v>
      </c>
      <c r="J1176" t="str">
        <f>IF(ISERROR(VLOOKUP(D1176,Nombres!A:D,2,FALSE)),"PROBLEMAAAAAA",VLOOKUP(D1176,Nombres!A:D,2,FALSE))</f>
        <v>Pedro Díaz</v>
      </c>
    </row>
    <row r="1177" spans="1:10" x14ac:dyDescent="0.25">
      <c r="A1177">
        <v>11</v>
      </c>
      <c r="B1177" s="1">
        <v>45968</v>
      </c>
      <c r="C1177" t="s">
        <v>9</v>
      </c>
      <c r="D1177" t="s">
        <v>328</v>
      </c>
      <c r="E1177" t="str">
        <f>IF(ISERROR(VLOOKUP(D1177,Nombres!A:D,4,FALSE)),"PROBLEMAAAAAA",VLOOKUP(D1177,Nombres!A:D,4,FALSE))</f>
        <v>DEL</v>
      </c>
      <c r="F1177" t="str">
        <f>IF(ISERROR(VLOOKUP(D1177,Nombres!A:D,3,FALSE)),"PROBLEMAAAAAA",VLOOKUP(D1177,Nombres!A:D,3,FALSE))</f>
        <v>Real Madrid</v>
      </c>
      <c r="G1177">
        <v>16</v>
      </c>
      <c r="H1177" s="2">
        <f t="shared" si="8"/>
        <v>1600000</v>
      </c>
      <c r="I1177">
        <f t="shared" si="9"/>
        <v>4</v>
      </c>
      <c r="J1177" t="str">
        <f>IF(ISERROR(VLOOKUP(D1177,Nombres!A:D,2,FALSE)),"PROBLEMAAAAAA",VLOOKUP(D1177,Nombres!A:D,2,FALSE))</f>
        <v>Mbappé</v>
      </c>
    </row>
    <row r="1178" spans="1:10" x14ac:dyDescent="0.25">
      <c r="A1178">
        <v>11</v>
      </c>
      <c r="B1178" s="1">
        <v>45968</v>
      </c>
      <c r="C1178" t="s">
        <v>9</v>
      </c>
      <c r="D1178" t="s">
        <v>51</v>
      </c>
      <c r="E1178" t="str">
        <f>IF(ISERROR(VLOOKUP(D1178,Nombres!A:D,4,FALSE)),"PROBLEMAAAAAA",VLOOKUP(D1178,Nombres!A:D,4,FALSE))</f>
        <v>DEL</v>
      </c>
      <c r="F1178" t="str">
        <f>IF(ISERROR(VLOOKUP(D1178,Nombres!A:D,3,FALSE)),"PROBLEMAAAAAA",VLOOKUP(D1178,Nombres!A:D,3,FALSE))</f>
        <v>Celta</v>
      </c>
      <c r="G1178">
        <v>0</v>
      </c>
      <c r="H1178" s="2">
        <f t="shared" si="8"/>
        <v>0</v>
      </c>
      <c r="I1178">
        <f t="shared" si="9"/>
        <v>4</v>
      </c>
      <c r="J1178" t="str">
        <f>IF(ISERROR(VLOOKUP(D1178,Nombres!A:D,2,FALSE)),"PROBLEMAAAAAA",VLOOKUP(D1178,Nombres!A:D,2,FALSE))</f>
        <v>Durán</v>
      </c>
    </row>
    <row r="1179" spans="1:10" x14ac:dyDescent="0.25">
      <c r="A1179">
        <v>12</v>
      </c>
      <c r="B1179" s="1">
        <v>45968</v>
      </c>
      <c r="C1179" t="s">
        <v>9</v>
      </c>
      <c r="D1179" t="s">
        <v>253</v>
      </c>
      <c r="E1179" t="str">
        <f>IF(ISERROR(VLOOKUP(D1179,Nombres!A:D,4,FALSE)),"PROBLEMAAAAAA",VLOOKUP(D1179,Nombres!A:D,4,FALSE))</f>
        <v>POR</v>
      </c>
      <c r="F1179" t="str">
        <f>IF(ISERROR(VLOOKUP(D1179,Nombres!A:D,3,FALSE)),"PROBLEMAAAAAA",VLOOKUP(D1179,Nombres!A:D,3,FALSE))</f>
        <v>Valencia</v>
      </c>
      <c r="G1179">
        <v>4</v>
      </c>
      <c r="H1179" s="2">
        <f t="shared" si="8"/>
        <v>400000</v>
      </c>
      <c r="I1179">
        <f t="shared" si="9"/>
        <v>1</v>
      </c>
      <c r="J1179" t="str">
        <f>IF(ISERROR(VLOOKUP(D1179,Nombres!A:D,2,FALSE)),"PROBLEMAAAAAA",VLOOKUP(D1179,Nombres!A:D,2,FALSE))</f>
        <v>Agirrezabala</v>
      </c>
    </row>
    <row r="1180" spans="1:10" x14ac:dyDescent="0.25">
      <c r="A1180">
        <v>12</v>
      </c>
      <c r="B1180" s="1">
        <v>45968</v>
      </c>
      <c r="C1180" t="s">
        <v>9</v>
      </c>
      <c r="D1180" t="s">
        <v>139</v>
      </c>
      <c r="E1180" t="str">
        <f>IF(ISERROR(VLOOKUP(D1180,Nombres!A:D,4,FALSE)),"PROBLEMAAAAAA",VLOOKUP(D1180,Nombres!A:D,4,FALSE))</f>
        <v>DEF</v>
      </c>
      <c r="F1180" t="str">
        <f>IF(ISERROR(VLOOKUP(D1180,Nombres!A:D,3,FALSE)),"PROBLEMAAAAAA",VLOOKUP(D1180,Nombres!A:D,3,FALSE))</f>
        <v>Elche</v>
      </c>
      <c r="G1180">
        <v>11</v>
      </c>
      <c r="H1180" s="2">
        <f t="shared" si="8"/>
        <v>1100000</v>
      </c>
      <c r="I1180">
        <f t="shared" si="9"/>
        <v>2</v>
      </c>
      <c r="J1180" t="str">
        <f>IF(ISERROR(VLOOKUP(D1180,Nombres!A:D,2,FALSE)),"PROBLEMAAAAAA",VLOOKUP(D1180,Nombres!A:D,2,FALSE))</f>
        <v>Á. Núñez</v>
      </c>
    </row>
    <row r="1181" spans="1:10" x14ac:dyDescent="0.25">
      <c r="A1181">
        <v>12</v>
      </c>
      <c r="B1181" s="1">
        <v>45968</v>
      </c>
      <c r="C1181" t="s">
        <v>9</v>
      </c>
      <c r="D1181" t="s">
        <v>226</v>
      </c>
      <c r="E1181" t="str">
        <f>IF(ISERROR(VLOOKUP(D1181,Nombres!A:D,4,FALSE)),"PROBLEMAAAAAA",VLOOKUP(D1181,Nombres!A:D,4,FALSE))</f>
        <v>DEF</v>
      </c>
      <c r="F1181" t="str">
        <f>IF(ISERROR(VLOOKUP(D1181,Nombres!A:D,3,FALSE)),"PROBLEMAAAAAA",VLOOKUP(D1181,Nombres!A:D,3,FALSE))</f>
        <v>Rayo</v>
      </c>
      <c r="G1181">
        <v>9</v>
      </c>
      <c r="H1181" s="2">
        <f t="shared" si="8"/>
        <v>900000</v>
      </c>
      <c r="I1181">
        <f t="shared" si="9"/>
        <v>2</v>
      </c>
      <c r="J1181" t="str">
        <f>IF(ISERROR(VLOOKUP(D1181,Nombres!A:D,2,FALSE)),"PROBLEMAAAAAA",VLOOKUP(D1181,Nombres!A:D,2,FALSE))</f>
        <v>Pep Chavarría</v>
      </c>
    </row>
    <row r="1182" spans="1:10" x14ac:dyDescent="0.25">
      <c r="A1182">
        <v>12</v>
      </c>
      <c r="B1182" s="1">
        <v>45968</v>
      </c>
      <c r="C1182" t="s">
        <v>9</v>
      </c>
      <c r="D1182" t="s">
        <v>317</v>
      </c>
      <c r="E1182" t="str">
        <f>IF(ISERROR(VLOOKUP(D1182,Nombres!A:D,4,FALSE)),"PROBLEMAAAAAA",VLOOKUP(D1182,Nombres!A:D,4,FALSE))</f>
        <v>DEF</v>
      </c>
      <c r="F1182" t="str">
        <f>IF(ISERROR(VLOOKUP(D1182,Nombres!A:D,3,FALSE)),"PROBLEMAAAAAA",VLOOKUP(D1182,Nombres!A:D,3,FALSE))</f>
        <v>Girona</v>
      </c>
      <c r="G1182">
        <v>8</v>
      </c>
      <c r="H1182" s="2">
        <f t="shared" si="8"/>
        <v>800000</v>
      </c>
      <c r="I1182">
        <f t="shared" si="9"/>
        <v>2</v>
      </c>
      <c r="J1182" t="str">
        <f>IF(ISERROR(VLOOKUP(D1182,Nombres!A:D,2,FALSE)),"PROBLEMAAAAAA",VLOOKUP(D1182,Nombres!A:D,2,FALSE))</f>
        <v>Vitor Reis</v>
      </c>
    </row>
    <row r="1183" spans="1:10" x14ac:dyDescent="0.25">
      <c r="A1183">
        <v>12</v>
      </c>
      <c r="B1183" s="1">
        <v>45968</v>
      </c>
      <c r="C1183" t="s">
        <v>9</v>
      </c>
      <c r="D1183" t="s">
        <v>291</v>
      </c>
      <c r="E1183" t="str">
        <f>IF(ISERROR(VLOOKUP(D1183,Nombres!A:D,4,FALSE)),"PROBLEMAAAAAA",VLOOKUP(D1183,Nombres!A:D,4,FALSE))</f>
        <v>MED</v>
      </c>
      <c r="F1183" t="str">
        <f>IF(ISERROR(VLOOKUP(D1183,Nombres!A:D,3,FALSE)),"PROBLEMAAAAAA",VLOOKUP(D1183,Nombres!A:D,3,FALSE))</f>
        <v>Real Sociedad</v>
      </c>
      <c r="G1183">
        <v>3</v>
      </c>
      <c r="H1183" s="2">
        <f t="shared" si="8"/>
        <v>300000</v>
      </c>
      <c r="I1183">
        <f t="shared" si="9"/>
        <v>3</v>
      </c>
      <c r="J1183" t="str">
        <f>IF(ISERROR(VLOOKUP(D1183,Nombres!A:D,2,FALSE)),"PROBLEMAAAAAA",VLOOKUP(D1183,Nombres!A:D,2,FALSE))</f>
        <v>Carlos Soler</v>
      </c>
    </row>
    <row r="1184" spans="1:10" x14ac:dyDescent="0.25">
      <c r="A1184">
        <v>12</v>
      </c>
      <c r="B1184" s="1">
        <v>45968</v>
      </c>
      <c r="C1184" t="s">
        <v>9</v>
      </c>
      <c r="D1184" t="s">
        <v>437</v>
      </c>
      <c r="E1184" t="str">
        <f>IF(ISERROR(VLOOKUP(D1184,Nombres!A:D,4,FALSE)),"PROBLEMAAAAAA",VLOOKUP(D1184,Nombres!A:D,4,FALSE))</f>
        <v>MED</v>
      </c>
      <c r="F1184" t="str">
        <f>IF(ISERROR(VLOOKUP(D1184,Nombres!A:D,3,FALSE)),"PROBLEMAAAAAA",VLOOKUP(D1184,Nombres!A:D,3,FALSE))</f>
        <v>Girona</v>
      </c>
      <c r="G1184">
        <v>8</v>
      </c>
      <c r="H1184" s="2">
        <f t="shared" si="8"/>
        <v>800000</v>
      </c>
      <c r="I1184">
        <f t="shared" si="9"/>
        <v>3</v>
      </c>
      <c r="J1184" t="str">
        <f>IF(ISERROR(VLOOKUP(D1184,Nombres!A:D,2,FALSE)),"PROBLEMAAAAAA",VLOOKUP(D1184,Nombres!A:D,2,FALSE))</f>
        <v>Ounahi</v>
      </c>
    </row>
    <row r="1185" spans="1:10" x14ac:dyDescent="0.25">
      <c r="A1185">
        <v>12</v>
      </c>
      <c r="B1185" s="1">
        <v>45968</v>
      </c>
      <c r="C1185" t="s">
        <v>9</v>
      </c>
      <c r="D1185" t="s">
        <v>626</v>
      </c>
      <c r="E1185" t="str">
        <f>IF(ISERROR(VLOOKUP(D1185,Nombres!A:D,4,FALSE)),"PROBLEMAAAAAA",VLOOKUP(D1185,Nombres!A:D,4,FALSE))</f>
        <v>MED</v>
      </c>
      <c r="F1185" t="str">
        <f>IF(ISERROR(VLOOKUP(D1185,Nombres!A:D,3,FALSE)),"PROBLEMAAAAAA",VLOOKUP(D1185,Nombres!A:D,3,FALSE))</f>
        <v>Girona</v>
      </c>
      <c r="G1185">
        <v>0</v>
      </c>
      <c r="H1185" s="2">
        <f t="shared" si="8"/>
        <v>0</v>
      </c>
      <c r="I1185">
        <f t="shared" si="9"/>
        <v>3</v>
      </c>
      <c r="J1185" t="str">
        <f>IF(ISERROR(VLOOKUP(D1185,Nombres!A:D,2,FALSE)),"PROBLEMAAAAAA",VLOOKUP(D1185,Nombres!A:D,2,FALSE))</f>
        <v>Lemar</v>
      </c>
    </row>
    <row r="1186" spans="1:10" x14ac:dyDescent="0.25">
      <c r="A1186">
        <v>12</v>
      </c>
      <c r="B1186" s="1">
        <v>45968</v>
      </c>
      <c r="C1186" t="s">
        <v>9</v>
      </c>
      <c r="D1186" t="s">
        <v>769</v>
      </c>
      <c r="E1186" t="str">
        <f>IF(ISERROR(VLOOKUP(D1186,Nombres!A:D,4,FALSE)),"PROBLEMAAAAAA",VLOOKUP(D1186,Nombres!A:D,4,FALSE))</f>
        <v>MED</v>
      </c>
      <c r="F1186" t="str">
        <f>IF(ISERROR(VLOOKUP(D1186,Nombres!A:D,3,FALSE)),"PROBLEMAAAAAA",VLOOKUP(D1186,Nombres!A:D,3,FALSE))</f>
        <v>Rayo</v>
      </c>
      <c r="G1186">
        <v>5</v>
      </c>
      <c r="H1186" s="2">
        <f t="shared" si="8"/>
        <v>500000</v>
      </c>
      <c r="I1186">
        <f t="shared" si="9"/>
        <v>3</v>
      </c>
      <c r="J1186" t="str">
        <f>IF(ISERROR(VLOOKUP(D1186,Nombres!A:D,2,FALSE)),"PROBLEMAAAAAA",VLOOKUP(D1186,Nombres!A:D,2,FALSE))</f>
        <v>Unai López</v>
      </c>
    </row>
    <row r="1187" spans="1:10" x14ac:dyDescent="0.25">
      <c r="A1187">
        <v>12</v>
      </c>
      <c r="B1187" s="1">
        <v>45968</v>
      </c>
      <c r="C1187" t="s">
        <v>9</v>
      </c>
      <c r="D1187" t="s">
        <v>248</v>
      </c>
      <c r="E1187" t="str">
        <f>IF(ISERROR(VLOOKUP(D1187,Nombres!A:D,4,FALSE)),"PROBLEMAAAAAA",VLOOKUP(D1187,Nombres!A:D,4,FALSE))</f>
        <v>MED</v>
      </c>
      <c r="F1187" t="str">
        <f>IF(ISERROR(VLOOKUP(D1187,Nombres!A:D,3,FALSE)),"PROBLEMAAAAAA",VLOOKUP(D1187,Nombres!A:D,3,FALSE))</f>
        <v>Rayo</v>
      </c>
      <c r="G1187">
        <v>2</v>
      </c>
      <c r="H1187" s="2">
        <f t="shared" si="8"/>
        <v>200000</v>
      </c>
      <c r="I1187">
        <f t="shared" si="9"/>
        <v>3</v>
      </c>
      <c r="J1187" t="str">
        <f>IF(ISERROR(VLOOKUP(D1187,Nombres!A:D,2,FALSE)),"PROBLEMAAAAAA",VLOOKUP(D1187,Nombres!A:D,2,FALSE))</f>
        <v>Pedro Díaz</v>
      </c>
    </row>
    <row r="1188" spans="1:10" x14ac:dyDescent="0.25">
      <c r="A1188">
        <v>12</v>
      </c>
      <c r="B1188" s="1">
        <v>45968</v>
      </c>
      <c r="C1188" t="s">
        <v>9</v>
      </c>
      <c r="D1188" t="s">
        <v>328</v>
      </c>
      <c r="E1188" t="str">
        <f>IF(ISERROR(VLOOKUP(D1188,Nombres!A:D,4,FALSE)),"PROBLEMAAAAAA",VLOOKUP(D1188,Nombres!A:D,4,FALSE))</f>
        <v>DEL</v>
      </c>
      <c r="F1188" t="str">
        <f>IF(ISERROR(VLOOKUP(D1188,Nombres!A:D,3,FALSE)),"PROBLEMAAAAAA",VLOOKUP(D1188,Nombres!A:D,3,FALSE))</f>
        <v>Real Madrid</v>
      </c>
      <c r="G1188">
        <v>5</v>
      </c>
      <c r="H1188" s="2">
        <f t="shared" si="8"/>
        <v>500000</v>
      </c>
      <c r="I1188">
        <f t="shared" si="9"/>
        <v>4</v>
      </c>
      <c r="J1188" t="str">
        <f>IF(ISERROR(VLOOKUP(D1188,Nombres!A:D,2,FALSE)),"PROBLEMAAAAAA",VLOOKUP(D1188,Nombres!A:D,2,FALSE))</f>
        <v>Mbappé</v>
      </c>
    </row>
    <row r="1189" spans="1:10" x14ac:dyDescent="0.25">
      <c r="A1189">
        <v>12</v>
      </c>
      <c r="B1189" s="1">
        <v>45968</v>
      </c>
      <c r="C1189" t="s">
        <v>9</v>
      </c>
      <c r="D1189" t="s">
        <v>51</v>
      </c>
      <c r="E1189" t="str">
        <f>IF(ISERROR(VLOOKUP(D1189,Nombres!A:D,4,FALSE)),"PROBLEMAAAAAA",VLOOKUP(D1189,Nombres!A:D,4,FALSE))</f>
        <v>DEL</v>
      </c>
      <c r="F1189" t="str">
        <f>IF(ISERROR(VLOOKUP(D1189,Nombres!A:D,3,FALSE)),"PROBLEMAAAAAA",VLOOKUP(D1189,Nombres!A:D,3,FALSE))</f>
        <v>Celta</v>
      </c>
      <c r="G1189">
        <v>2</v>
      </c>
      <c r="H1189" s="2">
        <f t="shared" si="8"/>
        <v>200000</v>
      </c>
      <c r="I1189">
        <f t="shared" si="9"/>
        <v>4</v>
      </c>
      <c r="J1189" t="str">
        <f>IF(ISERROR(VLOOKUP(D1189,Nombres!A:D,2,FALSE)),"PROBLEMAAAAAA",VLOOKUP(D1189,Nombres!A:D,2,FALSE))</f>
        <v>Durán</v>
      </c>
    </row>
    <row r="1190" spans="1:10" x14ac:dyDescent="0.25">
      <c r="A1190">
        <v>9</v>
      </c>
      <c r="B1190" s="1">
        <v>45947</v>
      </c>
      <c r="C1190" t="s">
        <v>13</v>
      </c>
      <c r="D1190" t="s">
        <v>748</v>
      </c>
      <c r="E1190" t="str">
        <f>IF(ISERROR(VLOOKUP(D1190,Nombres!A:D,4,FALSE)),"PROBLEMAAAAAA",VLOOKUP(D1190,Nombres!A:D,4,FALSE))</f>
        <v>POR</v>
      </c>
      <c r="F1190" t="str">
        <f>IF(ISERROR(VLOOKUP(D1190,Nombres!A:D,3,FALSE)),"PROBLEMAAAAAA",VLOOKUP(D1190,Nombres!A:D,3,FALSE))</f>
        <v>Sevilla</v>
      </c>
      <c r="G1190">
        <v>3</v>
      </c>
      <c r="H1190" s="2">
        <f t="shared" si="8"/>
        <v>300000</v>
      </c>
      <c r="I1190">
        <f t="shared" si="9"/>
        <v>1</v>
      </c>
      <c r="J1190" t="str">
        <f>IF(ISERROR(VLOOKUP(D1190,Nombres!A:D,2,FALSE)),"PROBLEMAAAAAA",VLOOKUP(D1190,Nombres!A:D,2,FALSE))</f>
        <v>Vlachodimos</v>
      </c>
    </row>
    <row r="1191" spans="1:10" x14ac:dyDescent="0.25">
      <c r="A1191">
        <v>9</v>
      </c>
      <c r="B1191" s="1">
        <v>45947</v>
      </c>
      <c r="C1191" t="s">
        <v>13</v>
      </c>
      <c r="D1191" t="s">
        <v>202</v>
      </c>
      <c r="E1191" t="str">
        <f>IF(ISERROR(VLOOKUP(D1191,Nombres!A:D,4,FALSE)),"PROBLEMAAAAAA",VLOOKUP(D1191,Nombres!A:D,4,FALSE))</f>
        <v>DEF</v>
      </c>
      <c r="F1191" t="str">
        <f>IF(ISERROR(VLOOKUP(D1191,Nombres!A:D,3,FALSE)),"PROBLEMAAAAAA",VLOOKUP(D1191,Nombres!A:D,3,FALSE))</f>
        <v>Valencia</v>
      </c>
      <c r="G1191">
        <v>9</v>
      </c>
      <c r="H1191" s="2">
        <f t="shared" si="8"/>
        <v>900000</v>
      </c>
      <c r="I1191">
        <f t="shared" si="9"/>
        <v>2</v>
      </c>
      <c r="J1191" t="str">
        <f>IF(ISERROR(VLOOKUP(D1191,Nombres!A:D,2,FALSE)),"PROBLEMAAAAAA",VLOOKUP(D1191,Nombres!A:D,2,FALSE))</f>
        <v>Tárrega</v>
      </c>
    </row>
    <row r="1192" spans="1:10" x14ac:dyDescent="0.25">
      <c r="A1192">
        <v>9</v>
      </c>
      <c r="B1192" s="1">
        <v>45947</v>
      </c>
      <c r="C1192" t="s">
        <v>13</v>
      </c>
      <c r="D1192" t="s">
        <v>288</v>
      </c>
      <c r="E1192" t="str">
        <f>IF(ISERROR(VLOOKUP(D1192,Nombres!A:D,4,FALSE)),"PROBLEMAAAAAA",VLOOKUP(D1192,Nombres!A:D,4,FALSE))</f>
        <v>DEF</v>
      </c>
      <c r="F1192" t="str">
        <f>IF(ISERROR(VLOOKUP(D1192,Nombres!A:D,3,FALSE)),"PROBLEMAAAAAA",VLOOKUP(D1192,Nombres!A:D,3,FALSE))</f>
        <v>Alavés</v>
      </c>
      <c r="G1192">
        <v>8</v>
      </c>
      <c r="H1192" s="2">
        <f t="shared" si="8"/>
        <v>800000</v>
      </c>
      <c r="I1192">
        <f t="shared" si="9"/>
        <v>2</v>
      </c>
      <c r="J1192" t="str">
        <f>IF(ISERROR(VLOOKUP(D1192,Nombres!A:D,2,FALSE)),"PROBLEMAAAAAA",VLOOKUP(D1192,Nombres!A:D,2,FALSE))</f>
        <v>Tenaglia</v>
      </c>
    </row>
    <row r="1193" spans="1:10" x14ac:dyDescent="0.25">
      <c r="A1193">
        <v>9</v>
      </c>
      <c r="B1193" s="1">
        <v>45947</v>
      </c>
      <c r="C1193" t="s">
        <v>13</v>
      </c>
      <c r="D1193" t="s">
        <v>175</v>
      </c>
      <c r="E1193" t="str">
        <f>IF(ISERROR(VLOOKUP(D1193,Nombres!A:D,4,FALSE)),"PROBLEMAAAAAA",VLOOKUP(D1193,Nombres!A:D,4,FALSE))</f>
        <v>DEF</v>
      </c>
      <c r="F1193" t="str">
        <f>IF(ISERROR(VLOOKUP(D1193,Nombres!A:D,3,FALSE)),"PROBLEMAAAAAA",VLOOKUP(D1193,Nombres!A:D,3,FALSE))</f>
        <v>Osasuna</v>
      </c>
      <c r="G1193">
        <v>4</v>
      </c>
      <c r="H1193" s="2">
        <f t="shared" si="8"/>
        <v>400000</v>
      </c>
      <c r="I1193">
        <f t="shared" si="9"/>
        <v>2</v>
      </c>
      <c r="J1193" t="str">
        <f>IF(ISERROR(VLOOKUP(D1193,Nombres!A:D,2,FALSE)),"PROBLEMAAAAAA",VLOOKUP(D1193,Nombres!A:D,2,FALSE))</f>
        <v>Catena</v>
      </c>
    </row>
    <row r="1194" spans="1:10" x14ac:dyDescent="0.25">
      <c r="A1194">
        <v>9</v>
      </c>
      <c r="B1194" s="1">
        <v>45947</v>
      </c>
      <c r="C1194" t="s">
        <v>13</v>
      </c>
      <c r="D1194" t="s">
        <v>34</v>
      </c>
      <c r="E1194" t="str">
        <f>IF(ISERROR(VLOOKUP(D1194,Nombres!A:D,4,FALSE)),"PROBLEMAAAAAA",VLOOKUP(D1194,Nombres!A:D,4,FALSE))</f>
        <v>DEF</v>
      </c>
      <c r="F1194" t="str">
        <f>IF(ISERROR(VLOOKUP(D1194,Nombres!A:D,3,FALSE)),"PROBLEMAAAAAA",VLOOKUP(D1194,Nombres!A:D,3,FALSE))</f>
        <v>Athletic</v>
      </c>
      <c r="G1194">
        <v>8</v>
      </c>
      <c r="H1194" s="2">
        <f t="shared" si="8"/>
        <v>800000</v>
      </c>
      <c r="I1194">
        <f t="shared" si="9"/>
        <v>2</v>
      </c>
      <c r="J1194" t="str">
        <f>IF(ISERROR(VLOOKUP(D1194,Nombres!A:D,2,FALSE)),"PROBLEMAAAAAA",VLOOKUP(D1194,Nombres!A:D,2,FALSE))</f>
        <v>Areso</v>
      </c>
    </row>
    <row r="1195" spans="1:10" x14ac:dyDescent="0.25">
      <c r="A1195">
        <v>9</v>
      </c>
      <c r="B1195" s="1">
        <v>45947</v>
      </c>
      <c r="C1195" t="s">
        <v>13</v>
      </c>
      <c r="D1195" t="s">
        <v>45</v>
      </c>
      <c r="E1195" t="str">
        <f>IF(ISERROR(VLOOKUP(D1195,Nombres!A:D,4,FALSE)),"PROBLEMAAAAAA",VLOOKUP(D1195,Nombres!A:D,4,FALSE))</f>
        <v>MED</v>
      </c>
      <c r="F1195" t="str">
        <f>IF(ISERROR(VLOOKUP(D1195,Nombres!A:D,3,FALSE)),"PROBLEMAAAAAA",VLOOKUP(D1195,Nombres!A:D,3,FALSE))</f>
        <v>Villarreal</v>
      </c>
      <c r="G1195">
        <v>1</v>
      </c>
      <c r="H1195" s="2">
        <f t="shared" si="8"/>
        <v>100000</v>
      </c>
      <c r="I1195">
        <f t="shared" si="9"/>
        <v>3</v>
      </c>
      <c r="J1195" t="str">
        <f>IF(ISERROR(VLOOKUP(D1195,Nombres!A:D,2,FALSE)),"PROBLEMAAAAAA",VLOOKUP(D1195,Nombres!A:D,2,FALSE))</f>
        <v>P. Gueye</v>
      </c>
    </row>
    <row r="1196" spans="1:10" x14ac:dyDescent="0.25">
      <c r="A1196">
        <v>9</v>
      </c>
      <c r="B1196" s="1">
        <v>45947</v>
      </c>
      <c r="C1196" t="s">
        <v>13</v>
      </c>
      <c r="D1196" t="s">
        <v>47</v>
      </c>
      <c r="E1196" t="str">
        <f>IF(ISERROR(VLOOKUP(D1196,Nombres!A:D,4,FALSE)),"PROBLEMAAAAAA",VLOOKUP(D1196,Nombres!A:D,4,FALSE))</f>
        <v>MED</v>
      </c>
      <c r="F1196" t="str">
        <f>IF(ISERROR(VLOOKUP(D1196,Nombres!A:D,3,FALSE)),"PROBLEMAAAAAA",VLOOKUP(D1196,Nombres!A:D,3,FALSE))</f>
        <v>Real Sociedad</v>
      </c>
      <c r="G1196">
        <v>5</v>
      </c>
      <c r="H1196" s="2">
        <f t="shared" si="8"/>
        <v>500000</v>
      </c>
      <c r="I1196">
        <f t="shared" si="9"/>
        <v>3</v>
      </c>
      <c r="J1196" t="str">
        <f>IF(ISERROR(VLOOKUP(D1196,Nombres!A:D,2,FALSE)),"PROBLEMAAAAAA",VLOOKUP(D1196,Nombres!A:D,2,FALSE))</f>
        <v>Barrenetxea</v>
      </c>
    </row>
    <row r="1197" spans="1:10" x14ac:dyDescent="0.25">
      <c r="A1197">
        <v>9</v>
      </c>
      <c r="B1197" s="1">
        <v>45947</v>
      </c>
      <c r="C1197" t="s">
        <v>13</v>
      </c>
      <c r="D1197" t="s">
        <v>677</v>
      </c>
      <c r="E1197" t="str">
        <f>IF(ISERROR(VLOOKUP(D1197,Nombres!A:D,4,FALSE)),"PROBLEMAAAAAA",VLOOKUP(D1197,Nombres!A:D,4,FALSE))</f>
        <v>MED</v>
      </c>
      <c r="F1197" t="str">
        <f>IF(ISERROR(VLOOKUP(D1197,Nombres!A:D,3,FALSE)),"PROBLEMAAAAAA",VLOOKUP(D1197,Nombres!A:D,3,FALSE))</f>
        <v>Barcelona</v>
      </c>
      <c r="G1197">
        <v>11</v>
      </c>
      <c r="H1197" s="2">
        <f t="shared" si="8"/>
        <v>1100000</v>
      </c>
      <c r="I1197">
        <f t="shared" si="9"/>
        <v>3</v>
      </c>
      <c r="J1197" t="str">
        <f>IF(ISERROR(VLOOKUP(D1197,Nombres!A:D,2,FALSE)),"PROBLEMAAAAAA",VLOOKUP(D1197,Nombres!A:D,2,FALSE))</f>
        <v>Pedri</v>
      </c>
    </row>
    <row r="1198" spans="1:10" x14ac:dyDescent="0.25">
      <c r="A1198">
        <v>9</v>
      </c>
      <c r="B1198" s="1">
        <v>45947</v>
      </c>
      <c r="C1198" t="s">
        <v>13</v>
      </c>
      <c r="D1198" t="s">
        <v>301</v>
      </c>
      <c r="E1198" t="str">
        <f>IF(ISERROR(VLOOKUP(D1198,Nombres!A:D,4,FALSE)),"PROBLEMAAAAAA",VLOOKUP(D1198,Nombres!A:D,4,FALSE))</f>
        <v>DEL</v>
      </c>
      <c r="F1198" t="str">
        <f>IF(ISERROR(VLOOKUP(D1198,Nombres!A:D,3,FALSE)),"PROBLEMAAAAAA",VLOOKUP(D1198,Nombres!A:D,3,FALSE))</f>
        <v>Sevilla</v>
      </c>
      <c r="G1198">
        <v>11</v>
      </c>
      <c r="H1198" s="2">
        <f t="shared" si="8"/>
        <v>1100000</v>
      </c>
      <c r="I1198">
        <f t="shared" si="9"/>
        <v>4</v>
      </c>
      <c r="J1198" t="str">
        <f>IF(ISERROR(VLOOKUP(D1198,Nombres!A:D,2,FALSE)),"PROBLEMAAAAAA",VLOOKUP(D1198,Nombres!A:D,2,FALSE))</f>
        <v>Vargas</v>
      </c>
    </row>
    <row r="1199" spans="1:10" x14ac:dyDescent="0.25">
      <c r="A1199">
        <v>9</v>
      </c>
      <c r="B1199" s="1">
        <v>45947</v>
      </c>
      <c r="C1199" t="s">
        <v>13</v>
      </c>
      <c r="D1199" t="s">
        <v>426</v>
      </c>
      <c r="E1199" t="str">
        <f>IF(ISERROR(VLOOKUP(D1199,Nombres!A:D,4,FALSE)),"PROBLEMAAAAAA",VLOOKUP(D1199,Nombres!A:D,4,FALSE))</f>
        <v>DEL</v>
      </c>
      <c r="F1199" t="str">
        <f>IF(ISERROR(VLOOKUP(D1199,Nombres!A:D,3,FALSE)),"PROBLEMAAAAAA",VLOOKUP(D1199,Nombres!A:D,3,FALSE))</f>
        <v>Espanyol</v>
      </c>
      <c r="G1199">
        <v>10</v>
      </c>
      <c r="H1199" s="2">
        <f t="shared" si="8"/>
        <v>1000000</v>
      </c>
      <c r="I1199">
        <f t="shared" si="9"/>
        <v>4</v>
      </c>
      <c r="J1199" t="str">
        <f>IF(ISERROR(VLOOKUP(D1199,Nombres!A:D,2,FALSE)),"PROBLEMAAAAAA",VLOOKUP(D1199,Nombres!A:D,2,FALSE))</f>
        <v>Pere Milla</v>
      </c>
    </row>
    <row r="1200" spans="1:10" x14ac:dyDescent="0.25">
      <c r="A1200">
        <v>9</v>
      </c>
      <c r="B1200" s="1">
        <v>45947</v>
      </c>
      <c r="C1200" t="s">
        <v>13</v>
      </c>
      <c r="D1200" t="s">
        <v>119</v>
      </c>
      <c r="E1200" t="str">
        <f>IF(ISERROR(VLOOKUP(D1200,Nombres!A:D,4,FALSE)),"PROBLEMAAAAAA",VLOOKUP(D1200,Nombres!A:D,4,FALSE))</f>
        <v>DEL</v>
      </c>
      <c r="F1200" t="str">
        <f>IF(ISERROR(VLOOKUP(D1200,Nombres!A:D,3,FALSE)),"PROBLEMAAAAAA",VLOOKUP(D1200,Nombres!A:D,3,FALSE))</f>
        <v>Rayo</v>
      </c>
      <c r="G1200">
        <v>16</v>
      </c>
      <c r="H1200" s="2">
        <f t="shared" si="8"/>
        <v>1600000</v>
      </c>
      <c r="I1200">
        <f t="shared" si="9"/>
        <v>4</v>
      </c>
      <c r="J1200" t="str">
        <f>IF(ISERROR(VLOOKUP(D1200,Nombres!A:D,2,FALSE)),"PROBLEMAAAAAA",VLOOKUP(D1200,Nombres!A:D,2,FALSE))</f>
        <v>De Frutos</v>
      </c>
    </row>
    <row r="1201" spans="1:10" x14ac:dyDescent="0.25">
      <c r="A1201">
        <v>10</v>
      </c>
      <c r="B1201" s="1">
        <v>45947</v>
      </c>
      <c r="C1201" t="s">
        <v>13</v>
      </c>
      <c r="D1201" t="s">
        <v>429</v>
      </c>
      <c r="E1201" t="str">
        <f>IF(ISERROR(VLOOKUP(D1201,Nombres!A:D,4,FALSE)),"PROBLEMAAAAAA",VLOOKUP(D1201,Nombres!A:D,4,FALSE))</f>
        <v>POR</v>
      </c>
      <c r="F1201" t="str">
        <f>IF(ISERROR(VLOOKUP(D1201,Nombres!A:D,3,FALSE)),"PROBLEMAAAAAA",VLOOKUP(D1201,Nombres!A:D,3,FALSE))</f>
        <v>Real Oviedo</v>
      </c>
      <c r="G1201">
        <v>3</v>
      </c>
      <c r="H1201" s="2">
        <f t="shared" si="8"/>
        <v>300000</v>
      </c>
      <c r="I1201">
        <f t="shared" si="9"/>
        <v>1</v>
      </c>
      <c r="J1201" t="str">
        <f>IF(ISERROR(VLOOKUP(D1201,Nombres!A:D,2,FALSE)),"PROBLEMAAAAAA",VLOOKUP(D1201,Nombres!A:D,2,FALSE))</f>
        <v>Aarón</v>
      </c>
    </row>
    <row r="1202" spans="1:10" x14ac:dyDescent="0.25">
      <c r="A1202">
        <v>10</v>
      </c>
      <c r="B1202" s="1">
        <v>45947</v>
      </c>
      <c r="C1202" t="s">
        <v>13</v>
      </c>
      <c r="D1202" t="s">
        <v>108</v>
      </c>
      <c r="E1202" t="str">
        <f>IF(ISERROR(VLOOKUP(D1202,Nombres!A:D,4,FALSE)),"PROBLEMAAAAAA",VLOOKUP(D1202,Nombres!A:D,4,FALSE))</f>
        <v>DEF</v>
      </c>
      <c r="F1202" t="str">
        <f>IF(ISERROR(VLOOKUP(D1202,Nombres!A:D,3,FALSE)),"PROBLEMAAAAAA",VLOOKUP(D1202,Nombres!A:D,3,FALSE))</f>
        <v>Getafe</v>
      </c>
      <c r="G1202">
        <v>7</v>
      </c>
      <c r="H1202" s="2">
        <f t="shared" ref="H1202:H1265" si="10">G1202*100000</f>
        <v>700000</v>
      </c>
      <c r="I1202">
        <f t="shared" ref="I1202:I1265" si="11">IF(E1202="POR",1,IF(E1202="DEF",2,IF(E1202="MED",3,4)))</f>
        <v>2</v>
      </c>
      <c r="J1202" t="str">
        <f>IF(ISERROR(VLOOKUP(D1202,Nombres!A:D,2,FALSE)),"PROBLEMAAAAAA",VLOOKUP(D1202,Nombres!A:D,2,FALSE))</f>
        <v>D. Duarte</v>
      </c>
    </row>
    <row r="1203" spans="1:10" x14ac:dyDescent="0.25">
      <c r="A1203">
        <v>10</v>
      </c>
      <c r="B1203" s="1">
        <v>45947</v>
      </c>
      <c r="C1203" t="s">
        <v>13</v>
      </c>
      <c r="D1203" t="s">
        <v>175</v>
      </c>
      <c r="E1203" t="str">
        <f>IF(ISERROR(VLOOKUP(D1203,Nombres!A:D,4,FALSE)),"PROBLEMAAAAAA",VLOOKUP(D1203,Nombres!A:D,4,FALSE))</f>
        <v>DEF</v>
      </c>
      <c r="F1203" t="str">
        <f>IF(ISERROR(VLOOKUP(D1203,Nombres!A:D,3,FALSE)),"PROBLEMAAAAAA",VLOOKUP(D1203,Nombres!A:D,3,FALSE))</f>
        <v>Osasuna</v>
      </c>
      <c r="G1203">
        <v>-2</v>
      </c>
      <c r="H1203" s="2">
        <f t="shared" si="10"/>
        <v>-200000</v>
      </c>
      <c r="I1203">
        <f t="shared" si="11"/>
        <v>2</v>
      </c>
      <c r="J1203" t="str">
        <f>IF(ISERROR(VLOOKUP(D1203,Nombres!A:D,2,FALSE)),"PROBLEMAAAAAA",VLOOKUP(D1203,Nombres!A:D,2,FALSE))</f>
        <v>Catena</v>
      </c>
    </row>
    <row r="1204" spans="1:10" x14ac:dyDescent="0.25">
      <c r="A1204">
        <v>10</v>
      </c>
      <c r="B1204" s="1">
        <v>45947</v>
      </c>
      <c r="C1204" t="s">
        <v>13</v>
      </c>
      <c r="D1204" t="s">
        <v>34</v>
      </c>
      <c r="E1204" t="str">
        <f>IF(ISERROR(VLOOKUP(D1204,Nombres!A:D,4,FALSE)),"PROBLEMAAAAAA",VLOOKUP(D1204,Nombres!A:D,4,FALSE))</f>
        <v>DEF</v>
      </c>
      <c r="F1204" t="str">
        <f>IF(ISERROR(VLOOKUP(D1204,Nombres!A:D,3,FALSE)),"PROBLEMAAAAAA",VLOOKUP(D1204,Nombres!A:D,3,FALSE))</f>
        <v>Athletic</v>
      </c>
      <c r="G1204">
        <v>4</v>
      </c>
      <c r="H1204" s="2">
        <f t="shared" si="10"/>
        <v>400000</v>
      </c>
      <c r="I1204">
        <f t="shared" si="11"/>
        <v>2</v>
      </c>
      <c r="J1204" t="str">
        <f>IF(ISERROR(VLOOKUP(D1204,Nombres!A:D,2,FALSE)),"PROBLEMAAAAAA",VLOOKUP(D1204,Nombres!A:D,2,FALSE))</f>
        <v>Areso</v>
      </c>
    </row>
    <row r="1205" spans="1:10" x14ac:dyDescent="0.25">
      <c r="A1205">
        <v>10</v>
      </c>
      <c r="B1205" s="1">
        <v>45947</v>
      </c>
      <c r="C1205" t="s">
        <v>13</v>
      </c>
      <c r="D1205" t="s">
        <v>320</v>
      </c>
      <c r="E1205" t="str">
        <f>IF(ISERROR(VLOOKUP(D1205,Nombres!A:D,4,FALSE)),"PROBLEMAAAAAA",VLOOKUP(D1205,Nombres!A:D,4,FALSE))</f>
        <v>MED</v>
      </c>
      <c r="F1205" t="str">
        <f>IF(ISERROR(VLOOKUP(D1205,Nombres!A:D,3,FALSE)),"PROBLEMAAAAAA",VLOOKUP(D1205,Nombres!A:D,3,FALSE))</f>
        <v>Elche</v>
      </c>
      <c r="G1205">
        <v>4</v>
      </c>
      <c r="H1205" s="2">
        <f t="shared" si="10"/>
        <v>400000</v>
      </c>
      <c r="I1205">
        <f t="shared" si="11"/>
        <v>3</v>
      </c>
      <c r="J1205" t="str">
        <f>IF(ISERROR(VLOOKUP(D1205,Nombres!A:D,2,FALSE)),"PROBLEMAAAAAA",VLOOKUP(D1205,Nombres!A:D,2,FALSE))</f>
        <v>Martim Neto</v>
      </c>
    </row>
    <row r="1206" spans="1:10" x14ac:dyDescent="0.25">
      <c r="A1206">
        <v>10</v>
      </c>
      <c r="B1206" s="1">
        <v>45947</v>
      </c>
      <c r="C1206" t="s">
        <v>13</v>
      </c>
      <c r="D1206" t="s">
        <v>47</v>
      </c>
      <c r="E1206" t="str">
        <f>IF(ISERROR(VLOOKUP(D1206,Nombres!A:D,4,FALSE)),"PROBLEMAAAAAA",VLOOKUP(D1206,Nombres!A:D,4,FALSE))</f>
        <v>MED</v>
      </c>
      <c r="F1206" t="str">
        <f>IF(ISERROR(VLOOKUP(D1206,Nombres!A:D,3,FALSE)),"PROBLEMAAAAAA",VLOOKUP(D1206,Nombres!A:D,3,FALSE))</f>
        <v>Real Sociedad</v>
      </c>
      <c r="G1206">
        <v>5</v>
      </c>
      <c r="H1206" s="2">
        <f t="shared" si="10"/>
        <v>500000</v>
      </c>
      <c r="I1206">
        <f t="shared" si="11"/>
        <v>3</v>
      </c>
      <c r="J1206" t="str">
        <f>IF(ISERROR(VLOOKUP(D1206,Nombres!A:D,2,FALSE)),"PROBLEMAAAAAA",VLOOKUP(D1206,Nombres!A:D,2,FALSE))</f>
        <v>Barrenetxea</v>
      </c>
    </row>
    <row r="1207" spans="1:10" x14ac:dyDescent="0.25">
      <c r="A1207">
        <v>10</v>
      </c>
      <c r="B1207" s="1">
        <v>45947</v>
      </c>
      <c r="C1207" t="s">
        <v>13</v>
      </c>
      <c r="D1207" t="s">
        <v>677</v>
      </c>
      <c r="E1207" t="str">
        <f>IF(ISERROR(VLOOKUP(D1207,Nombres!A:D,4,FALSE)),"PROBLEMAAAAAA",VLOOKUP(D1207,Nombres!A:D,4,FALSE))</f>
        <v>MED</v>
      </c>
      <c r="F1207" t="str">
        <f>IF(ISERROR(VLOOKUP(D1207,Nombres!A:D,3,FALSE)),"PROBLEMAAAAAA",VLOOKUP(D1207,Nombres!A:D,3,FALSE))</f>
        <v>Barcelona</v>
      </c>
      <c r="G1207">
        <v>-1</v>
      </c>
      <c r="H1207" s="2">
        <f t="shared" si="10"/>
        <v>-100000</v>
      </c>
      <c r="I1207">
        <f t="shared" si="11"/>
        <v>3</v>
      </c>
      <c r="J1207" t="str">
        <f>IF(ISERROR(VLOOKUP(D1207,Nombres!A:D,2,FALSE)),"PROBLEMAAAAAA",VLOOKUP(D1207,Nombres!A:D,2,FALSE))</f>
        <v>Pedri</v>
      </c>
    </row>
    <row r="1208" spans="1:10" x14ac:dyDescent="0.25">
      <c r="A1208">
        <v>10</v>
      </c>
      <c r="B1208" s="1">
        <v>45947</v>
      </c>
      <c r="C1208" t="s">
        <v>13</v>
      </c>
      <c r="D1208" t="s">
        <v>111</v>
      </c>
      <c r="E1208" t="str">
        <f>IF(ISERROR(VLOOKUP(D1208,Nombres!A:D,4,FALSE)),"PROBLEMAAAAAA",VLOOKUP(D1208,Nombres!A:D,4,FALSE))</f>
        <v>MED</v>
      </c>
      <c r="F1208" t="str">
        <f>IF(ISERROR(VLOOKUP(D1208,Nombres!A:D,3,FALSE)),"PROBLEMAAAAAA",VLOOKUP(D1208,Nombres!A:D,3,FALSE))</f>
        <v>Villarreal</v>
      </c>
      <c r="G1208">
        <v>6</v>
      </c>
      <c r="H1208" s="2">
        <f t="shared" si="10"/>
        <v>600000</v>
      </c>
      <c r="I1208">
        <f t="shared" si="11"/>
        <v>3</v>
      </c>
      <c r="J1208" t="str">
        <f>IF(ISERROR(VLOOKUP(D1208,Nombres!A:D,2,FALSE)),"PROBLEMAAAAAA",VLOOKUP(D1208,Nombres!A:D,2,FALSE))</f>
        <v>Moleiro</v>
      </c>
    </row>
    <row r="1209" spans="1:10" x14ac:dyDescent="0.25">
      <c r="A1209">
        <v>10</v>
      </c>
      <c r="B1209" s="1">
        <v>45947</v>
      </c>
      <c r="C1209" t="s">
        <v>13</v>
      </c>
      <c r="D1209" t="s">
        <v>301</v>
      </c>
      <c r="E1209" t="str">
        <f>IF(ISERROR(VLOOKUP(D1209,Nombres!A:D,4,FALSE)),"PROBLEMAAAAAA",VLOOKUP(D1209,Nombres!A:D,4,FALSE))</f>
        <v>DEL</v>
      </c>
      <c r="F1209" t="str">
        <f>IF(ISERROR(VLOOKUP(D1209,Nombres!A:D,3,FALSE)),"PROBLEMAAAAAA",VLOOKUP(D1209,Nombres!A:D,3,FALSE))</f>
        <v>Sevilla</v>
      </c>
      <c r="G1209">
        <v>2</v>
      </c>
      <c r="H1209" s="2">
        <f t="shared" si="10"/>
        <v>200000</v>
      </c>
      <c r="I1209">
        <f t="shared" si="11"/>
        <v>4</v>
      </c>
      <c r="J1209" t="str">
        <f>IF(ISERROR(VLOOKUP(D1209,Nombres!A:D,2,FALSE)),"PROBLEMAAAAAA",VLOOKUP(D1209,Nombres!A:D,2,FALSE))</f>
        <v>Vargas</v>
      </c>
    </row>
    <row r="1210" spans="1:10" x14ac:dyDescent="0.25">
      <c r="A1210">
        <v>10</v>
      </c>
      <c r="B1210" s="1">
        <v>45947</v>
      </c>
      <c r="C1210" t="s">
        <v>13</v>
      </c>
      <c r="D1210" t="s">
        <v>119</v>
      </c>
      <c r="E1210" t="str">
        <f>IF(ISERROR(VLOOKUP(D1210,Nombres!A:D,4,FALSE)),"PROBLEMAAAAAA",VLOOKUP(D1210,Nombres!A:D,4,FALSE))</f>
        <v>DEL</v>
      </c>
      <c r="F1210" t="str">
        <f>IF(ISERROR(VLOOKUP(D1210,Nombres!A:D,3,FALSE)),"PROBLEMAAAAAA",VLOOKUP(D1210,Nombres!A:D,3,FALSE))</f>
        <v>Rayo</v>
      </c>
      <c r="G1210">
        <v>6</v>
      </c>
      <c r="H1210" s="2">
        <f t="shared" si="10"/>
        <v>600000</v>
      </c>
      <c r="I1210">
        <f t="shared" si="11"/>
        <v>4</v>
      </c>
      <c r="J1210" t="str">
        <f>IF(ISERROR(VLOOKUP(D1210,Nombres!A:D,2,FALSE)),"PROBLEMAAAAAA",VLOOKUP(D1210,Nombres!A:D,2,FALSE))</f>
        <v>De Frutos</v>
      </c>
    </row>
    <row r="1211" spans="1:10" x14ac:dyDescent="0.25">
      <c r="A1211">
        <v>10</v>
      </c>
      <c r="B1211" s="1">
        <v>45947</v>
      </c>
      <c r="C1211" t="s">
        <v>13</v>
      </c>
      <c r="D1211" t="s">
        <v>270</v>
      </c>
      <c r="E1211" t="str">
        <f>IF(ISERROR(VLOOKUP(D1211,Nombres!A:D,4,FALSE)),"PROBLEMAAAAAA",VLOOKUP(D1211,Nombres!A:D,4,FALSE))</f>
        <v>DEL</v>
      </c>
      <c r="F1211" t="str">
        <f>IF(ISERROR(VLOOKUP(D1211,Nombres!A:D,3,FALSE)),"PROBLEMAAAAAA",VLOOKUP(D1211,Nombres!A:D,3,FALSE))</f>
        <v>Osasuna</v>
      </c>
      <c r="G1211">
        <v>2</v>
      </c>
      <c r="H1211" s="2">
        <f t="shared" si="10"/>
        <v>200000</v>
      </c>
      <c r="I1211">
        <f t="shared" si="11"/>
        <v>4</v>
      </c>
      <c r="J1211" t="str">
        <f>IF(ISERROR(VLOOKUP(D1211,Nombres!A:D,2,FALSE)),"PROBLEMAAAAAA",VLOOKUP(D1211,Nombres!A:D,2,FALSE))</f>
        <v>Víctor Muñoz</v>
      </c>
    </row>
    <row r="1212" spans="1:10" x14ac:dyDescent="0.25">
      <c r="A1212">
        <v>11</v>
      </c>
      <c r="B1212" s="1">
        <v>45968</v>
      </c>
      <c r="C1212" t="s">
        <v>13</v>
      </c>
      <c r="D1212" t="s">
        <v>429</v>
      </c>
      <c r="E1212" t="str">
        <f>IF(ISERROR(VLOOKUP(D1212,Nombres!A:D,4,FALSE)),"PROBLEMAAAAAA",VLOOKUP(D1212,Nombres!A:D,4,FALSE))</f>
        <v>POR</v>
      </c>
      <c r="F1212" t="str">
        <f>IF(ISERROR(VLOOKUP(D1212,Nombres!A:D,3,FALSE)),"PROBLEMAAAAAA",VLOOKUP(D1212,Nombres!A:D,3,FALSE))</f>
        <v>Real Oviedo</v>
      </c>
      <c r="G1212">
        <v>12</v>
      </c>
      <c r="H1212" s="2">
        <f t="shared" si="10"/>
        <v>1200000</v>
      </c>
      <c r="I1212">
        <f t="shared" si="11"/>
        <v>1</v>
      </c>
      <c r="J1212" t="str">
        <f>IF(ISERROR(VLOOKUP(D1212,Nombres!A:D,2,FALSE)),"PROBLEMAAAAAA",VLOOKUP(D1212,Nombres!A:D,2,FALSE))</f>
        <v>Aarón</v>
      </c>
    </row>
    <row r="1213" spans="1:10" x14ac:dyDescent="0.25">
      <c r="A1213">
        <v>11</v>
      </c>
      <c r="B1213" s="1">
        <v>45968</v>
      </c>
      <c r="C1213" t="s">
        <v>13</v>
      </c>
      <c r="D1213" t="s">
        <v>108</v>
      </c>
      <c r="E1213" t="str">
        <f>IF(ISERROR(VLOOKUP(D1213,Nombres!A:D,4,FALSE)),"PROBLEMAAAAAA",VLOOKUP(D1213,Nombres!A:D,4,FALSE))</f>
        <v>DEF</v>
      </c>
      <c r="F1213" t="str">
        <f>IF(ISERROR(VLOOKUP(D1213,Nombres!A:D,3,FALSE)),"PROBLEMAAAAAA",VLOOKUP(D1213,Nombres!A:D,3,FALSE))</f>
        <v>Getafe</v>
      </c>
      <c r="G1213">
        <v>3</v>
      </c>
      <c r="H1213" s="2">
        <f t="shared" si="10"/>
        <v>300000</v>
      </c>
      <c r="I1213">
        <f t="shared" si="11"/>
        <v>2</v>
      </c>
      <c r="J1213" t="str">
        <f>IF(ISERROR(VLOOKUP(D1213,Nombres!A:D,2,FALSE)),"PROBLEMAAAAAA",VLOOKUP(D1213,Nombres!A:D,2,FALSE))</f>
        <v>D. Duarte</v>
      </c>
    </row>
    <row r="1214" spans="1:10" x14ac:dyDescent="0.25">
      <c r="A1214">
        <v>11</v>
      </c>
      <c r="B1214" s="1">
        <v>45968</v>
      </c>
      <c r="C1214" t="s">
        <v>13</v>
      </c>
      <c r="D1214" t="s">
        <v>175</v>
      </c>
      <c r="E1214" t="str">
        <f>IF(ISERROR(VLOOKUP(D1214,Nombres!A:D,4,FALSE)),"PROBLEMAAAAAA",VLOOKUP(D1214,Nombres!A:D,4,FALSE))</f>
        <v>DEF</v>
      </c>
      <c r="F1214" t="str">
        <f>IF(ISERROR(VLOOKUP(D1214,Nombres!A:D,3,FALSE)),"PROBLEMAAAAAA",VLOOKUP(D1214,Nombres!A:D,3,FALSE))</f>
        <v>Osasuna</v>
      </c>
      <c r="G1214">
        <v>8</v>
      </c>
      <c r="H1214" s="2">
        <f t="shared" si="10"/>
        <v>800000</v>
      </c>
      <c r="I1214">
        <f t="shared" si="11"/>
        <v>2</v>
      </c>
      <c r="J1214" t="str">
        <f>IF(ISERROR(VLOOKUP(D1214,Nombres!A:D,2,FALSE)),"PROBLEMAAAAAA",VLOOKUP(D1214,Nombres!A:D,2,FALSE))</f>
        <v>Catena</v>
      </c>
    </row>
    <row r="1215" spans="1:10" x14ac:dyDescent="0.25">
      <c r="A1215">
        <v>11</v>
      </c>
      <c r="B1215" s="1">
        <v>45968</v>
      </c>
      <c r="C1215" t="s">
        <v>13</v>
      </c>
      <c r="D1215" t="s">
        <v>164</v>
      </c>
      <c r="E1215" t="str">
        <f>IF(ISERROR(VLOOKUP(D1215,Nombres!A:D,4,FALSE)),"PROBLEMAAAAAA",VLOOKUP(D1215,Nombres!A:D,4,FALSE))</f>
        <v>DEF</v>
      </c>
      <c r="F1215" t="str">
        <f>IF(ISERROR(VLOOKUP(D1215,Nombres!A:D,3,FALSE)),"PROBLEMAAAAAA",VLOOKUP(D1215,Nombres!A:D,3,FALSE))</f>
        <v>Real Madrid</v>
      </c>
      <c r="G1215">
        <v>7</v>
      </c>
      <c r="H1215" s="2">
        <f t="shared" si="10"/>
        <v>700000</v>
      </c>
      <c r="I1215">
        <f t="shared" si="11"/>
        <v>2</v>
      </c>
      <c r="J1215" t="str">
        <f>IF(ISERROR(VLOOKUP(D1215,Nombres!A:D,2,FALSE)),"PROBLEMAAAAAA",VLOOKUP(D1215,Nombres!A:D,2,FALSE))</f>
        <v>Militão</v>
      </c>
    </row>
    <row r="1216" spans="1:10" x14ac:dyDescent="0.25">
      <c r="A1216">
        <v>11</v>
      </c>
      <c r="B1216" s="1">
        <v>45968</v>
      </c>
      <c r="C1216" t="s">
        <v>13</v>
      </c>
      <c r="D1216" t="s">
        <v>47</v>
      </c>
      <c r="E1216" t="str">
        <f>IF(ISERROR(VLOOKUP(D1216,Nombres!A:D,4,FALSE)),"PROBLEMAAAAAA",VLOOKUP(D1216,Nombres!A:D,4,FALSE))</f>
        <v>MED</v>
      </c>
      <c r="F1216" t="str">
        <f>IF(ISERROR(VLOOKUP(D1216,Nombres!A:D,3,FALSE)),"PROBLEMAAAAAA",VLOOKUP(D1216,Nombres!A:D,3,FALSE))</f>
        <v>Real Sociedad</v>
      </c>
      <c r="G1216">
        <v>2</v>
      </c>
      <c r="H1216" s="2">
        <f t="shared" si="10"/>
        <v>200000</v>
      </c>
      <c r="I1216">
        <f t="shared" si="11"/>
        <v>3</v>
      </c>
      <c r="J1216" t="str">
        <f>IF(ISERROR(VLOOKUP(D1216,Nombres!A:D,2,FALSE)),"PROBLEMAAAAAA",VLOOKUP(D1216,Nombres!A:D,2,FALSE))</f>
        <v>Barrenetxea</v>
      </c>
    </row>
    <row r="1217" spans="1:10" x14ac:dyDescent="0.25">
      <c r="A1217">
        <v>11</v>
      </c>
      <c r="B1217" s="1">
        <v>45968</v>
      </c>
      <c r="C1217" t="s">
        <v>13</v>
      </c>
      <c r="D1217" t="s">
        <v>111</v>
      </c>
      <c r="E1217" t="str">
        <f>IF(ISERROR(VLOOKUP(D1217,Nombres!A:D,4,FALSE)),"PROBLEMAAAAAA",VLOOKUP(D1217,Nombres!A:D,4,FALSE))</f>
        <v>MED</v>
      </c>
      <c r="F1217" t="str">
        <f>IF(ISERROR(VLOOKUP(D1217,Nombres!A:D,3,FALSE)),"PROBLEMAAAAAA",VLOOKUP(D1217,Nombres!A:D,3,FALSE))</f>
        <v>Villarreal</v>
      </c>
      <c r="G1217">
        <v>19</v>
      </c>
      <c r="H1217" s="2">
        <f t="shared" si="10"/>
        <v>1900000</v>
      </c>
      <c r="I1217">
        <f t="shared" si="11"/>
        <v>3</v>
      </c>
      <c r="J1217" t="str">
        <f>IF(ISERROR(VLOOKUP(D1217,Nombres!A:D,2,FALSE)),"PROBLEMAAAAAA",VLOOKUP(D1217,Nombres!A:D,2,FALSE))</f>
        <v>Moleiro</v>
      </c>
    </row>
    <row r="1218" spans="1:10" x14ac:dyDescent="0.25">
      <c r="A1218">
        <v>11</v>
      </c>
      <c r="B1218" s="1">
        <v>45968</v>
      </c>
      <c r="C1218" t="s">
        <v>13</v>
      </c>
      <c r="D1218" t="s">
        <v>326</v>
      </c>
      <c r="E1218" t="str">
        <f>IF(ISERROR(VLOOKUP(D1218,Nombres!A:D,4,FALSE)),"PROBLEMAAAAAA",VLOOKUP(D1218,Nombres!A:D,4,FALSE))</f>
        <v>MED</v>
      </c>
      <c r="F1218" t="str">
        <f>IF(ISERROR(VLOOKUP(D1218,Nombres!A:D,3,FALSE)),"PROBLEMAAAAAA",VLOOKUP(D1218,Nombres!A:D,3,FALSE))</f>
        <v>Getafe</v>
      </c>
      <c r="G1218">
        <v>12</v>
      </c>
      <c r="H1218" s="2">
        <f t="shared" si="10"/>
        <v>1200000</v>
      </c>
      <c r="I1218">
        <f t="shared" si="11"/>
        <v>3</v>
      </c>
      <c r="J1218" t="str">
        <f>IF(ISERROR(VLOOKUP(D1218,Nombres!A:D,2,FALSE)),"PROBLEMAAAAAA",VLOOKUP(D1218,Nombres!A:D,2,FALSE))</f>
        <v>Luis Milla</v>
      </c>
    </row>
    <row r="1219" spans="1:10" x14ac:dyDescent="0.25">
      <c r="A1219">
        <v>11</v>
      </c>
      <c r="B1219" s="1">
        <v>45968</v>
      </c>
      <c r="C1219" t="s">
        <v>13</v>
      </c>
      <c r="D1219" t="s">
        <v>38</v>
      </c>
      <c r="E1219" t="str">
        <f>IF(ISERROR(VLOOKUP(D1219,Nombres!A:D,4,FALSE)),"PROBLEMAAAAAA",VLOOKUP(D1219,Nombres!A:D,4,FALSE))</f>
        <v>MED</v>
      </c>
      <c r="F1219" t="str">
        <f>IF(ISERROR(VLOOKUP(D1219,Nombres!A:D,3,FALSE)),"PROBLEMAAAAAA",VLOOKUP(D1219,Nombres!A:D,3,FALSE))</f>
        <v>Real Madrid</v>
      </c>
      <c r="G1219">
        <v>10</v>
      </c>
      <c r="H1219" s="2">
        <f t="shared" si="10"/>
        <v>1000000</v>
      </c>
      <c r="I1219">
        <f t="shared" si="11"/>
        <v>3</v>
      </c>
      <c r="J1219" t="str">
        <f>IF(ISERROR(VLOOKUP(D1219,Nombres!A:D,2,FALSE)),"PROBLEMAAAAAA",VLOOKUP(D1219,Nombres!A:D,2,FALSE))</f>
        <v>Güler</v>
      </c>
    </row>
    <row r="1220" spans="1:10" x14ac:dyDescent="0.25">
      <c r="A1220">
        <v>11</v>
      </c>
      <c r="B1220" s="1">
        <v>45968</v>
      </c>
      <c r="C1220" t="s">
        <v>13</v>
      </c>
      <c r="D1220" t="s">
        <v>293</v>
      </c>
      <c r="E1220" t="str">
        <f>IF(ISERROR(VLOOKUP(D1220,Nombres!A:D,4,FALSE)),"PROBLEMAAAAAA",VLOOKUP(D1220,Nombres!A:D,4,FALSE))</f>
        <v>DEL</v>
      </c>
      <c r="F1220" t="str">
        <f>IF(ISERROR(VLOOKUP(D1220,Nombres!A:D,3,FALSE)),"PROBLEMAAAAAA",VLOOKUP(D1220,Nombres!A:D,3,FALSE))</f>
        <v>Mallorca</v>
      </c>
      <c r="G1220">
        <v>4</v>
      </c>
      <c r="H1220" s="2">
        <f t="shared" si="10"/>
        <v>400000</v>
      </c>
      <c r="I1220">
        <f t="shared" si="11"/>
        <v>4</v>
      </c>
      <c r="J1220" t="str">
        <f>IF(ISERROR(VLOOKUP(D1220,Nombres!A:D,2,FALSE)),"PROBLEMAAAAAA",VLOOKUP(D1220,Nombres!A:D,2,FALSE))</f>
        <v>Virgili</v>
      </c>
    </row>
    <row r="1221" spans="1:10" x14ac:dyDescent="0.25">
      <c r="A1221">
        <v>11</v>
      </c>
      <c r="B1221" s="1">
        <v>45968</v>
      </c>
      <c r="C1221" t="s">
        <v>13</v>
      </c>
      <c r="D1221" t="s">
        <v>147</v>
      </c>
      <c r="E1221" t="str">
        <f>IF(ISERROR(VLOOKUP(D1221,Nombres!A:D,4,FALSE)),"PROBLEMAAAAAA",VLOOKUP(D1221,Nombres!A:D,4,FALSE))</f>
        <v>DEL</v>
      </c>
      <c r="F1221" t="str">
        <f>IF(ISERROR(VLOOKUP(D1221,Nombres!A:D,3,FALSE)),"PROBLEMAAAAAA",VLOOKUP(D1221,Nombres!A:D,3,FALSE))</f>
        <v>Betis</v>
      </c>
      <c r="G1221">
        <v>10</v>
      </c>
      <c r="H1221" s="2">
        <f t="shared" si="10"/>
        <v>1000000</v>
      </c>
      <c r="I1221">
        <f t="shared" si="11"/>
        <v>4</v>
      </c>
      <c r="J1221" t="str">
        <f>IF(ISERROR(VLOOKUP(D1221,Nombres!A:D,2,FALSE)),"PROBLEMAAAAAA",VLOOKUP(D1221,Nombres!A:D,2,FALSE))</f>
        <v>Abde</v>
      </c>
    </row>
    <row r="1222" spans="1:10" x14ac:dyDescent="0.25">
      <c r="A1222">
        <v>11</v>
      </c>
      <c r="B1222" s="1">
        <v>45968</v>
      </c>
      <c r="C1222" t="s">
        <v>13</v>
      </c>
      <c r="D1222" t="s">
        <v>497</v>
      </c>
      <c r="E1222" t="str">
        <f>IF(ISERROR(VLOOKUP(D1222,Nombres!A:D,4,FALSE)),"PROBLEMAAAAAA",VLOOKUP(D1222,Nombres!A:D,4,FALSE))</f>
        <v>DEL</v>
      </c>
      <c r="F1222" t="str">
        <f>IF(ISERROR(VLOOKUP(D1222,Nombres!A:D,3,FALSE)),"PROBLEMAAAAAA",VLOOKUP(D1222,Nombres!A:D,3,FALSE))</f>
        <v>Celta</v>
      </c>
      <c r="G1222">
        <v>2</v>
      </c>
      <c r="H1222" s="2">
        <f t="shared" si="10"/>
        <v>200000</v>
      </c>
      <c r="I1222">
        <f t="shared" si="11"/>
        <v>4</v>
      </c>
      <c r="J1222" t="str">
        <f>IF(ISERROR(VLOOKUP(D1222,Nombres!A:D,2,FALSE)),"PROBLEMAAAAAA",VLOOKUP(D1222,Nombres!A:D,2,FALSE))</f>
        <v>Aspas</v>
      </c>
    </row>
    <row r="1223" spans="1:10" x14ac:dyDescent="0.25">
      <c r="A1223">
        <v>12</v>
      </c>
      <c r="B1223" s="1">
        <v>45968</v>
      </c>
      <c r="C1223" t="s">
        <v>13</v>
      </c>
      <c r="D1223" t="s">
        <v>429</v>
      </c>
      <c r="E1223" t="str">
        <f>IF(ISERROR(VLOOKUP(D1223,Nombres!A:D,4,FALSE)),"PROBLEMAAAAAA",VLOOKUP(D1223,Nombres!A:D,4,FALSE))</f>
        <v>POR</v>
      </c>
      <c r="F1223" t="str">
        <f>IF(ISERROR(VLOOKUP(D1223,Nombres!A:D,3,FALSE)),"PROBLEMAAAAAA",VLOOKUP(D1223,Nombres!A:D,3,FALSE))</f>
        <v>Real Oviedo</v>
      </c>
      <c r="G1223">
        <v>8</v>
      </c>
      <c r="H1223" s="2">
        <f t="shared" si="10"/>
        <v>800000</v>
      </c>
      <c r="I1223">
        <f t="shared" si="11"/>
        <v>1</v>
      </c>
      <c r="J1223" t="str">
        <f>IF(ISERROR(VLOOKUP(D1223,Nombres!A:D,2,FALSE)),"PROBLEMAAAAAA",VLOOKUP(D1223,Nombres!A:D,2,FALSE))</f>
        <v>Aarón</v>
      </c>
    </row>
    <row r="1224" spans="1:10" x14ac:dyDescent="0.25">
      <c r="A1224">
        <v>12</v>
      </c>
      <c r="B1224" s="1">
        <v>45968</v>
      </c>
      <c r="C1224" t="s">
        <v>13</v>
      </c>
      <c r="D1224" t="s">
        <v>108</v>
      </c>
      <c r="E1224" t="str">
        <f>IF(ISERROR(VLOOKUP(D1224,Nombres!A:D,4,FALSE)),"PROBLEMAAAAAA",VLOOKUP(D1224,Nombres!A:D,4,FALSE))</f>
        <v>DEF</v>
      </c>
      <c r="F1224" t="str">
        <f>IF(ISERROR(VLOOKUP(D1224,Nombres!A:D,3,FALSE)),"PROBLEMAAAAAA",VLOOKUP(D1224,Nombres!A:D,3,FALSE))</f>
        <v>Getafe</v>
      </c>
      <c r="G1224">
        <v>6</v>
      </c>
      <c r="H1224" s="2">
        <f t="shared" si="10"/>
        <v>600000</v>
      </c>
      <c r="I1224">
        <f t="shared" si="11"/>
        <v>2</v>
      </c>
      <c r="J1224" t="str">
        <f>IF(ISERROR(VLOOKUP(D1224,Nombres!A:D,2,FALSE)),"PROBLEMAAAAAA",VLOOKUP(D1224,Nombres!A:D,2,FALSE))</f>
        <v>D. Duarte</v>
      </c>
    </row>
    <row r="1225" spans="1:10" x14ac:dyDescent="0.25">
      <c r="A1225">
        <v>12</v>
      </c>
      <c r="B1225" s="1">
        <v>45968</v>
      </c>
      <c r="C1225" t="s">
        <v>13</v>
      </c>
      <c r="D1225" t="s">
        <v>774</v>
      </c>
      <c r="E1225" t="str">
        <f>IF(ISERROR(VLOOKUP(D1225,Nombres!A:D,4,FALSE)),"PROBLEMAAAAAA",VLOOKUP(D1225,Nombres!A:D,4,FALSE))</f>
        <v>DEF</v>
      </c>
      <c r="F1225" t="str">
        <f>IF(ISERROR(VLOOKUP(D1225,Nombres!A:D,3,FALSE)),"PROBLEMAAAAAA",VLOOKUP(D1225,Nombres!A:D,3,FALSE))</f>
        <v>Real Oviedo</v>
      </c>
      <c r="G1225">
        <v>7</v>
      </c>
      <c r="H1225" s="2">
        <f t="shared" si="10"/>
        <v>700000</v>
      </c>
      <c r="I1225">
        <f t="shared" si="11"/>
        <v>2</v>
      </c>
      <c r="J1225" t="str">
        <f>IF(ISERROR(VLOOKUP(D1225,Nombres!A:D,2,FALSE)),"PROBLEMAAAAAA",VLOOKUP(D1225,Nombres!A:D,2,FALSE))</f>
        <v>Carmo</v>
      </c>
    </row>
    <row r="1226" spans="1:10" x14ac:dyDescent="0.25">
      <c r="A1226">
        <v>12</v>
      </c>
      <c r="B1226" s="1">
        <v>45968</v>
      </c>
      <c r="C1226" t="s">
        <v>13</v>
      </c>
      <c r="D1226" t="s">
        <v>164</v>
      </c>
      <c r="E1226" t="str">
        <f>IF(ISERROR(VLOOKUP(D1226,Nombres!A:D,4,FALSE)),"PROBLEMAAAAAA",VLOOKUP(D1226,Nombres!A:D,4,FALSE))</f>
        <v>DEF</v>
      </c>
      <c r="F1226" t="str">
        <f>IF(ISERROR(VLOOKUP(D1226,Nombres!A:D,3,FALSE)),"PROBLEMAAAAAA",VLOOKUP(D1226,Nombres!A:D,3,FALSE))</f>
        <v>Real Madrid</v>
      </c>
      <c r="G1226">
        <v>3</v>
      </c>
      <c r="H1226" s="2">
        <f t="shared" si="10"/>
        <v>300000</v>
      </c>
      <c r="I1226">
        <f t="shared" si="11"/>
        <v>2</v>
      </c>
      <c r="J1226" t="str">
        <f>IF(ISERROR(VLOOKUP(D1226,Nombres!A:D,2,FALSE)),"PROBLEMAAAAAA",VLOOKUP(D1226,Nombres!A:D,2,FALSE))</f>
        <v>Militão</v>
      </c>
    </row>
    <row r="1227" spans="1:10" x14ac:dyDescent="0.25">
      <c r="A1227">
        <v>12</v>
      </c>
      <c r="B1227" s="1">
        <v>45968</v>
      </c>
      <c r="C1227" t="s">
        <v>13</v>
      </c>
      <c r="D1227" t="s">
        <v>111</v>
      </c>
      <c r="E1227" t="str">
        <f>IF(ISERROR(VLOOKUP(D1227,Nombres!A:D,4,FALSE)),"PROBLEMAAAAAA",VLOOKUP(D1227,Nombres!A:D,4,FALSE))</f>
        <v>MED</v>
      </c>
      <c r="F1227" t="str">
        <f>IF(ISERROR(VLOOKUP(D1227,Nombres!A:D,3,FALSE)),"PROBLEMAAAAAA",VLOOKUP(D1227,Nombres!A:D,3,FALSE))</f>
        <v>Villarreal</v>
      </c>
      <c r="G1227">
        <v>13</v>
      </c>
      <c r="H1227" s="2">
        <f t="shared" si="10"/>
        <v>1300000</v>
      </c>
      <c r="I1227">
        <f t="shared" si="11"/>
        <v>3</v>
      </c>
      <c r="J1227" t="str">
        <f>IF(ISERROR(VLOOKUP(D1227,Nombres!A:D,2,FALSE)),"PROBLEMAAAAAA",VLOOKUP(D1227,Nombres!A:D,2,FALSE))</f>
        <v>Moleiro</v>
      </c>
    </row>
    <row r="1228" spans="1:10" x14ac:dyDescent="0.25">
      <c r="A1228">
        <v>12</v>
      </c>
      <c r="B1228" s="1">
        <v>45968</v>
      </c>
      <c r="C1228" t="s">
        <v>13</v>
      </c>
      <c r="D1228" t="s">
        <v>326</v>
      </c>
      <c r="E1228" t="str">
        <f>IF(ISERROR(VLOOKUP(D1228,Nombres!A:D,4,FALSE)),"PROBLEMAAAAAA",VLOOKUP(D1228,Nombres!A:D,4,FALSE))</f>
        <v>MED</v>
      </c>
      <c r="F1228" t="str">
        <f>IF(ISERROR(VLOOKUP(D1228,Nombres!A:D,3,FALSE)),"PROBLEMAAAAAA",VLOOKUP(D1228,Nombres!A:D,3,FALSE))</f>
        <v>Getafe</v>
      </c>
      <c r="G1228">
        <v>6</v>
      </c>
      <c r="H1228" s="2">
        <f t="shared" si="10"/>
        <v>600000</v>
      </c>
      <c r="I1228">
        <f t="shared" si="11"/>
        <v>3</v>
      </c>
      <c r="J1228" t="str">
        <f>IF(ISERROR(VLOOKUP(D1228,Nombres!A:D,2,FALSE)),"PROBLEMAAAAAA",VLOOKUP(D1228,Nombres!A:D,2,FALSE))</f>
        <v>Luis Milla</v>
      </c>
    </row>
    <row r="1229" spans="1:10" x14ac:dyDescent="0.25">
      <c r="A1229">
        <v>12</v>
      </c>
      <c r="B1229" s="1">
        <v>45968</v>
      </c>
      <c r="C1229" t="s">
        <v>13</v>
      </c>
      <c r="D1229" t="s">
        <v>38</v>
      </c>
      <c r="E1229" t="str">
        <f>IF(ISERROR(VLOOKUP(D1229,Nombres!A:D,4,FALSE)),"PROBLEMAAAAAA",VLOOKUP(D1229,Nombres!A:D,4,FALSE))</f>
        <v>MED</v>
      </c>
      <c r="F1229" t="str">
        <f>IF(ISERROR(VLOOKUP(D1229,Nombres!A:D,3,FALSE)),"PROBLEMAAAAAA",VLOOKUP(D1229,Nombres!A:D,3,FALSE))</f>
        <v>Real Madrid</v>
      </c>
      <c r="G1229">
        <v>10</v>
      </c>
      <c r="H1229" s="2">
        <f t="shared" si="10"/>
        <v>1000000</v>
      </c>
      <c r="I1229">
        <f t="shared" si="11"/>
        <v>3</v>
      </c>
      <c r="J1229" t="str">
        <f>IF(ISERROR(VLOOKUP(D1229,Nombres!A:D,2,FALSE)),"PROBLEMAAAAAA",VLOOKUP(D1229,Nombres!A:D,2,FALSE))</f>
        <v>Güler</v>
      </c>
    </row>
    <row r="1230" spans="1:10" x14ac:dyDescent="0.25">
      <c r="A1230">
        <v>12</v>
      </c>
      <c r="B1230" s="1">
        <v>45968</v>
      </c>
      <c r="C1230" t="s">
        <v>13</v>
      </c>
      <c r="D1230" t="s">
        <v>230</v>
      </c>
      <c r="E1230" t="str">
        <f>IF(ISERROR(VLOOKUP(D1230,Nombres!A:D,4,FALSE)),"PROBLEMAAAAAA",VLOOKUP(D1230,Nombres!A:D,4,FALSE))</f>
        <v>MED</v>
      </c>
      <c r="F1230" t="str">
        <f>IF(ISERROR(VLOOKUP(D1230,Nombres!A:D,3,FALSE)),"PROBLEMAAAAAA",VLOOKUP(D1230,Nombres!A:D,3,FALSE))</f>
        <v>Athletic</v>
      </c>
      <c r="G1230">
        <v>3</v>
      </c>
      <c r="H1230" s="2">
        <f t="shared" si="10"/>
        <v>300000</v>
      </c>
      <c r="I1230">
        <f t="shared" si="11"/>
        <v>3</v>
      </c>
      <c r="J1230" t="str">
        <f>IF(ISERROR(VLOOKUP(D1230,Nombres!A:D,2,FALSE)),"PROBLEMAAAAAA",VLOOKUP(D1230,Nombres!A:D,2,FALSE))</f>
        <v>Navarro</v>
      </c>
    </row>
    <row r="1231" spans="1:10" x14ac:dyDescent="0.25">
      <c r="A1231">
        <v>12</v>
      </c>
      <c r="B1231" s="1">
        <v>45968</v>
      </c>
      <c r="C1231" t="s">
        <v>13</v>
      </c>
      <c r="D1231" t="s">
        <v>293</v>
      </c>
      <c r="E1231" t="str">
        <f>IF(ISERROR(VLOOKUP(D1231,Nombres!A:D,4,FALSE)),"PROBLEMAAAAAA",VLOOKUP(D1231,Nombres!A:D,4,FALSE))</f>
        <v>DEL</v>
      </c>
      <c r="F1231" t="str">
        <f>IF(ISERROR(VLOOKUP(D1231,Nombres!A:D,3,FALSE)),"PROBLEMAAAAAA",VLOOKUP(D1231,Nombres!A:D,3,FALSE))</f>
        <v>Mallorca</v>
      </c>
      <c r="G1231">
        <v>5</v>
      </c>
      <c r="H1231" s="2">
        <f t="shared" si="10"/>
        <v>500000</v>
      </c>
      <c r="I1231">
        <f t="shared" si="11"/>
        <v>4</v>
      </c>
      <c r="J1231" t="str">
        <f>IF(ISERROR(VLOOKUP(D1231,Nombres!A:D,2,FALSE)),"PROBLEMAAAAAA",VLOOKUP(D1231,Nombres!A:D,2,FALSE))</f>
        <v>Virgili</v>
      </c>
    </row>
    <row r="1232" spans="1:10" x14ac:dyDescent="0.25">
      <c r="A1232">
        <v>12</v>
      </c>
      <c r="B1232" s="1">
        <v>45968</v>
      </c>
      <c r="C1232" t="s">
        <v>13</v>
      </c>
      <c r="D1232" t="s">
        <v>147</v>
      </c>
      <c r="E1232" t="str">
        <f>IF(ISERROR(VLOOKUP(D1232,Nombres!A:D,4,FALSE)),"PROBLEMAAAAAA",VLOOKUP(D1232,Nombres!A:D,4,FALSE))</f>
        <v>DEL</v>
      </c>
      <c r="F1232" t="str">
        <f>IF(ISERROR(VLOOKUP(D1232,Nombres!A:D,3,FALSE)),"PROBLEMAAAAAA",VLOOKUP(D1232,Nombres!A:D,3,FALSE))</f>
        <v>Betis</v>
      </c>
      <c r="G1232">
        <v>9</v>
      </c>
      <c r="H1232" s="2">
        <f t="shared" si="10"/>
        <v>900000</v>
      </c>
      <c r="I1232">
        <f t="shared" si="11"/>
        <v>4</v>
      </c>
      <c r="J1232" t="str">
        <f>IF(ISERROR(VLOOKUP(D1232,Nombres!A:D,2,FALSE)),"PROBLEMAAAAAA",VLOOKUP(D1232,Nombres!A:D,2,FALSE))</f>
        <v>Abde</v>
      </c>
    </row>
    <row r="1233" spans="1:10" x14ac:dyDescent="0.25">
      <c r="A1233">
        <v>12</v>
      </c>
      <c r="B1233" s="1">
        <v>45968</v>
      </c>
      <c r="C1233" t="s">
        <v>13</v>
      </c>
      <c r="D1233" t="s">
        <v>324</v>
      </c>
      <c r="E1233" t="str">
        <f>IF(ISERROR(VLOOKUP(D1233,Nombres!A:D,4,FALSE)),"PROBLEMAAAAAA",VLOOKUP(D1233,Nombres!A:D,4,FALSE))</f>
        <v>DEL</v>
      </c>
      <c r="F1233" t="str">
        <f>IF(ISERROR(VLOOKUP(D1233,Nombres!A:D,3,FALSE)),"PROBLEMAAAAAA",VLOOKUP(D1233,Nombres!A:D,3,FALSE))</f>
        <v>Betis</v>
      </c>
      <c r="G1233">
        <v>6</v>
      </c>
      <c r="H1233" s="2">
        <f t="shared" si="10"/>
        <v>600000</v>
      </c>
      <c r="I1233">
        <f t="shared" si="11"/>
        <v>4</v>
      </c>
      <c r="J1233" t="str">
        <f>IF(ISERROR(VLOOKUP(D1233,Nombres!A:D,2,FALSE)),"PROBLEMAAAAAA",VLOOKUP(D1233,Nombres!A:D,2,FALSE))</f>
        <v>Antony</v>
      </c>
    </row>
    <row r="1234" spans="1:10" x14ac:dyDescent="0.25">
      <c r="A1234">
        <v>9</v>
      </c>
      <c r="B1234" s="1">
        <v>45947</v>
      </c>
      <c r="C1234" t="s">
        <v>8</v>
      </c>
      <c r="D1234" t="s">
        <v>266</v>
      </c>
      <c r="E1234" t="str">
        <f>IF(ISERROR(VLOOKUP(D1234,Nombres!A:D,4,FALSE)),"PROBLEMAAAAAA",VLOOKUP(D1234,Nombres!A:D,4,FALSE))</f>
        <v>POR</v>
      </c>
      <c r="F1234" t="str">
        <f>IF(ISERROR(VLOOKUP(D1234,Nombres!A:D,3,FALSE)),"PROBLEMAAAAAA",VLOOKUP(D1234,Nombres!A:D,3,FALSE))</f>
        <v>Betis</v>
      </c>
      <c r="G1234">
        <v>3</v>
      </c>
      <c r="H1234" s="2">
        <f t="shared" si="10"/>
        <v>300000</v>
      </c>
      <c r="I1234">
        <f t="shared" si="11"/>
        <v>1</v>
      </c>
      <c r="J1234" t="str">
        <f>IF(ISERROR(VLOOKUP(D1234,Nombres!A:D,2,FALSE)),"PROBLEMAAAAAA",VLOOKUP(D1234,Nombres!A:D,2,FALSE))</f>
        <v>Pau López</v>
      </c>
    </row>
    <row r="1235" spans="1:10" x14ac:dyDescent="0.25">
      <c r="A1235">
        <v>9</v>
      </c>
      <c r="B1235" s="1">
        <v>45947</v>
      </c>
      <c r="C1235" t="s">
        <v>8</v>
      </c>
      <c r="D1235" t="s">
        <v>56</v>
      </c>
      <c r="E1235" t="str">
        <f>IF(ISERROR(VLOOKUP(D1235,Nombres!A:D,4,FALSE)),"PROBLEMAAAAAA",VLOOKUP(D1235,Nombres!A:D,4,FALSE))</f>
        <v>DEF</v>
      </c>
      <c r="F1235" t="str">
        <f>IF(ISERROR(VLOOKUP(D1235,Nombres!A:D,3,FALSE)),"PROBLEMAAAAAA",VLOOKUP(D1235,Nombres!A:D,3,FALSE))</f>
        <v>Rayo</v>
      </c>
      <c r="G1235">
        <v>4</v>
      </c>
      <c r="H1235" s="2">
        <f t="shared" si="10"/>
        <v>400000</v>
      </c>
      <c r="I1235">
        <f t="shared" si="11"/>
        <v>2</v>
      </c>
      <c r="J1235" t="str">
        <f>IF(ISERROR(VLOOKUP(D1235,Nombres!A:D,2,FALSE)),"PROBLEMAAAAAA",VLOOKUP(D1235,Nombres!A:D,2,FALSE))</f>
        <v>Espino</v>
      </c>
    </row>
    <row r="1236" spans="1:10" x14ac:dyDescent="0.25">
      <c r="A1236">
        <v>9</v>
      </c>
      <c r="B1236" s="1">
        <v>45947</v>
      </c>
      <c r="C1236" t="s">
        <v>8</v>
      </c>
      <c r="D1236" t="s">
        <v>200</v>
      </c>
      <c r="E1236" t="str">
        <f>IF(ISERROR(VLOOKUP(D1236,Nombres!A:D,4,FALSE)),"PROBLEMAAAAAA",VLOOKUP(D1236,Nombres!A:D,4,FALSE))</f>
        <v>DEF</v>
      </c>
      <c r="F1236" t="str">
        <f>IF(ISERROR(VLOOKUP(D1236,Nombres!A:D,3,FALSE)),"PROBLEMAAAAAA",VLOOKUP(D1236,Nombres!A:D,3,FALSE))</f>
        <v>Espanyol</v>
      </c>
      <c r="G1236">
        <v>7</v>
      </c>
      <c r="H1236" s="2">
        <f t="shared" si="10"/>
        <v>700000</v>
      </c>
      <c r="I1236">
        <f t="shared" si="11"/>
        <v>2</v>
      </c>
      <c r="J1236" t="str">
        <f>IF(ISERROR(VLOOKUP(D1236,Nombres!A:D,2,FALSE)),"PROBLEMAAAAAA",VLOOKUP(D1236,Nombres!A:D,2,FALSE))</f>
        <v>Cabrera</v>
      </c>
    </row>
    <row r="1237" spans="1:10" x14ac:dyDescent="0.25">
      <c r="A1237">
        <v>9</v>
      </c>
      <c r="B1237" s="1">
        <v>45947</v>
      </c>
      <c r="C1237" t="s">
        <v>8</v>
      </c>
      <c r="D1237" t="s">
        <v>335</v>
      </c>
      <c r="E1237" t="str">
        <f>IF(ISERROR(VLOOKUP(D1237,Nombres!A:D,4,FALSE)),"PROBLEMAAAAAA",VLOOKUP(D1237,Nombres!A:D,4,FALSE))</f>
        <v>DEF</v>
      </c>
      <c r="F1237" t="str">
        <f>IF(ISERROR(VLOOKUP(D1237,Nombres!A:D,3,FALSE)),"PROBLEMAAAAAA",VLOOKUP(D1237,Nombres!A:D,3,FALSE))</f>
        <v>Athletic</v>
      </c>
      <c r="G1237">
        <v>9</v>
      </c>
      <c r="H1237" s="2">
        <f t="shared" si="10"/>
        <v>900000</v>
      </c>
      <c r="I1237">
        <f t="shared" si="11"/>
        <v>2</v>
      </c>
      <c r="J1237" t="str">
        <f>IF(ISERROR(VLOOKUP(D1237,Nombres!A:D,2,FALSE)),"PROBLEMAAAAAA",VLOOKUP(D1237,Nombres!A:D,2,FALSE))</f>
        <v>Laporte</v>
      </c>
    </row>
    <row r="1238" spans="1:10" x14ac:dyDescent="0.25">
      <c r="A1238">
        <v>9</v>
      </c>
      <c r="B1238" s="1">
        <v>45947</v>
      </c>
      <c r="C1238" t="s">
        <v>8</v>
      </c>
      <c r="D1238" t="s">
        <v>237</v>
      </c>
      <c r="E1238" t="str">
        <f>IF(ISERROR(VLOOKUP(D1238,Nombres!A:D,4,FALSE)),"PROBLEMAAAAAA",VLOOKUP(D1238,Nombres!A:D,4,FALSE))</f>
        <v>MED</v>
      </c>
      <c r="F1238" t="str">
        <f>IF(ISERROR(VLOOKUP(D1238,Nombres!A:D,3,FALSE)),"PROBLEMAAAAAA",VLOOKUP(D1238,Nombres!A:D,3,FALSE))</f>
        <v>Levante</v>
      </c>
      <c r="G1238">
        <v>0</v>
      </c>
      <c r="H1238" s="2">
        <f t="shared" si="10"/>
        <v>0</v>
      </c>
      <c r="I1238">
        <f t="shared" si="11"/>
        <v>3</v>
      </c>
      <c r="J1238" t="str">
        <f>IF(ISERROR(VLOOKUP(D1238,Nombres!A:D,2,FALSE)),"PROBLEMAAAAAA",VLOOKUP(D1238,Nombres!A:D,2,FALSE))</f>
        <v>Oriol Rey</v>
      </c>
    </row>
    <row r="1239" spans="1:10" x14ac:dyDescent="0.25">
      <c r="A1239">
        <v>9</v>
      </c>
      <c r="B1239" s="1">
        <v>45947</v>
      </c>
      <c r="C1239" t="s">
        <v>8</v>
      </c>
      <c r="D1239" t="s">
        <v>300</v>
      </c>
      <c r="E1239" t="str">
        <f>IF(ISERROR(VLOOKUP(D1239,Nombres!A:D,4,FALSE)),"PROBLEMAAAAAA",VLOOKUP(D1239,Nombres!A:D,4,FALSE))</f>
        <v>MED</v>
      </c>
      <c r="F1239" t="str">
        <f>IF(ISERROR(VLOOKUP(D1239,Nombres!A:D,3,FALSE)),"PROBLEMAAAAAA",VLOOKUP(D1239,Nombres!A:D,3,FALSE))</f>
        <v>Celta</v>
      </c>
      <c r="G1239">
        <v>2</v>
      </c>
      <c r="H1239" s="2">
        <f t="shared" si="10"/>
        <v>200000</v>
      </c>
      <c r="I1239">
        <f t="shared" si="11"/>
        <v>3</v>
      </c>
      <c r="J1239" t="str">
        <f>IF(ISERROR(VLOOKUP(D1239,Nombres!A:D,2,FALSE)),"PROBLEMAAAAAA",VLOOKUP(D1239,Nombres!A:D,2,FALSE))</f>
        <v>Moriba</v>
      </c>
    </row>
    <row r="1240" spans="1:10" x14ac:dyDescent="0.25">
      <c r="A1240">
        <v>9</v>
      </c>
      <c r="B1240" s="1">
        <v>45947</v>
      </c>
      <c r="C1240" t="s">
        <v>8</v>
      </c>
      <c r="D1240" t="s">
        <v>132</v>
      </c>
      <c r="E1240" t="str">
        <f>IF(ISERROR(VLOOKUP(D1240,Nombres!A:D,4,FALSE)),"PROBLEMAAAAAA",VLOOKUP(D1240,Nombres!A:D,4,FALSE))</f>
        <v>MED</v>
      </c>
      <c r="F1240" t="str">
        <f>IF(ISERROR(VLOOKUP(D1240,Nombres!A:D,3,FALSE)),"PROBLEMAAAAAA",VLOOKUP(D1240,Nombres!A:D,3,FALSE))</f>
        <v>Sevilla</v>
      </c>
      <c r="G1240">
        <v>4</v>
      </c>
      <c r="H1240" s="2">
        <f t="shared" si="10"/>
        <v>400000</v>
      </c>
      <c r="I1240">
        <f t="shared" si="11"/>
        <v>3</v>
      </c>
      <c r="J1240" t="str">
        <f>IF(ISERROR(VLOOKUP(D1240,Nombres!A:D,2,FALSE)),"PROBLEMAAAAAA",VLOOKUP(D1240,Nombres!A:D,2,FALSE))</f>
        <v>Sow</v>
      </c>
    </row>
    <row r="1241" spans="1:10" x14ac:dyDescent="0.25">
      <c r="A1241">
        <v>9</v>
      </c>
      <c r="B1241" s="1">
        <v>45947</v>
      </c>
      <c r="C1241" t="s">
        <v>8</v>
      </c>
      <c r="D1241" t="s">
        <v>271</v>
      </c>
      <c r="E1241" t="str">
        <f>IF(ISERROR(VLOOKUP(D1241,Nombres!A:D,4,FALSE)),"PROBLEMAAAAAA",VLOOKUP(D1241,Nombres!A:D,4,FALSE))</f>
        <v>MED</v>
      </c>
      <c r="F1241" t="str">
        <f>IF(ISERROR(VLOOKUP(D1241,Nombres!A:D,3,FALSE)),"PROBLEMAAAAAA",VLOOKUP(D1241,Nombres!A:D,3,FALSE))</f>
        <v>Espanyol</v>
      </c>
      <c r="G1241">
        <v>9</v>
      </c>
      <c r="H1241" s="2">
        <f t="shared" si="10"/>
        <v>900000</v>
      </c>
      <c r="I1241">
        <f t="shared" si="11"/>
        <v>3</v>
      </c>
      <c r="J1241" t="str">
        <f>IF(ISERROR(VLOOKUP(D1241,Nombres!A:D,2,FALSE)),"PROBLEMAAAAAA",VLOOKUP(D1241,Nombres!A:D,2,FALSE))</f>
        <v>Edu Expósito</v>
      </c>
    </row>
    <row r="1242" spans="1:10" x14ac:dyDescent="0.25">
      <c r="A1242">
        <v>9</v>
      </c>
      <c r="B1242" s="1">
        <v>45947</v>
      </c>
      <c r="C1242" t="s">
        <v>8</v>
      </c>
      <c r="D1242" t="s">
        <v>312</v>
      </c>
      <c r="E1242" t="str">
        <f>IF(ISERROR(VLOOKUP(D1242,Nombres!A:D,4,FALSE)),"PROBLEMAAAAAA",VLOOKUP(D1242,Nombres!A:D,4,FALSE))</f>
        <v>DEL</v>
      </c>
      <c r="F1242" t="str">
        <f>IF(ISERROR(VLOOKUP(D1242,Nombres!A:D,3,FALSE)),"PROBLEMAAAAAA",VLOOKUP(D1242,Nombres!A:D,3,FALSE))</f>
        <v>Girona</v>
      </c>
      <c r="G1242">
        <v>2</v>
      </c>
      <c r="H1242" s="2">
        <f t="shared" si="10"/>
        <v>200000</v>
      </c>
      <c r="I1242">
        <f t="shared" si="11"/>
        <v>4</v>
      </c>
      <c r="J1242" t="str">
        <f>IF(ISERROR(VLOOKUP(D1242,Nombres!A:D,2,FALSE)),"PROBLEMAAAAAA",VLOOKUP(D1242,Nombres!A:D,2,FALSE))</f>
        <v>Bryan Gil</v>
      </c>
    </row>
    <row r="1243" spans="1:10" x14ac:dyDescent="0.25">
      <c r="A1243">
        <v>9</v>
      </c>
      <c r="B1243" s="1">
        <v>45947</v>
      </c>
      <c r="C1243" t="s">
        <v>8</v>
      </c>
      <c r="D1243" t="s">
        <v>434</v>
      </c>
      <c r="E1243" t="str">
        <f>IF(ISERROR(VLOOKUP(D1243,Nombres!A:D,4,FALSE)),"PROBLEMAAAAAA",VLOOKUP(D1243,Nombres!A:D,4,FALSE))</f>
        <v>DEL</v>
      </c>
      <c r="F1243" t="str">
        <f>IF(ISERROR(VLOOKUP(D1243,Nombres!A:D,3,FALSE)),"PROBLEMAAAAAA",VLOOKUP(D1243,Nombres!A:D,3,FALSE))</f>
        <v>Levante</v>
      </c>
      <c r="G1243">
        <v>2</v>
      </c>
      <c r="H1243" s="2">
        <f t="shared" si="10"/>
        <v>200000</v>
      </c>
      <c r="I1243">
        <f t="shared" si="11"/>
        <v>4</v>
      </c>
      <c r="J1243" t="str">
        <f>IF(ISERROR(VLOOKUP(D1243,Nombres!A:D,2,FALSE)),"PROBLEMAAAAAA",VLOOKUP(D1243,Nombres!A:D,2,FALSE))</f>
        <v>Morales</v>
      </c>
    </row>
    <row r="1244" spans="1:10" x14ac:dyDescent="0.25">
      <c r="A1244">
        <v>9</v>
      </c>
      <c r="B1244" s="1">
        <v>45947</v>
      </c>
      <c r="C1244" t="s">
        <v>8</v>
      </c>
      <c r="D1244" t="s">
        <v>308</v>
      </c>
      <c r="E1244" t="str">
        <f>IF(ISERROR(VLOOKUP(D1244,Nombres!A:D,4,FALSE)),"PROBLEMAAAAAA",VLOOKUP(D1244,Nombres!A:D,4,FALSE))</f>
        <v>DEL</v>
      </c>
      <c r="F1244" t="str">
        <f>IF(ISERROR(VLOOKUP(D1244,Nombres!A:D,3,FALSE)),"PROBLEMAAAAAA",VLOOKUP(D1244,Nombres!A:D,3,FALSE))</f>
        <v>Villarreal</v>
      </c>
      <c r="G1244">
        <v>0</v>
      </c>
      <c r="H1244" s="2">
        <f t="shared" si="10"/>
        <v>0</v>
      </c>
      <c r="I1244">
        <f t="shared" si="11"/>
        <v>4</v>
      </c>
      <c r="J1244" t="str">
        <f>IF(ISERROR(VLOOKUP(D1244,Nombres!A:D,2,FALSE)),"PROBLEMAAAAAA",VLOOKUP(D1244,Nombres!A:D,2,FALSE))</f>
        <v>Mikautadze</v>
      </c>
    </row>
    <row r="1245" spans="1:10" x14ac:dyDescent="0.25">
      <c r="A1245">
        <v>10</v>
      </c>
      <c r="B1245" s="1">
        <v>45947</v>
      </c>
      <c r="C1245" t="s">
        <v>8</v>
      </c>
      <c r="D1245" t="s">
        <v>266</v>
      </c>
      <c r="E1245" t="str">
        <f>IF(ISERROR(VLOOKUP(D1245,Nombres!A:D,4,FALSE)),"PROBLEMAAAAAA",VLOOKUP(D1245,Nombres!A:D,4,FALSE))</f>
        <v>POR</v>
      </c>
      <c r="F1245" t="str">
        <f>IF(ISERROR(VLOOKUP(D1245,Nombres!A:D,3,FALSE)),"PROBLEMAAAAAA",VLOOKUP(D1245,Nombres!A:D,3,FALSE))</f>
        <v>Betis</v>
      </c>
      <c r="G1245">
        <v>3</v>
      </c>
      <c r="H1245" s="2">
        <f t="shared" si="10"/>
        <v>300000</v>
      </c>
      <c r="I1245">
        <f t="shared" si="11"/>
        <v>1</v>
      </c>
      <c r="J1245" t="str">
        <f>IF(ISERROR(VLOOKUP(D1245,Nombres!A:D,2,FALSE)),"PROBLEMAAAAAA",VLOOKUP(D1245,Nombres!A:D,2,FALSE))</f>
        <v>Pau López</v>
      </c>
    </row>
    <row r="1246" spans="1:10" x14ac:dyDescent="0.25">
      <c r="A1246">
        <v>10</v>
      </c>
      <c r="B1246" s="1">
        <v>45947</v>
      </c>
      <c r="C1246" t="s">
        <v>8</v>
      </c>
      <c r="D1246" t="s">
        <v>56</v>
      </c>
      <c r="E1246" t="str">
        <f>IF(ISERROR(VLOOKUP(D1246,Nombres!A:D,4,FALSE)),"PROBLEMAAAAAA",VLOOKUP(D1246,Nombres!A:D,4,FALSE))</f>
        <v>DEF</v>
      </c>
      <c r="F1246" t="str">
        <f>IF(ISERROR(VLOOKUP(D1246,Nombres!A:D,3,FALSE)),"PROBLEMAAAAAA",VLOOKUP(D1246,Nombres!A:D,3,FALSE))</f>
        <v>Rayo</v>
      </c>
      <c r="G1246">
        <v>1</v>
      </c>
      <c r="H1246" s="2">
        <f t="shared" si="10"/>
        <v>100000</v>
      </c>
      <c r="I1246">
        <f t="shared" si="11"/>
        <v>2</v>
      </c>
      <c r="J1246" t="str">
        <f>IF(ISERROR(VLOOKUP(D1246,Nombres!A:D,2,FALSE)),"PROBLEMAAAAAA",VLOOKUP(D1246,Nombres!A:D,2,FALSE))</f>
        <v>Espino</v>
      </c>
    </row>
    <row r="1247" spans="1:10" x14ac:dyDescent="0.25">
      <c r="A1247">
        <v>10</v>
      </c>
      <c r="B1247" s="1">
        <v>45947</v>
      </c>
      <c r="C1247" t="s">
        <v>8</v>
      </c>
      <c r="D1247" t="s">
        <v>174</v>
      </c>
      <c r="E1247" t="str">
        <f>IF(ISERROR(VLOOKUP(D1247,Nombres!A:D,4,FALSE)),"PROBLEMAAAAAA",VLOOKUP(D1247,Nombres!A:D,4,FALSE))</f>
        <v>DEF</v>
      </c>
      <c r="F1247" t="str">
        <f>IF(ISERROR(VLOOKUP(D1247,Nombres!A:D,3,FALSE)),"PROBLEMAAAAAA",VLOOKUP(D1247,Nombres!A:D,3,FALSE))</f>
        <v>Atlético</v>
      </c>
      <c r="G1247">
        <v>0</v>
      </c>
      <c r="H1247" s="2">
        <f t="shared" si="10"/>
        <v>0</v>
      </c>
      <c r="I1247">
        <f t="shared" si="11"/>
        <v>2</v>
      </c>
      <c r="J1247" t="str">
        <f>IF(ISERROR(VLOOKUP(D1247,Nombres!A:D,2,FALSE)),"PROBLEMAAAAAA",VLOOKUP(D1247,Nombres!A:D,2,FALSE))</f>
        <v>Lenglet</v>
      </c>
    </row>
    <row r="1248" spans="1:10" x14ac:dyDescent="0.25">
      <c r="A1248">
        <v>10</v>
      </c>
      <c r="B1248" s="1">
        <v>45947</v>
      </c>
      <c r="C1248" t="s">
        <v>8</v>
      </c>
      <c r="D1248" t="s">
        <v>335</v>
      </c>
      <c r="E1248" t="str">
        <f>IF(ISERROR(VLOOKUP(D1248,Nombres!A:D,4,FALSE)),"PROBLEMAAAAAA",VLOOKUP(D1248,Nombres!A:D,4,FALSE))</f>
        <v>DEF</v>
      </c>
      <c r="F1248" t="str">
        <f>IF(ISERROR(VLOOKUP(D1248,Nombres!A:D,3,FALSE)),"PROBLEMAAAAAA",VLOOKUP(D1248,Nombres!A:D,3,FALSE))</f>
        <v>Athletic</v>
      </c>
      <c r="G1248">
        <v>7</v>
      </c>
      <c r="H1248" s="2">
        <f t="shared" si="10"/>
        <v>700000</v>
      </c>
      <c r="I1248">
        <f t="shared" si="11"/>
        <v>2</v>
      </c>
      <c r="J1248" t="str">
        <f>IF(ISERROR(VLOOKUP(D1248,Nombres!A:D,2,FALSE)),"PROBLEMAAAAAA",VLOOKUP(D1248,Nombres!A:D,2,FALSE))</f>
        <v>Laporte</v>
      </c>
    </row>
    <row r="1249" spans="1:10" x14ac:dyDescent="0.25">
      <c r="A1249">
        <v>10</v>
      </c>
      <c r="B1249" s="1">
        <v>45947</v>
      </c>
      <c r="C1249" t="s">
        <v>8</v>
      </c>
      <c r="D1249" t="s">
        <v>237</v>
      </c>
      <c r="E1249" t="str">
        <f>IF(ISERROR(VLOOKUP(D1249,Nombres!A:D,4,FALSE)),"PROBLEMAAAAAA",VLOOKUP(D1249,Nombres!A:D,4,FALSE))</f>
        <v>MED</v>
      </c>
      <c r="F1249" t="str">
        <f>IF(ISERROR(VLOOKUP(D1249,Nombres!A:D,3,FALSE)),"PROBLEMAAAAAA",VLOOKUP(D1249,Nombres!A:D,3,FALSE))</f>
        <v>Levante</v>
      </c>
      <c r="G1249">
        <v>0</v>
      </c>
      <c r="H1249" s="2">
        <f t="shared" si="10"/>
        <v>0</v>
      </c>
      <c r="I1249">
        <f t="shared" si="11"/>
        <v>3</v>
      </c>
      <c r="J1249" t="str">
        <f>IF(ISERROR(VLOOKUP(D1249,Nombres!A:D,2,FALSE)),"PROBLEMAAAAAA",VLOOKUP(D1249,Nombres!A:D,2,FALSE))</f>
        <v>Oriol Rey</v>
      </c>
    </row>
    <row r="1250" spans="1:10" x14ac:dyDescent="0.25">
      <c r="A1250">
        <v>10</v>
      </c>
      <c r="B1250" s="1">
        <v>45947</v>
      </c>
      <c r="C1250" t="s">
        <v>8</v>
      </c>
      <c r="D1250" t="s">
        <v>300</v>
      </c>
      <c r="E1250" t="str">
        <f>IF(ISERROR(VLOOKUP(D1250,Nombres!A:D,4,FALSE)),"PROBLEMAAAAAA",VLOOKUP(D1250,Nombres!A:D,4,FALSE))</f>
        <v>MED</v>
      </c>
      <c r="F1250" t="str">
        <f>IF(ISERROR(VLOOKUP(D1250,Nombres!A:D,3,FALSE)),"PROBLEMAAAAAA",VLOOKUP(D1250,Nombres!A:D,3,FALSE))</f>
        <v>Celta</v>
      </c>
      <c r="G1250">
        <v>3</v>
      </c>
      <c r="H1250" s="2">
        <f t="shared" si="10"/>
        <v>300000</v>
      </c>
      <c r="I1250">
        <f t="shared" si="11"/>
        <v>3</v>
      </c>
      <c r="J1250" t="str">
        <f>IF(ISERROR(VLOOKUP(D1250,Nombres!A:D,2,FALSE)),"PROBLEMAAAAAA",VLOOKUP(D1250,Nombres!A:D,2,FALSE))</f>
        <v>Moriba</v>
      </c>
    </row>
    <row r="1251" spans="1:10" x14ac:dyDescent="0.25">
      <c r="A1251">
        <v>10</v>
      </c>
      <c r="B1251" s="1">
        <v>45947</v>
      </c>
      <c r="C1251" t="s">
        <v>8</v>
      </c>
      <c r="D1251" t="s">
        <v>132</v>
      </c>
      <c r="E1251" t="str">
        <f>IF(ISERROR(VLOOKUP(D1251,Nombres!A:D,4,FALSE)),"PROBLEMAAAAAA",VLOOKUP(D1251,Nombres!A:D,4,FALSE))</f>
        <v>MED</v>
      </c>
      <c r="F1251" t="str">
        <f>IF(ISERROR(VLOOKUP(D1251,Nombres!A:D,3,FALSE)),"PROBLEMAAAAAA",VLOOKUP(D1251,Nombres!A:D,3,FALSE))</f>
        <v>Sevilla</v>
      </c>
      <c r="G1251">
        <v>1</v>
      </c>
      <c r="H1251" s="2">
        <f t="shared" si="10"/>
        <v>100000</v>
      </c>
      <c r="I1251">
        <f t="shared" si="11"/>
        <v>3</v>
      </c>
      <c r="J1251" t="str">
        <f>IF(ISERROR(VLOOKUP(D1251,Nombres!A:D,2,FALSE)),"PROBLEMAAAAAA",VLOOKUP(D1251,Nombres!A:D,2,FALSE))</f>
        <v>Sow</v>
      </c>
    </row>
    <row r="1252" spans="1:10" x14ac:dyDescent="0.25">
      <c r="A1252">
        <v>10</v>
      </c>
      <c r="B1252" s="1">
        <v>45947</v>
      </c>
      <c r="C1252" t="s">
        <v>8</v>
      </c>
      <c r="D1252" t="s">
        <v>271</v>
      </c>
      <c r="E1252" t="str">
        <f>IF(ISERROR(VLOOKUP(D1252,Nombres!A:D,4,FALSE)),"PROBLEMAAAAAA",VLOOKUP(D1252,Nombres!A:D,4,FALSE))</f>
        <v>MED</v>
      </c>
      <c r="F1252" t="str">
        <f>IF(ISERROR(VLOOKUP(D1252,Nombres!A:D,3,FALSE)),"PROBLEMAAAAAA",VLOOKUP(D1252,Nombres!A:D,3,FALSE))</f>
        <v>Espanyol</v>
      </c>
      <c r="G1252">
        <v>13</v>
      </c>
      <c r="H1252" s="2">
        <f t="shared" si="10"/>
        <v>1300000</v>
      </c>
      <c r="I1252">
        <f t="shared" si="11"/>
        <v>3</v>
      </c>
      <c r="J1252" t="str">
        <f>IF(ISERROR(VLOOKUP(D1252,Nombres!A:D,2,FALSE)),"PROBLEMAAAAAA",VLOOKUP(D1252,Nombres!A:D,2,FALSE))</f>
        <v>Edu Expósito</v>
      </c>
    </row>
    <row r="1253" spans="1:10" x14ac:dyDescent="0.25">
      <c r="A1253">
        <v>10</v>
      </c>
      <c r="B1253" s="1">
        <v>45947</v>
      </c>
      <c r="C1253" t="s">
        <v>8</v>
      </c>
      <c r="D1253" t="s">
        <v>312</v>
      </c>
      <c r="E1253" t="str">
        <f>IF(ISERROR(VLOOKUP(D1253,Nombres!A:D,4,FALSE)),"PROBLEMAAAAAA",VLOOKUP(D1253,Nombres!A:D,4,FALSE))</f>
        <v>DEL</v>
      </c>
      <c r="F1253" t="str">
        <f>IF(ISERROR(VLOOKUP(D1253,Nombres!A:D,3,FALSE)),"PROBLEMAAAAAA",VLOOKUP(D1253,Nombres!A:D,3,FALSE))</f>
        <v>Girona</v>
      </c>
      <c r="G1253">
        <v>2</v>
      </c>
      <c r="H1253" s="2">
        <f t="shared" si="10"/>
        <v>200000</v>
      </c>
      <c r="I1253">
        <f t="shared" si="11"/>
        <v>4</v>
      </c>
      <c r="J1253" t="str">
        <f>IF(ISERROR(VLOOKUP(D1253,Nombres!A:D,2,FALSE)),"PROBLEMAAAAAA",VLOOKUP(D1253,Nombres!A:D,2,FALSE))</f>
        <v>Bryan Gil</v>
      </c>
    </row>
    <row r="1254" spans="1:10" x14ac:dyDescent="0.25">
      <c r="A1254">
        <v>10</v>
      </c>
      <c r="B1254" s="1">
        <v>45947</v>
      </c>
      <c r="C1254" t="s">
        <v>8</v>
      </c>
      <c r="D1254" t="s">
        <v>434</v>
      </c>
      <c r="E1254" t="str">
        <f>IF(ISERROR(VLOOKUP(D1254,Nombres!A:D,4,FALSE)),"PROBLEMAAAAAA",VLOOKUP(D1254,Nombres!A:D,4,FALSE))</f>
        <v>DEL</v>
      </c>
      <c r="F1254" t="str">
        <f>IF(ISERROR(VLOOKUP(D1254,Nombres!A:D,3,FALSE)),"PROBLEMAAAAAA",VLOOKUP(D1254,Nombres!A:D,3,FALSE))</f>
        <v>Levante</v>
      </c>
      <c r="G1254">
        <v>3</v>
      </c>
      <c r="H1254" s="2">
        <f t="shared" si="10"/>
        <v>300000</v>
      </c>
      <c r="I1254">
        <f t="shared" si="11"/>
        <v>4</v>
      </c>
      <c r="J1254" t="str">
        <f>IF(ISERROR(VLOOKUP(D1254,Nombres!A:D,2,FALSE)),"PROBLEMAAAAAA",VLOOKUP(D1254,Nombres!A:D,2,FALSE))</f>
        <v>Morales</v>
      </c>
    </row>
    <row r="1255" spans="1:10" x14ac:dyDescent="0.25">
      <c r="A1255">
        <v>10</v>
      </c>
      <c r="B1255" s="1">
        <v>45947</v>
      </c>
      <c r="C1255" t="s">
        <v>8</v>
      </c>
      <c r="D1255" t="s">
        <v>308</v>
      </c>
      <c r="E1255" t="str">
        <f>IF(ISERROR(VLOOKUP(D1255,Nombres!A:D,4,FALSE)),"PROBLEMAAAAAA",VLOOKUP(D1255,Nombres!A:D,4,FALSE))</f>
        <v>DEL</v>
      </c>
      <c r="F1255" t="str">
        <f>IF(ISERROR(VLOOKUP(D1255,Nombres!A:D,3,FALSE)),"PROBLEMAAAAAA",VLOOKUP(D1255,Nombres!A:D,3,FALSE))</f>
        <v>Villarreal</v>
      </c>
      <c r="G1255">
        <v>5</v>
      </c>
      <c r="H1255" s="2">
        <f t="shared" si="10"/>
        <v>500000</v>
      </c>
      <c r="I1255">
        <f t="shared" si="11"/>
        <v>4</v>
      </c>
      <c r="J1255" t="str">
        <f>IF(ISERROR(VLOOKUP(D1255,Nombres!A:D,2,FALSE)),"PROBLEMAAAAAA",VLOOKUP(D1255,Nombres!A:D,2,FALSE))</f>
        <v>Mikautadze</v>
      </c>
    </row>
    <row r="1256" spans="1:10" x14ac:dyDescent="0.25">
      <c r="A1256">
        <v>11</v>
      </c>
      <c r="B1256" s="1">
        <v>45968</v>
      </c>
      <c r="C1256" t="s">
        <v>8</v>
      </c>
      <c r="D1256" t="s">
        <v>322</v>
      </c>
      <c r="E1256" t="str">
        <f>IF(ISERROR(VLOOKUP(D1256,Nombres!A:D,4,FALSE)),"PROBLEMAAAAAA",VLOOKUP(D1256,Nombres!A:D,4,FALSE))</f>
        <v>POR</v>
      </c>
      <c r="F1256" t="str">
        <f>IF(ISERROR(VLOOKUP(D1256,Nombres!A:D,3,FALSE)),"PROBLEMAAAAAA",VLOOKUP(D1256,Nombres!A:D,3,FALSE))</f>
        <v>Levante</v>
      </c>
      <c r="G1256">
        <v>5</v>
      </c>
      <c r="H1256" s="2">
        <f t="shared" si="10"/>
        <v>500000</v>
      </c>
      <c r="I1256">
        <f t="shared" si="11"/>
        <v>1</v>
      </c>
      <c r="J1256" t="str">
        <f>IF(ISERROR(VLOOKUP(D1256,Nombres!A:D,2,FALSE)),"PROBLEMAAAAAA",VLOOKUP(D1256,Nombres!A:D,2,FALSE))</f>
        <v>Ryan</v>
      </c>
    </row>
    <row r="1257" spans="1:10" x14ac:dyDescent="0.25">
      <c r="A1257">
        <v>11</v>
      </c>
      <c r="B1257" s="1">
        <v>45968</v>
      </c>
      <c r="C1257" t="s">
        <v>8</v>
      </c>
      <c r="D1257" t="s">
        <v>335</v>
      </c>
      <c r="E1257" t="str">
        <f>IF(ISERROR(VLOOKUP(D1257,Nombres!A:D,4,FALSE)),"PROBLEMAAAAAA",VLOOKUP(D1257,Nombres!A:D,4,FALSE))</f>
        <v>DEF</v>
      </c>
      <c r="F1257" t="str">
        <f>IF(ISERROR(VLOOKUP(D1257,Nombres!A:D,3,FALSE)),"PROBLEMAAAAAA",VLOOKUP(D1257,Nombres!A:D,3,FALSE))</f>
        <v>Athletic</v>
      </c>
      <c r="G1257">
        <v>4</v>
      </c>
      <c r="H1257" s="2">
        <f t="shared" si="10"/>
        <v>400000</v>
      </c>
      <c r="I1257">
        <f t="shared" si="11"/>
        <v>2</v>
      </c>
      <c r="J1257" t="str">
        <f>IF(ISERROR(VLOOKUP(D1257,Nombres!A:D,2,FALSE)),"PROBLEMAAAAAA",VLOOKUP(D1257,Nombres!A:D,2,FALSE))</f>
        <v>Laporte</v>
      </c>
    </row>
    <row r="1258" spans="1:10" x14ac:dyDescent="0.25">
      <c r="A1258">
        <v>11</v>
      </c>
      <c r="B1258" s="1">
        <v>45968</v>
      </c>
      <c r="C1258" t="s">
        <v>8</v>
      </c>
      <c r="D1258" t="s">
        <v>215</v>
      </c>
      <c r="E1258" t="str">
        <f>IF(ISERROR(VLOOKUP(D1258,Nombres!A:D,4,FALSE)),"PROBLEMAAAAAA",VLOOKUP(D1258,Nombres!A:D,4,FALSE))</f>
        <v>DEF</v>
      </c>
      <c r="F1258" t="str">
        <f>IF(ISERROR(VLOOKUP(D1258,Nombres!A:D,3,FALSE)),"PROBLEMAAAAAA",VLOOKUP(D1258,Nombres!A:D,3,FALSE))</f>
        <v>Getafe</v>
      </c>
      <c r="G1258">
        <v>0</v>
      </c>
      <c r="H1258" s="2">
        <f t="shared" si="10"/>
        <v>0</v>
      </c>
      <c r="I1258">
        <f t="shared" si="11"/>
        <v>2</v>
      </c>
      <c r="J1258" t="str">
        <f>IF(ISERROR(VLOOKUP(D1258,Nombres!A:D,2,FALSE)),"PROBLEMAAAAAA",VLOOKUP(D1258,Nombres!A:D,2,FALSE))</f>
        <v>Iglesias</v>
      </c>
    </row>
    <row r="1259" spans="1:10" x14ac:dyDescent="0.25">
      <c r="A1259">
        <v>11</v>
      </c>
      <c r="B1259" s="1">
        <v>45968</v>
      </c>
      <c r="C1259" t="s">
        <v>8</v>
      </c>
      <c r="D1259" t="s">
        <v>181</v>
      </c>
      <c r="E1259" t="str">
        <f>IF(ISERROR(VLOOKUP(D1259,Nombres!A:D,4,FALSE)),"PROBLEMAAAAAA",VLOOKUP(D1259,Nombres!A:D,4,FALSE))</f>
        <v>DEF</v>
      </c>
      <c r="F1259" t="str">
        <f>IF(ISERROR(VLOOKUP(D1259,Nombres!A:D,3,FALSE)),"PROBLEMAAAAAA",VLOOKUP(D1259,Nombres!A:D,3,FALSE))</f>
        <v>Celta</v>
      </c>
      <c r="G1259">
        <v>8</v>
      </c>
      <c r="H1259" s="2">
        <f t="shared" si="10"/>
        <v>800000</v>
      </c>
      <c r="I1259">
        <f t="shared" si="11"/>
        <v>2</v>
      </c>
      <c r="J1259" t="str">
        <f>IF(ISERROR(VLOOKUP(D1259,Nombres!A:D,2,FALSE)),"PROBLEMAAAAAA",VLOOKUP(D1259,Nombres!A:D,2,FALSE))</f>
        <v>M. Alonso</v>
      </c>
    </row>
    <row r="1260" spans="1:10" x14ac:dyDescent="0.25">
      <c r="A1260">
        <v>11</v>
      </c>
      <c r="B1260" s="1">
        <v>45968</v>
      </c>
      <c r="C1260" t="s">
        <v>8</v>
      </c>
      <c r="D1260" t="s">
        <v>310</v>
      </c>
      <c r="E1260" t="str">
        <f>IF(ISERROR(VLOOKUP(D1260,Nombres!A:D,4,FALSE)),"PROBLEMAAAAAA",VLOOKUP(D1260,Nombres!A:D,4,FALSE))</f>
        <v>DEF</v>
      </c>
      <c r="F1260" t="str">
        <f>IF(ISERROR(VLOOKUP(D1260,Nombres!A:D,3,FALSE)),"PROBLEMAAAAAA",VLOOKUP(D1260,Nombres!A:D,3,FALSE))</f>
        <v>Rayo</v>
      </c>
      <c r="G1260">
        <v>0</v>
      </c>
      <c r="H1260" s="2">
        <f t="shared" si="10"/>
        <v>0</v>
      </c>
      <c r="I1260">
        <f t="shared" si="11"/>
        <v>2</v>
      </c>
      <c r="J1260" t="str">
        <f>IF(ISERROR(VLOOKUP(D1260,Nombres!A:D,2,FALSE)),"PROBLEMAAAAAA",VLOOKUP(D1260,Nombres!A:D,2,FALSE))</f>
        <v>Ratiu</v>
      </c>
    </row>
    <row r="1261" spans="1:10" x14ac:dyDescent="0.25">
      <c r="A1261">
        <v>11</v>
      </c>
      <c r="B1261" s="1">
        <v>45968</v>
      </c>
      <c r="C1261" t="s">
        <v>8</v>
      </c>
      <c r="D1261" t="s">
        <v>41</v>
      </c>
      <c r="E1261" t="str">
        <f>IF(ISERROR(VLOOKUP(D1261,Nombres!A:D,4,FALSE)),"PROBLEMAAAAAA",VLOOKUP(D1261,Nombres!A:D,4,FALSE))</f>
        <v>MED</v>
      </c>
      <c r="F1261" t="str">
        <f>IF(ISERROR(VLOOKUP(D1261,Nombres!A:D,3,FALSE)),"PROBLEMAAAAAA",VLOOKUP(D1261,Nombres!A:D,3,FALSE))</f>
        <v>Valencia</v>
      </c>
      <c r="G1261">
        <v>4</v>
      </c>
      <c r="H1261" s="2">
        <f t="shared" si="10"/>
        <v>400000</v>
      </c>
      <c r="I1261">
        <f t="shared" si="11"/>
        <v>3</v>
      </c>
      <c r="J1261" t="str">
        <f>IF(ISERROR(VLOOKUP(D1261,Nombres!A:D,2,FALSE)),"PROBLEMAAAAAA",VLOOKUP(D1261,Nombres!A:D,2,FALSE))</f>
        <v>Almeida</v>
      </c>
    </row>
    <row r="1262" spans="1:10" x14ac:dyDescent="0.25">
      <c r="A1262">
        <v>11</v>
      </c>
      <c r="B1262" s="1">
        <v>45968</v>
      </c>
      <c r="C1262" t="s">
        <v>8</v>
      </c>
      <c r="D1262" t="s">
        <v>237</v>
      </c>
      <c r="E1262" t="str">
        <f>IF(ISERROR(VLOOKUP(D1262,Nombres!A:D,4,FALSE)),"PROBLEMAAAAAA",VLOOKUP(D1262,Nombres!A:D,4,FALSE))</f>
        <v>MED</v>
      </c>
      <c r="F1262" t="str">
        <f>IF(ISERROR(VLOOKUP(D1262,Nombres!A:D,3,FALSE)),"PROBLEMAAAAAA",VLOOKUP(D1262,Nombres!A:D,3,FALSE))</f>
        <v>Levante</v>
      </c>
      <c r="G1262">
        <v>0</v>
      </c>
      <c r="H1262" s="2">
        <f t="shared" si="10"/>
        <v>0</v>
      </c>
      <c r="I1262">
        <f t="shared" si="11"/>
        <v>3</v>
      </c>
      <c r="J1262" t="str">
        <f>IF(ISERROR(VLOOKUP(D1262,Nombres!A:D,2,FALSE)),"PROBLEMAAAAAA",VLOOKUP(D1262,Nombres!A:D,2,FALSE))</f>
        <v>Oriol Rey</v>
      </c>
    </row>
    <row r="1263" spans="1:10" x14ac:dyDescent="0.25">
      <c r="A1263">
        <v>11</v>
      </c>
      <c r="B1263" s="1">
        <v>45968</v>
      </c>
      <c r="C1263" t="s">
        <v>8</v>
      </c>
      <c r="D1263" t="s">
        <v>300</v>
      </c>
      <c r="E1263" t="str">
        <f>IF(ISERROR(VLOOKUP(D1263,Nombres!A:D,4,FALSE)),"PROBLEMAAAAAA",VLOOKUP(D1263,Nombres!A:D,4,FALSE))</f>
        <v>MED</v>
      </c>
      <c r="F1263" t="str">
        <f>IF(ISERROR(VLOOKUP(D1263,Nombres!A:D,3,FALSE)),"PROBLEMAAAAAA",VLOOKUP(D1263,Nombres!A:D,3,FALSE))</f>
        <v>Celta</v>
      </c>
      <c r="G1263">
        <v>5</v>
      </c>
      <c r="H1263" s="2">
        <f t="shared" si="10"/>
        <v>500000</v>
      </c>
      <c r="I1263">
        <f t="shared" si="11"/>
        <v>3</v>
      </c>
      <c r="J1263" t="str">
        <f>IF(ISERROR(VLOOKUP(D1263,Nombres!A:D,2,FALSE)),"PROBLEMAAAAAA",VLOOKUP(D1263,Nombres!A:D,2,FALSE))</f>
        <v>Moriba</v>
      </c>
    </row>
    <row r="1264" spans="1:10" x14ac:dyDescent="0.25">
      <c r="A1264">
        <v>11</v>
      </c>
      <c r="B1264" s="1">
        <v>45968</v>
      </c>
      <c r="C1264" t="s">
        <v>8</v>
      </c>
      <c r="D1264" t="s">
        <v>312</v>
      </c>
      <c r="E1264" t="str">
        <f>IF(ISERROR(VLOOKUP(D1264,Nombres!A:D,4,FALSE)),"PROBLEMAAAAAA",VLOOKUP(D1264,Nombres!A:D,4,FALSE))</f>
        <v>DEL</v>
      </c>
      <c r="F1264" t="str">
        <f>IF(ISERROR(VLOOKUP(D1264,Nombres!A:D,3,FALSE)),"PROBLEMAAAAAA",VLOOKUP(D1264,Nombres!A:D,3,FALSE))</f>
        <v>Girona</v>
      </c>
      <c r="G1264">
        <v>0</v>
      </c>
      <c r="H1264" s="2">
        <f t="shared" si="10"/>
        <v>0</v>
      </c>
      <c r="I1264">
        <f t="shared" si="11"/>
        <v>4</v>
      </c>
      <c r="J1264" t="str">
        <f>IF(ISERROR(VLOOKUP(D1264,Nombres!A:D,2,FALSE)),"PROBLEMAAAAAA",VLOOKUP(D1264,Nombres!A:D,2,FALSE))</f>
        <v>Bryan Gil</v>
      </c>
    </row>
    <row r="1265" spans="1:10" x14ac:dyDescent="0.25">
      <c r="A1265">
        <v>11</v>
      </c>
      <c r="B1265" s="1">
        <v>45968</v>
      </c>
      <c r="C1265" t="s">
        <v>8</v>
      </c>
      <c r="D1265" t="s">
        <v>308</v>
      </c>
      <c r="E1265" t="str">
        <f>IF(ISERROR(VLOOKUP(D1265,Nombres!A:D,4,FALSE)),"PROBLEMAAAAAA",VLOOKUP(D1265,Nombres!A:D,4,FALSE))</f>
        <v>DEL</v>
      </c>
      <c r="F1265" t="str">
        <f>IF(ISERROR(VLOOKUP(D1265,Nombres!A:D,3,FALSE)),"PROBLEMAAAAAA",VLOOKUP(D1265,Nombres!A:D,3,FALSE))</f>
        <v>Villarreal</v>
      </c>
      <c r="G1265">
        <v>6</v>
      </c>
      <c r="H1265" s="2">
        <f t="shared" si="10"/>
        <v>600000</v>
      </c>
      <c r="I1265">
        <f t="shared" si="11"/>
        <v>4</v>
      </c>
      <c r="J1265" t="str">
        <f>IF(ISERROR(VLOOKUP(D1265,Nombres!A:D,2,FALSE)),"PROBLEMAAAAAA",VLOOKUP(D1265,Nombres!A:D,2,FALSE))</f>
        <v>Mikautadze</v>
      </c>
    </row>
    <row r="1266" spans="1:10" x14ac:dyDescent="0.25">
      <c r="A1266">
        <v>11</v>
      </c>
      <c r="B1266" s="1">
        <v>45968</v>
      </c>
      <c r="C1266" t="s">
        <v>8</v>
      </c>
      <c r="D1266" t="s">
        <v>295</v>
      </c>
      <c r="E1266" t="str">
        <f>IF(ISERROR(VLOOKUP(D1266,Nombres!A:D,4,FALSE)),"PROBLEMAAAAAA",VLOOKUP(D1266,Nombres!A:D,4,FALSE))</f>
        <v>DEL</v>
      </c>
      <c r="F1266" t="str">
        <f>IF(ISERROR(VLOOKUP(D1266,Nombres!A:D,3,FALSE)),"PROBLEMAAAAAA",VLOOKUP(D1266,Nombres!A:D,3,FALSE))</f>
        <v>Espanyol</v>
      </c>
      <c r="G1266">
        <v>1</v>
      </c>
      <c r="H1266" s="2">
        <f t="shared" ref="H1266:H1329" si="12">G1266*100000</f>
        <v>100000</v>
      </c>
      <c r="I1266">
        <f t="shared" ref="I1266:I1321" si="13">IF(E1266="POR",1,IF(E1266="DEF",2,IF(E1266="MED",3,4)))</f>
        <v>4</v>
      </c>
      <c r="J1266" t="str">
        <f>IF(ISERROR(VLOOKUP(D1266,Nombres!A:D,2,FALSE)),"PROBLEMAAAAAA",VLOOKUP(D1266,Nombres!A:D,2,FALSE))</f>
        <v>Dolan</v>
      </c>
    </row>
    <row r="1267" spans="1:10" x14ac:dyDescent="0.25">
      <c r="A1267">
        <v>12</v>
      </c>
      <c r="B1267" s="1">
        <v>45968</v>
      </c>
      <c r="C1267" t="s">
        <v>8</v>
      </c>
      <c r="D1267" t="s">
        <v>322</v>
      </c>
      <c r="E1267" t="str">
        <f>IF(ISERROR(VLOOKUP(D1267,Nombres!A:D,4,FALSE)),"PROBLEMAAAAAA",VLOOKUP(D1267,Nombres!A:D,4,FALSE))</f>
        <v>POR</v>
      </c>
      <c r="F1267" t="str">
        <f>IF(ISERROR(VLOOKUP(D1267,Nombres!A:D,3,FALSE)),"PROBLEMAAAAAA",VLOOKUP(D1267,Nombres!A:D,3,FALSE))</f>
        <v>Levante</v>
      </c>
      <c r="G1267">
        <v>8</v>
      </c>
      <c r="H1267" s="2">
        <f t="shared" si="12"/>
        <v>800000</v>
      </c>
      <c r="I1267">
        <f t="shared" si="13"/>
        <v>1</v>
      </c>
      <c r="J1267" t="str">
        <f>IF(ISERROR(VLOOKUP(D1267,Nombres!A:D,2,FALSE)),"PROBLEMAAAAAA",VLOOKUP(D1267,Nombres!A:D,2,FALSE))</f>
        <v>Ryan</v>
      </c>
    </row>
    <row r="1268" spans="1:10" x14ac:dyDescent="0.25">
      <c r="A1268">
        <v>12</v>
      </c>
      <c r="B1268" s="1">
        <v>45968</v>
      </c>
      <c r="C1268" t="s">
        <v>8</v>
      </c>
      <c r="D1268" t="s">
        <v>335</v>
      </c>
      <c r="E1268" t="str">
        <f>IF(ISERROR(VLOOKUP(D1268,Nombres!A:D,4,FALSE)),"PROBLEMAAAAAA",VLOOKUP(D1268,Nombres!A:D,4,FALSE))</f>
        <v>DEF</v>
      </c>
      <c r="F1268" t="str">
        <f>IF(ISERROR(VLOOKUP(D1268,Nombres!A:D,3,FALSE)),"PROBLEMAAAAAA",VLOOKUP(D1268,Nombres!A:D,3,FALSE))</f>
        <v>Athletic</v>
      </c>
      <c r="G1268">
        <v>16</v>
      </c>
      <c r="H1268" s="2">
        <f t="shared" si="12"/>
        <v>1600000</v>
      </c>
      <c r="I1268">
        <f t="shared" si="13"/>
        <v>2</v>
      </c>
      <c r="J1268" t="str">
        <f>IF(ISERROR(VLOOKUP(D1268,Nombres!A:D,2,FALSE)),"PROBLEMAAAAAA",VLOOKUP(D1268,Nombres!A:D,2,FALSE))</f>
        <v>Laporte</v>
      </c>
    </row>
    <row r="1269" spans="1:10" x14ac:dyDescent="0.25">
      <c r="A1269">
        <v>12</v>
      </c>
      <c r="B1269" s="1">
        <v>45968</v>
      </c>
      <c r="C1269" t="s">
        <v>8</v>
      </c>
      <c r="D1269" t="s">
        <v>215</v>
      </c>
      <c r="E1269" t="str">
        <f>IF(ISERROR(VLOOKUP(D1269,Nombres!A:D,4,FALSE)),"PROBLEMAAAAAA",VLOOKUP(D1269,Nombres!A:D,4,FALSE))</f>
        <v>DEF</v>
      </c>
      <c r="F1269" t="str">
        <f>IF(ISERROR(VLOOKUP(D1269,Nombres!A:D,3,FALSE)),"PROBLEMAAAAAA",VLOOKUP(D1269,Nombres!A:D,3,FALSE))</f>
        <v>Getafe</v>
      </c>
      <c r="G1269">
        <v>5</v>
      </c>
      <c r="H1269" s="2">
        <f t="shared" si="12"/>
        <v>500000</v>
      </c>
      <c r="I1269">
        <f t="shared" si="13"/>
        <v>2</v>
      </c>
      <c r="J1269" t="str">
        <f>IF(ISERROR(VLOOKUP(D1269,Nombres!A:D,2,FALSE)),"PROBLEMAAAAAA",VLOOKUP(D1269,Nombres!A:D,2,FALSE))</f>
        <v>Iglesias</v>
      </c>
    </row>
    <row r="1270" spans="1:10" x14ac:dyDescent="0.25">
      <c r="A1270">
        <v>12</v>
      </c>
      <c r="B1270" s="1">
        <v>45968</v>
      </c>
      <c r="C1270" t="s">
        <v>8</v>
      </c>
      <c r="D1270" t="s">
        <v>181</v>
      </c>
      <c r="E1270" t="str">
        <f>IF(ISERROR(VLOOKUP(D1270,Nombres!A:D,4,FALSE)),"PROBLEMAAAAAA",VLOOKUP(D1270,Nombres!A:D,4,FALSE))</f>
        <v>DEF</v>
      </c>
      <c r="F1270" t="str">
        <f>IF(ISERROR(VLOOKUP(D1270,Nombres!A:D,3,FALSE)),"PROBLEMAAAAAA",VLOOKUP(D1270,Nombres!A:D,3,FALSE))</f>
        <v>Celta</v>
      </c>
      <c r="G1270">
        <v>-2</v>
      </c>
      <c r="H1270" s="2">
        <f t="shared" si="12"/>
        <v>-200000</v>
      </c>
      <c r="I1270">
        <f t="shared" si="13"/>
        <v>2</v>
      </c>
      <c r="J1270" t="str">
        <f>IF(ISERROR(VLOOKUP(D1270,Nombres!A:D,2,FALSE)),"PROBLEMAAAAAA",VLOOKUP(D1270,Nombres!A:D,2,FALSE))</f>
        <v>M. Alonso</v>
      </c>
    </row>
    <row r="1271" spans="1:10" x14ac:dyDescent="0.25">
      <c r="A1271">
        <v>12</v>
      </c>
      <c r="B1271" s="1">
        <v>45968</v>
      </c>
      <c r="C1271" t="s">
        <v>8</v>
      </c>
      <c r="D1271" t="s">
        <v>310</v>
      </c>
      <c r="E1271" t="str">
        <f>IF(ISERROR(VLOOKUP(D1271,Nombres!A:D,4,FALSE)),"PROBLEMAAAAAA",VLOOKUP(D1271,Nombres!A:D,4,FALSE))</f>
        <v>DEF</v>
      </c>
      <c r="F1271" t="str">
        <f>IF(ISERROR(VLOOKUP(D1271,Nombres!A:D,3,FALSE)),"PROBLEMAAAAAA",VLOOKUP(D1271,Nombres!A:D,3,FALSE))</f>
        <v>Rayo</v>
      </c>
      <c r="G1271">
        <v>7</v>
      </c>
      <c r="H1271" s="2">
        <f t="shared" si="12"/>
        <v>700000</v>
      </c>
      <c r="I1271">
        <f t="shared" si="13"/>
        <v>2</v>
      </c>
      <c r="J1271" t="str">
        <f>IF(ISERROR(VLOOKUP(D1271,Nombres!A:D,2,FALSE)),"PROBLEMAAAAAA",VLOOKUP(D1271,Nombres!A:D,2,FALSE))</f>
        <v>Ratiu</v>
      </c>
    </row>
    <row r="1272" spans="1:10" x14ac:dyDescent="0.25">
      <c r="A1272">
        <v>12</v>
      </c>
      <c r="B1272" s="1">
        <v>45968</v>
      </c>
      <c r="C1272" t="s">
        <v>8</v>
      </c>
      <c r="D1272" t="s">
        <v>41</v>
      </c>
      <c r="E1272" t="str">
        <f>IF(ISERROR(VLOOKUP(D1272,Nombres!A:D,4,FALSE)),"PROBLEMAAAAAA",VLOOKUP(D1272,Nombres!A:D,4,FALSE))</f>
        <v>MED</v>
      </c>
      <c r="F1272" t="str">
        <f>IF(ISERROR(VLOOKUP(D1272,Nombres!A:D,3,FALSE)),"PROBLEMAAAAAA",VLOOKUP(D1272,Nombres!A:D,3,FALSE))</f>
        <v>Valencia</v>
      </c>
      <c r="G1272">
        <v>5</v>
      </c>
      <c r="H1272" s="2">
        <f t="shared" si="12"/>
        <v>500000</v>
      </c>
      <c r="I1272">
        <f t="shared" si="13"/>
        <v>3</v>
      </c>
      <c r="J1272" t="str">
        <f>IF(ISERROR(VLOOKUP(D1272,Nombres!A:D,2,FALSE)),"PROBLEMAAAAAA",VLOOKUP(D1272,Nombres!A:D,2,FALSE))</f>
        <v>Almeida</v>
      </c>
    </row>
    <row r="1273" spans="1:10" x14ac:dyDescent="0.25">
      <c r="A1273">
        <v>12</v>
      </c>
      <c r="B1273" s="1">
        <v>45968</v>
      </c>
      <c r="C1273" t="s">
        <v>8</v>
      </c>
      <c r="D1273" t="s">
        <v>237</v>
      </c>
      <c r="E1273" t="str">
        <f>IF(ISERROR(VLOOKUP(D1273,Nombres!A:D,4,FALSE)),"PROBLEMAAAAAA",VLOOKUP(D1273,Nombres!A:D,4,FALSE))</f>
        <v>MED</v>
      </c>
      <c r="F1273" t="str">
        <f>IF(ISERROR(VLOOKUP(D1273,Nombres!A:D,3,FALSE)),"PROBLEMAAAAAA",VLOOKUP(D1273,Nombres!A:D,3,FALSE))</f>
        <v>Levante</v>
      </c>
      <c r="G1273">
        <v>2</v>
      </c>
      <c r="H1273" s="2">
        <f t="shared" si="12"/>
        <v>200000</v>
      </c>
      <c r="I1273">
        <f t="shared" si="13"/>
        <v>3</v>
      </c>
      <c r="J1273" t="str">
        <f>IF(ISERROR(VLOOKUP(D1273,Nombres!A:D,2,FALSE)),"PROBLEMAAAAAA",VLOOKUP(D1273,Nombres!A:D,2,FALSE))</f>
        <v>Oriol Rey</v>
      </c>
    </row>
    <row r="1274" spans="1:10" x14ac:dyDescent="0.25">
      <c r="A1274">
        <v>12</v>
      </c>
      <c r="B1274" s="1">
        <v>45968</v>
      </c>
      <c r="C1274" t="s">
        <v>8</v>
      </c>
      <c r="D1274" t="s">
        <v>300</v>
      </c>
      <c r="E1274" t="str">
        <f>IF(ISERROR(VLOOKUP(D1274,Nombres!A:D,4,FALSE)),"PROBLEMAAAAAA",VLOOKUP(D1274,Nombres!A:D,4,FALSE))</f>
        <v>MED</v>
      </c>
      <c r="F1274" t="str">
        <f>IF(ISERROR(VLOOKUP(D1274,Nombres!A:D,3,FALSE)),"PROBLEMAAAAAA",VLOOKUP(D1274,Nombres!A:D,3,FALSE))</f>
        <v>Celta</v>
      </c>
      <c r="G1274">
        <v>0</v>
      </c>
      <c r="H1274" s="2">
        <f t="shared" si="12"/>
        <v>0</v>
      </c>
      <c r="I1274">
        <f t="shared" si="13"/>
        <v>3</v>
      </c>
      <c r="J1274" t="str">
        <f>IF(ISERROR(VLOOKUP(D1274,Nombres!A:D,2,FALSE)),"PROBLEMAAAAAA",VLOOKUP(D1274,Nombres!A:D,2,FALSE))</f>
        <v>Moriba</v>
      </c>
    </row>
    <row r="1275" spans="1:10" x14ac:dyDescent="0.25">
      <c r="A1275">
        <v>12</v>
      </c>
      <c r="B1275" s="1">
        <v>45968</v>
      </c>
      <c r="C1275" t="s">
        <v>8</v>
      </c>
      <c r="D1275" t="s">
        <v>434</v>
      </c>
      <c r="E1275" t="str">
        <f>IF(ISERROR(VLOOKUP(D1275,Nombres!A:D,4,FALSE)),"PROBLEMAAAAAA",VLOOKUP(D1275,Nombres!A:D,4,FALSE))</f>
        <v>DEL</v>
      </c>
      <c r="F1275" t="str">
        <f>IF(ISERROR(VLOOKUP(D1275,Nombres!A:D,3,FALSE)),"PROBLEMAAAAAA",VLOOKUP(D1275,Nombres!A:D,3,FALSE))</f>
        <v>Levante</v>
      </c>
      <c r="G1275">
        <v>2</v>
      </c>
      <c r="H1275" s="2">
        <f t="shared" si="12"/>
        <v>200000</v>
      </c>
      <c r="I1275">
        <f t="shared" si="13"/>
        <v>4</v>
      </c>
      <c r="J1275" t="str">
        <f>IF(ISERROR(VLOOKUP(D1275,Nombres!A:D,2,FALSE)),"PROBLEMAAAAAA",VLOOKUP(D1275,Nombres!A:D,2,FALSE))</f>
        <v>Morales</v>
      </c>
    </row>
    <row r="1276" spans="1:10" x14ac:dyDescent="0.25">
      <c r="A1276">
        <v>12</v>
      </c>
      <c r="B1276" s="1">
        <v>45968</v>
      </c>
      <c r="C1276" t="s">
        <v>8</v>
      </c>
      <c r="D1276" t="s">
        <v>308</v>
      </c>
      <c r="E1276" t="str">
        <f>IF(ISERROR(VLOOKUP(D1276,Nombres!A:D,4,FALSE)),"PROBLEMAAAAAA",VLOOKUP(D1276,Nombres!A:D,4,FALSE))</f>
        <v>DEL</v>
      </c>
      <c r="F1276" t="str">
        <f>IF(ISERROR(VLOOKUP(D1276,Nombres!A:D,3,FALSE)),"PROBLEMAAAAAA",VLOOKUP(D1276,Nombres!A:D,3,FALSE))</f>
        <v>Villarreal</v>
      </c>
      <c r="G1276">
        <v>0</v>
      </c>
      <c r="H1276" s="2">
        <f t="shared" si="12"/>
        <v>0</v>
      </c>
      <c r="I1276">
        <f t="shared" si="13"/>
        <v>4</v>
      </c>
      <c r="J1276" t="str">
        <f>IF(ISERROR(VLOOKUP(D1276,Nombres!A:D,2,FALSE)),"PROBLEMAAAAAA",VLOOKUP(D1276,Nombres!A:D,2,FALSE))</f>
        <v>Mikautadze</v>
      </c>
    </row>
    <row r="1277" spans="1:10" x14ac:dyDescent="0.25">
      <c r="A1277">
        <v>12</v>
      </c>
      <c r="B1277" s="1">
        <v>45968</v>
      </c>
      <c r="C1277" t="s">
        <v>8</v>
      </c>
      <c r="D1277" t="s">
        <v>295</v>
      </c>
      <c r="E1277" t="str">
        <f>IF(ISERROR(VLOOKUP(D1277,Nombres!A:D,4,FALSE)),"PROBLEMAAAAAA",VLOOKUP(D1277,Nombres!A:D,4,FALSE))</f>
        <v>DEL</v>
      </c>
      <c r="F1277" t="str">
        <f>IF(ISERROR(VLOOKUP(D1277,Nombres!A:D,3,FALSE)),"PROBLEMAAAAAA",VLOOKUP(D1277,Nombres!A:D,3,FALSE))</f>
        <v>Espanyol</v>
      </c>
      <c r="G1277">
        <v>5</v>
      </c>
      <c r="H1277" s="2">
        <f t="shared" si="12"/>
        <v>500000</v>
      </c>
      <c r="I1277">
        <f t="shared" si="13"/>
        <v>4</v>
      </c>
      <c r="J1277" t="str">
        <f>IF(ISERROR(VLOOKUP(D1277,Nombres!A:D,2,FALSE)),"PROBLEMAAAAAA",VLOOKUP(D1277,Nombres!A:D,2,FALSE))</f>
        <v>Dolan</v>
      </c>
    </row>
    <row r="1278" spans="1:10" x14ac:dyDescent="0.25">
      <c r="A1278">
        <v>9</v>
      </c>
      <c r="B1278" s="1">
        <v>45947</v>
      </c>
      <c r="C1278" t="s">
        <v>7</v>
      </c>
      <c r="D1278" t="s">
        <v>54</v>
      </c>
      <c r="E1278" t="str">
        <f>IF(ISERROR(VLOOKUP(D1278,Nombres!A:D,4,FALSE)),"PROBLEMAAAAAA",VLOOKUP(D1278,Nombres!A:D,4,FALSE))</f>
        <v>POR</v>
      </c>
      <c r="F1278" t="str">
        <f>IF(ISERROR(VLOOKUP(D1278,Nombres!A:D,3,FALSE)),"PROBLEMAAAAAA",VLOOKUP(D1278,Nombres!A:D,3,FALSE))</f>
        <v>Atlético</v>
      </c>
      <c r="G1278">
        <v>13</v>
      </c>
      <c r="H1278" s="2">
        <f t="shared" si="12"/>
        <v>1300000</v>
      </c>
      <c r="I1278">
        <f t="shared" si="13"/>
        <v>1</v>
      </c>
      <c r="J1278" t="str">
        <f>IF(ISERROR(VLOOKUP(D1278,Nombres!A:D,2,FALSE)),"PROBLEMAAAAAA",VLOOKUP(D1278,Nombres!A:D,2,FALSE))</f>
        <v>Oblak</v>
      </c>
    </row>
    <row r="1279" spans="1:10" x14ac:dyDescent="0.25">
      <c r="A1279">
        <v>9</v>
      </c>
      <c r="B1279" s="1">
        <v>45947</v>
      </c>
      <c r="C1279" t="s">
        <v>7</v>
      </c>
      <c r="D1279" t="s">
        <v>181</v>
      </c>
      <c r="E1279" t="str">
        <f>IF(ISERROR(VLOOKUP(D1279,Nombres!A:D,4,FALSE)),"PROBLEMAAAAAA",VLOOKUP(D1279,Nombres!A:D,4,FALSE))</f>
        <v>DEF</v>
      </c>
      <c r="F1279" t="str">
        <f>IF(ISERROR(VLOOKUP(D1279,Nombres!A:D,3,FALSE)),"PROBLEMAAAAAA",VLOOKUP(D1279,Nombres!A:D,3,FALSE))</f>
        <v>Celta</v>
      </c>
      <c r="G1279">
        <v>8</v>
      </c>
      <c r="H1279" s="2">
        <f t="shared" si="12"/>
        <v>800000</v>
      </c>
      <c r="I1279">
        <f t="shared" si="13"/>
        <v>2</v>
      </c>
      <c r="J1279" t="str">
        <f>IF(ISERROR(VLOOKUP(D1279,Nombres!A:D,2,FALSE)),"PROBLEMAAAAAA",VLOOKUP(D1279,Nombres!A:D,2,FALSE))</f>
        <v>M. Alonso</v>
      </c>
    </row>
    <row r="1280" spans="1:10" x14ac:dyDescent="0.25">
      <c r="A1280">
        <v>9</v>
      </c>
      <c r="B1280" s="1">
        <v>45947</v>
      </c>
      <c r="C1280" t="s">
        <v>7</v>
      </c>
      <c r="D1280" t="s">
        <v>321</v>
      </c>
      <c r="E1280" t="str">
        <f>IF(ISERROR(VLOOKUP(D1280,Nombres!A:D,4,FALSE)),"PROBLEMAAAAAA",VLOOKUP(D1280,Nombres!A:D,4,FALSE))</f>
        <v>DEF</v>
      </c>
      <c r="F1280" t="str">
        <f>IF(ISERROR(VLOOKUP(D1280,Nombres!A:D,3,FALSE)),"PROBLEMAAAAAA",VLOOKUP(D1280,Nombres!A:D,3,FALSE))</f>
        <v>Espanyol</v>
      </c>
      <c r="G1280">
        <v>9</v>
      </c>
      <c r="H1280" s="2">
        <f t="shared" si="12"/>
        <v>900000</v>
      </c>
      <c r="I1280">
        <f t="shared" si="13"/>
        <v>2</v>
      </c>
      <c r="J1280" t="str">
        <f>IF(ISERROR(VLOOKUP(D1280,Nombres!A:D,2,FALSE)),"PROBLEMAAAAAA",VLOOKUP(D1280,Nombres!A:D,2,FALSE))</f>
        <v>Romero</v>
      </c>
    </row>
    <row r="1281" spans="1:10" x14ac:dyDescent="0.25">
      <c r="A1281">
        <v>9</v>
      </c>
      <c r="B1281" s="1">
        <v>45947</v>
      </c>
      <c r="C1281" t="s">
        <v>7</v>
      </c>
      <c r="D1281" t="s">
        <v>160</v>
      </c>
      <c r="E1281" t="str">
        <f>IF(ISERROR(VLOOKUP(D1281,Nombres!A:D,4,FALSE)),"PROBLEMAAAAAA",VLOOKUP(D1281,Nombres!A:D,4,FALSE))</f>
        <v>DEF</v>
      </c>
      <c r="F1281" t="str">
        <f>IF(ISERROR(VLOOKUP(D1281,Nombres!A:D,3,FALSE)),"PROBLEMAAAAAA",VLOOKUP(D1281,Nombres!A:D,3,FALSE))</f>
        <v>Real Sociedad</v>
      </c>
      <c r="G1281">
        <v>7</v>
      </c>
      <c r="H1281" s="2">
        <f t="shared" si="12"/>
        <v>700000</v>
      </c>
      <c r="I1281">
        <f t="shared" si="13"/>
        <v>2</v>
      </c>
      <c r="J1281" t="str">
        <f>IF(ISERROR(VLOOKUP(D1281,Nombres!A:D,2,FALSE)),"PROBLEMAAAAAA",VLOOKUP(D1281,Nombres!A:D,2,FALSE))</f>
        <v>Sergio Gómez</v>
      </c>
    </row>
    <row r="1282" spans="1:10" x14ac:dyDescent="0.25">
      <c r="A1282">
        <v>9</v>
      </c>
      <c r="B1282" s="1">
        <v>45947</v>
      </c>
      <c r="C1282" t="s">
        <v>7</v>
      </c>
      <c r="D1282" t="s">
        <v>779</v>
      </c>
      <c r="E1282" t="str">
        <f>IF(ISERROR(VLOOKUP(D1282,Nombres!A:D,4,FALSE)),"PROBLEMAAAAAA",VLOOKUP(D1282,Nombres!A:D,4,FALSE))</f>
        <v>DEF</v>
      </c>
      <c r="F1282" t="str">
        <f>IF(ISERROR(VLOOKUP(D1282,Nombres!A:D,3,FALSE)),"PROBLEMAAAAAA",VLOOKUP(D1282,Nombres!A:D,3,FALSE))</f>
        <v>Real Sociedad</v>
      </c>
      <c r="G1282">
        <v>5</v>
      </c>
      <c r="H1282" s="2">
        <f t="shared" si="12"/>
        <v>500000</v>
      </c>
      <c r="I1282">
        <f t="shared" si="13"/>
        <v>2</v>
      </c>
      <c r="J1282" t="str">
        <f>IF(ISERROR(VLOOKUP(D1282,Nombres!A:D,2,FALSE)),"PROBLEMAAAAAA",VLOOKUP(D1282,Nombres!A:D,2,FALSE))</f>
        <v>Caleta-Car</v>
      </c>
    </row>
    <row r="1283" spans="1:10" x14ac:dyDescent="0.25">
      <c r="A1283">
        <v>9</v>
      </c>
      <c r="B1283" s="1">
        <v>45947</v>
      </c>
      <c r="C1283" t="s">
        <v>7</v>
      </c>
      <c r="D1283" t="s">
        <v>87</v>
      </c>
      <c r="E1283" t="str">
        <f>IF(ISERROR(VLOOKUP(D1283,Nombres!A:D,4,FALSE)),"PROBLEMAAAAAA",VLOOKUP(D1283,Nombres!A:D,4,FALSE))</f>
        <v>MED</v>
      </c>
      <c r="F1283" t="str">
        <f>IF(ISERROR(VLOOKUP(D1283,Nombres!A:D,3,FALSE)),"PROBLEMAAAAAA",VLOOKUP(D1283,Nombres!A:D,3,FALSE))</f>
        <v>Alavés</v>
      </c>
      <c r="G1283">
        <v>2</v>
      </c>
      <c r="H1283" s="2">
        <f t="shared" si="12"/>
        <v>200000</v>
      </c>
      <c r="I1283">
        <f t="shared" si="13"/>
        <v>3</v>
      </c>
      <c r="J1283" t="str">
        <f>IF(ISERROR(VLOOKUP(D1283,Nombres!A:D,2,FALSE)),"PROBLEMAAAAAA",VLOOKUP(D1283,Nombres!A:D,2,FALSE))</f>
        <v>Guridi</v>
      </c>
    </row>
    <row r="1284" spans="1:10" x14ac:dyDescent="0.25">
      <c r="A1284">
        <v>9</v>
      </c>
      <c r="B1284" s="1">
        <v>45947</v>
      </c>
      <c r="C1284" t="s">
        <v>7</v>
      </c>
      <c r="D1284" t="s">
        <v>176</v>
      </c>
      <c r="E1284" t="str">
        <f>IF(ISERROR(VLOOKUP(D1284,Nombres!A:D,4,FALSE)),"PROBLEMAAAAAA",VLOOKUP(D1284,Nombres!A:D,4,FALSE))</f>
        <v>MED</v>
      </c>
      <c r="F1284" t="str">
        <f>IF(ISERROR(VLOOKUP(D1284,Nombres!A:D,3,FALSE)),"PROBLEMAAAAAA",VLOOKUP(D1284,Nombres!A:D,3,FALSE))</f>
        <v>Athletic</v>
      </c>
      <c r="G1284">
        <v>5</v>
      </c>
      <c r="H1284" s="2">
        <f t="shared" si="12"/>
        <v>500000</v>
      </c>
      <c r="I1284">
        <f t="shared" si="13"/>
        <v>3</v>
      </c>
      <c r="J1284" t="str">
        <f>IF(ISERROR(VLOOKUP(D1284,Nombres!A:D,2,FALSE)),"PROBLEMAAAAAA",VLOOKUP(D1284,Nombres!A:D,2,FALSE))</f>
        <v>Jauregizar</v>
      </c>
    </row>
    <row r="1285" spans="1:10" x14ac:dyDescent="0.25">
      <c r="A1285">
        <v>9</v>
      </c>
      <c r="B1285" s="1">
        <v>45947</v>
      </c>
      <c r="C1285" t="s">
        <v>7</v>
      </c>
      <c r="D1285" t="s">
        <v>38</v>
      </c>
      <c r="E1285" t="str">
        <f>IF(ISERROR(VLOOKUP(D1285,Nombres!A:D,4,FALSE)),"PROBLEMAAAAAA",VLOOKUP(D1285,Nombres!A:D,4,FALSE))</f>
        <v>MED</v>
      </c>
      <c r="F1285" t="str">
        <f>IF(ISERROR(VLOOKUP(D1285,Nombres!A:D,3,FALSE)),"PROBLEMAAAAAA",VLOOKUP(D1285,Nombres!A:D,3,FALSE))</f>
        <v>Real Madrid</v>
      </c>
      <c r="G1285">
        <v>9</v>
      </c>
      <c r="H1285" s="2">
        <f t="shared" si="12"/>
        <v>900000</v>
      </c>
      <c r="I1285">
        <f t="shared" si="13"/>
        <v>3</v>
      </c>
      <c r="J1285" t="str">
        <f>IF(ISERROR(VLOOKUP(D1285,Nombres!A:D,2,FALSE)),"PROBLEMAAAAAA",VLOOKUP(D1285,Nombres!A:D,2,FALSE))</f>
        <v>Güler</v>
      </c>
    </row>
    <row r="1286" spans="1:10" x14ac:dyDescent="0.25">
      <c r="A1286">
        <v>9</v>
      </c>
      <c r="B1286" s="1">
        <v>45947</v>
      </c>
      <c r="C1286" t="s">
        <v>7</v>
      </c>
      <c r="D1286" t="s">
        <v>51</v>
      </c>
      <c r="E1286" t="str">
        <f>IF(ISERROR(VLOOKUP(D1286,Nombres!A:D,4,FALSE)),"PROBLEMAAAAAA",VLOOKUP(D1286,Nombres!A:D,4,FALSE))</f>
        <v>DEL</v>
      </c>
      <c r="F1286" t="str">
        <f>IF(ISERROR(VLOOKUP(D1286,Nombres!A:D,3,FALSE)),"PROBLEMAAAAAA",VLOOKUP(D1286,Nombres!A:D,3,FALSE))</f>
        <v>Celta</v>
      </c>
      <c r="G1286">
        <v>9</v>
      </c>
      <c r="H1286" s="2">
        <f t="shared" si="12"/>
        <v>900000</v>
      </c>
      <c r="I1286">
        <f t="shared" si="13"/>
        <v>4</v>
      </c>
      <c r="J1286" t="str">
        <f>IF(ISERROR(VLOOKUP(D1286,Nombres!A:D,2,FALSE)),"PROBLEMAAAAAA",VLOOKUP(D1286,Nombres!A:D,2,FALSE))</f>
        <v>Durán</v>
      </c>
    </row>
    <row r="1287" spans="1:10" x14ac:dyDescent="0.25">
      <c r="A1287">
        <v>9</v>
      </c>
      <c r="B1287" s="1">
        <v>45947</v>
      </c>
      <c r="C1287" t="s">
        <v>7</v>
      </c>
      <c r="D1287" t="s">
        <v>147</v>
      </c>
      <c r="E1287" t="str">
        <f>IF(ISERROR(VLOOKUP(D1287,Nombres!A:D,4,FALSE)),"PROBLEMAAAAAA",VLOOKUP(D1287,Nombres!A:D,4,FALSE))</f>
        <v>DEL</v>
      </c>
      <c r="F1287" t="str">
        <f>IF(ISERROR(VLOOKUP(D1287,Nombres!A:D,3,FALSE)),"PROBLEMAAAAAA",VLOOKUP(D1287,Nombres!A:D,3,FALSE))</f>
        <v>Betis</v>
      </c>
      <c r="G1287">
        <v>3</v>
      </c>
      <c r="H1287" s="2">
        <f t="shared" si="12"/>
        <v>300000</v>
      </c>
      <c r="I1287">
        <f t="shared" si="13"/>
        <v>4</v>
      </c>
      <c r="J1287" t="str">
        <f>IF(ISERROR(VLOOKUP(D1287,Nombres!A:D,2,FALSE)),"PROBLEMAAAAAA",VLOOKUP(D1287,Nombres!A:D,2,FALSE))</f>
        <v>Abde</v>
      </c>
    </row>
    <row r="1288" spans="1:10" x14ac:dyDescent="0.25">
      <c r="A1288">
        <v>9</v>
      </c>
      <c r="B1288" s="1">
        <v>45947</v>
      </c>
      <c r="C1288" t="s">
        <v>7</v>
      </c>
      <c r="D1288" t="s">
        <v>136</v>
      </c>
      <c r="E1288" t="str">
        <f>IF(ISERROR(VLOOKUP(D1288,Nombres!A:D,4,FALSE)),"PROBLEMAAAAAA",VLOOKUP(D1288,Nombres!A:D,4,FALSE))</f>
        <v>DEL</v>
      </c>
      <c r="F1288" t="str">
        <f>IF(ISERROR(VLOOKUP(D1288,Nombres!A:D,3,FALSE)),"PROBLEMAAAAAA",VLOOKUP(D1288,Nombres!A:D,3,FALSE))</f>
        <v>Real Sociedad</v>
      </c>
      <c r="G1288">
        <v>4</v>
      </c>
      <c r="H1288" s="2">
        <f t="shared" si="12"/>
        <v>400000</v>
      </c>
      <c r="I1288">
        <f t="shared" si="13"/>
        <v>4</v>
      </c>
      <c r="J1288" t="str">
        <f>IF(ISERROR(VLOOKUP(D1288,Nombres!A:D,2,FALSE)),"PROBLEMAAAAAA",VLOOKUP(D1288,Nombres!A:D,2,FALSE))</f>
        <v>Oyarzabal</v>
      </c>
    </row>
    <row r="1289" spans="1:10" x14ac:dyDescent="0.25">
      <c r="A1289">
        <v>10</v>
      </c>
      <c r="B1289" s="1">
        <v>45947</v>
      </c>
      <c r="C1289" t="s">
        <v>7</v>
      </c>
      <c r="D1289" t="s">
        <v>54</v>
      </c>
      <c r="E1289" t="str">
        <f>IF(ISERROR(VLOOKUP(D1289,Nombres!A:D,4,FALSE)),"PROBLEMAAAAAA",VLOOKUP(D1289,Nombres!A:D,4,FALSE))</f>
        <v>POR</v>
      </c>
      <c r="F1289" t="str">
        <f>IF(ISERROR(VLOOKUP(D1289,Nombres!A:D,3,FALSE)),"PROBLEMAAAAAA",VLOOKUP(D1289,Nombres!A:D,3,FALSE))</f>
        <v>Atlético</v>
      </c>
      <c r="G1289">
        <v>13</v>
      </c>
      <c r="H1289" s="2">
        <f t="shared" si="12"/>
        <v>1300000</v>
      </c>
      <c r="I1289">
        <f t="shared" si="13"/>
        <v>1</v>
      </c>
      <c r="J1289" t="str">
        <f>IF(ISERROR(VLOOKUP(D1289,Nombres!A:D,2,FALSE)),"PROBLEMAAAAAA",VLOOKUP(D1289,Nombres!A:D,2,FALSE))</f>
        <v>Oblak</v>
      </c>
    </row>
    <row r="1290" spans="1:10" x14ac:dyDescent="0.25">
      <c r="A1290">
        <v>10</v>
      </c>
      <c r="B1290" s="1">
        <v>45947</v>
      </c>
      <c r="C1290" t="s">
        <v>7</v>
      </c>
      <c r="D1290" t="s">
        <v>181</v>
      </c>
      <c r="E1290" t="str">
        <f>IF(ISERROR(VLOOKUP(D1290,Nombres!A:D,4,FALSE)),"PROBLEMAAAAAA",VLOOKUP(D1290,Nombres!A:D,4,FALSE))</f>
        <v>DEF</v>
      </c>
      <c r="F1290" t="str">
        <f>IF(ISERROR(VLOOKUP(D1290,Nombres!A:D,3,FALSE)),"PROBLEMAAAAAA",VLOOKUP(D1290,Nombres!A:D,3,FALSE))</f>
        <v>Celta</v>
      </c>
      <c r="G1290">
        <v>4</v>
      </c>
      <c r="H1290" s="2">
        <f t="shared" si="12"/>
        <v>400000</v>
      </c>
      <c r="I1290">
        <f t="shared" si="13"/>
        <v>2</v>
      </c>
      <c r="J1290" t="str">
        <f>IF(ISERROR(VLOOKUP(D1290,Nombres!A:D,2,FALSE)),"PROBLEMAAAAAA",VLOOKUP(D1290,Nombres!A:D,2,FALSE))</f>
        <v>M. Alonso</v>
      </c>
    </row>
    <row r="1291" spans="1:10" x14ac:dyDescent="0.25">
      <c r="A1291">
        <v>10</v>
      </c>
      <c r="B1291" s="1">
        <v>45947</v>
      </c>
      <c r="C1291" t="s">
        <v>7</v>
      </c>
      <c r="D1291" t="s">
        <v>321</v>
      </c>
      <c r="E1291" t="str">
        <f>IF(ISERROR(VLOOKUP(D1291,Nombres!A:D,4,FALSE)),"PROBLEMAAAAAA",VLOOKUP(D1291,Nombres!A:D,4,FALSE))</f>
        <v>DEF</v>
      </c>
      <c r="F1291" t="str">
        <f>IF(ISERROR(VLOOKUP(D1291,Nombres!A:D,3,FALSE)),"PROBLEMAAAAAA",VLOOKUP(D1291,Nombres!A:D,3,FALSE))</f>
        <v>Espanyol</v>
      </c>
      <c r="G1291">
        <v>14</v>
      </c>
      <c r="H1291" s="2">
        <f t="shared" si="12"/>
        <v>1400000</v>
      </c>
      <c r="I1291">
        <f t="shared" si="13"/>
        <v>2</v>
      </c>
      <c r="J1291" t="str">
        <f>IF(ISERROR(VLOOKUP(D1291,Nombres!A:D,2,FALSE)),"PROBLEMAAAAAA",VLOOKUP(D1291,Nombres!A:D,2,FALSE))</f>
        <v>Romero</v>
      </c>
    </row>
    <row r="1292" spans="1:10" x14ac:dyDescent="0.25">
      <c r="A1292">
        <v>10</v>
      </c>
      <c r="B1292" s="1">
        <v>45947</v>
      </c>
      <c r="C1292" t="s">
        <v>7</v>
      </c>
      <c r="D1292" t="s">
        <v>43</v>
      </c>
      <c r="E1292" t="str">
        <f>IF(ISERROR(VLOOKUP(D1292,Nombres!A:D,4,FALSE)),"PROBLEMAAAAAA",VLOOKUP(D1292,Nombres!A:D,4,FALSE))</f>
        <v>DEF</v>
      </c>
      <c r="F1292" t="str">
        <f>IF(ISERROR(VLOOKUP(D1292,Nombres!A:D,3,FALSE)),"PROBLEMAAAAAA",VLOOKUP(D1292,Nombres!A:D,3,FALSE))</f>
        <v>Athletic</v>
      </c>
      <c r="G1292">
        <v>0</v>
      </c>
      <c r="H1292" s="2">
        <f t="shared" si="12"/>
        <v>0</v>
      </c>
      <c r="I1292">
        <f t="shared" si="13"/>
        <v>2</v>
      </c>
      <c r="J1292" t="str">
        <f>IF(ISERROR(VLOOKUP(D1292,Nombres!A:D,2,FALSE)),"PROBLEMAAAAAA",VLOOKUP(D1292,Nombres!A:D,2,FALSE))</f>
        <v>Paredes</v>
      </c>
    </row>
    <row r="1293" spans="1:10" x14ac:dyDescent="0.25">
      <c r="A1293">
        <v>10</v>
      </c>
      <c r="B1293" s="1">
        <v>45947</v>
      </c>
      <c r="C1293" t="s">
        <v>7</v>
      </c>
      <c r="D1293" t="s">
        <v>197</v>
      </c>
      <c r="E1293" t="str">
        <f>IF(ISERROR(VLOOKUP(D1293,Nombres!A:D,4,FALSE)),"PROBLEMAAAAAA",VLOOKUP(D1293,Nombres!A:D,4,FALSE))</f>
        <v>DEF</v>
      </c>
      <c r="F1293" t="str">
        <f>IF(ISERROR(VLOOKUP(D1293,Nombres!A:D,3,FALSE)),"PROBLEMAAAAAA",VLOOKUP(D1293,Nombres!A:D,3,FALSE))</f>
        <v>Mallorca</v>
      </c>
      <c r="G1293">
        <v>4</v>
      </c>
      <c r="H1293" s="2">
        <f t="shared" si="12"/>
        <v>400000</v>
      </c>
      <c r="I1293">
        <f t="shared" si="13"/>
        <v>2</v>
      </c>
      <c r="J1293" t="str">
        <f>IF(ISERROR(VLOOKUP(D1293,Nombres!A:D,2,FALSE)),"PROBLEMAAAAAA",VLOOKUP(D1293,Nombres!A:D,2,FALSE))</f>
        <v>Valjent</v>
      </c>
    </row>
    <row r="1294" spans="1:10" x14ac:dyDescent="0.25">
      <c r="A1294">
        <v>10</v>
      </c>
      <c r="B1294" s="1">
        <v>45947</v>
      </c>
      <c r="C1294" t="s">
        <v>7</v>
      </c>
      <c r="D1294" t="s">
        <v>38</v>
      </c>
      <c r="E1294" t="str">
        <f>IF(ISERROR(VLOOKUP(D1294,Nombres!A:D,4,FALSE)),"PROBLEMAAAAAA",VLOOKUP(D1294,Nombres!A:D,4,FALSE))</f>
        <v>MED</v>
      </c>
      <c r="F1294" t="str">
        <f>IF(ISERROR(VLOOKUP(D1294,Nombres!A:D,3,FALSE)),"PROBLEMAAAAAA",VLOOKUP(D1294,Nombres!A:D,3,FALSE))</f>
        <v>Real Madrid</v>
      </c>
      <c r="G1294">
        <v>4</v>
      </c>
      <c r="H1294" s="2">
        <f t="shared" si="12"/>
        <v>400000</v>
      </c>
      <c r="I1294">
        <f t="shared" si="13"/>
        <v>3</v>
      </c>
      <c r="J1294" t="str">
        <f>IF(ISERROR(VLOOKUP(D1294,Nombres!A:D,2,FALSE)),"PROBLEMAAAAAA",VLOOKUP(D1294,Nombres!A:D,2,FALSE))</f>
        <v>Güler</v>
      </c>
    </row>
    <row r="1295" spans="1:10" x14ac:dyDescent="0.25">
      <c r="A1295">
        <v>10</v>
      </c>
      <c r="B1295" s="1">
        <v>45947</v>
      </c>
      <c r="C1295" t="s">
        <v>7</v>
      </c>
      <c r="D1295" t="s">
        <v>466</v>
      </c>
      <c r="E1295" t="str">
        <f>IF(ISERROR(VLOOKUP(D1295,Nombres!A:D,4,FALSE)),"PROBLEMAAAAAA",VLOOKUP(D1295,Nombres!A:D,4,FALSE))</f>
        <v>MED</v>
      </c>
      <c r="F1295" t="str">
        <f>IF(ISERROR(VLOOKUP(D1295,Nombres!A:D,3,FALSE)),"PROBLEMAAAAAA",VLOOKUP(D1295,Nombres!A:D,3,FALSE))</f>
        <v>Elche</v>
      </c>
      <c r="G1295">
        <v>4</v>
      </c>
      <c r="H1295" s="2">
        <f t="shared" si="12"/>
        <v>400000</v>
      </c>
      <c r="I1295">
        <f t="shared" si="13"/>
        <v>3</v>
      </c>
      <c r="J1295" t="str">
        <f>IF(ISERROR(VLOOKUP(D1295,Nombres!A:D,2,FALSE)),"PROBLEMAAAAAA",VLOOKUP(D1295,Nombres!A:D,2,FALSE))</f>
        <v>Aguado</v>
      </c>
    </row>
    <row r="1296" spans="1:10" x14ac:dyDescent="0.25">
      <c r="A1296">
        <v>10</v>
      </c>
      <c r="B1296" s="1">
        <v>45947</v>
      </c>
      <c r="C1296" t="s">
        <v>7</v>
      </c>
      <c r="D1296" t="s">
        <v>166</v>
      </c>
      <c r="E1296" t="str">
        <f>IF(ISERROR(VLOOKUP(D1296,Nombres!A:D,4,FALSE)),"PROBLEMAAAAAA",VLOOKUP(D1296,Nombres!A:D,4,FALSE))</f>
        <v>MED</v>
      </c>
      <c r="F1296" t="str">
        <f>IF(ISERROR(VLOOKUP(D1296,Nombres!A:D,3,FALSE)),"PROBLEMAAAAAA",VLOOKUP(D1296,Nombres!A:D,3,FALSE))</f>
        <v>Betis</v>
      </c>
      <c r="G1296">
        <v>0</v>
      </c>
      <c r="H1296" s="2">
        <f t="shared" si="12"/>
        <v>0</v>
      </c>
      <c r="I1296">
        <f t="shared" si="13"/>
        <v>3</v>
      </c>
      <c r="J1296" t="str">
        <f>IF(ISERROR(VLOOKUP(D1296,Nombres!A:D,2,FALSE)),"PROBLEMAAAAAA",VLOOKUP(D1296,Nombres!A:D,2,FALSE))</f>
        <v>Marc Roca</v>
      </c>
    </row>
    <row r="1297" spans="1:10" x14ac:dyDescent="0.25">
      <c r="A1297">
        <v>10</v>
      </c>
      <c r="B1297" s="1">
        <v>45947</v>
      </c>
      <c r="C1297" t="s">
        <v>7</v>
      </c>
      <c r="D1297" t="s">
        <v>147</v>
      </c>
      <c r="E1297" t="str">
        <f>IF(ISERROR(VLOOKUP(D1297,Nombres!A:D,4,FALSE)),"PROBLEMAAAAAA",VLOOKUP(D1297,Nombres!A:D,4,FALSE))</f>
        <v>DEL</v>
      </c>
      <c r="F1297" t="str">
        <f>IF(ISERROR(VLOOKUP(D1297,Nombres!A:D,3,FALSE)),"PROBLEMAAAAAA",VLOOKUP(D1297,Nombres!A:D,3,FALSE))</f>
        <v>Betis</v>
      </c>
      <c r="G1297">
        <v>5</v>
      </c>
      <c r="H1297" s="2">
        <f t="shared" si="12"/>
        <v>500000</v>
      </c>
      <c r="I1297">
        <f t="shared" si="13"/>
        <v>4</v>
      </c>
      <c r="J1297" t="str">
        <f>IF(ISERROR(VLOOKUP(D1297,Nombres!A:D,2,FALSE)),"PROBLEMAAAAAA",VLOOKUP(D1297,Nombres!A:D,2,FALSE))</f>
        <v>Abde</v>
      </c>
    </row>
    <row r="1298" spans="1:10" x14ac:dyDescent="0.25">
      <c r="A1298">
        <v>10</v>
      </c>
      <c r="B1298" s="1">
        <v>45947</v>
      </c>
      <c r="C1298" t="s">
        <v>7</v>
      </c>
      <c r="D1298" t="s">
        <v>136</v>
      </c>
      <c r="E1298" t="str">
        <f>IF(ISERROR(VLOOKUP(D1298,Nombres!A:D,4,FALSE)),"PROBLEMAAAAAA",VLOOKUP(D1298,Nombres!A:D,4,FALSE))</f>
        <v>DEL</v>
      </c>
      <c r="F1298" t="str">
        <f>IF(ISERROR(VLOOKUP(D1298,Nombres!A:D,3,FALSE)),"PROBLEMAAAAAA",VLOOKUP(D1298,Nombres!A:D,3,FALSE))</f>
        <v>Real Sociedad</v>
      </c>
      <c r="G1298">
        <v>13</v>
      </c>
      <c r="H1298" s="2">
        <f t="shared" si="12"/>
        <v>1300000</v>
      </c>
      <c r="I1298">
        <f t="shared" si="13"/>
        <v>4</v>
      </c>
      <c r="J1298" t="str">
        <f>IF(ISERROR(VLOOKUP(D1298,Nombres!A:D,2,FALSE)),"PROBLEMAAAAAA",VLOOKUP(D1298,Nombres!A:D,2,FALSE))</f>
        <v>Oyarzabal</v>
      </c>
    </row>
    <row r="1299" spans="1:10" x14ac:dyDescent="0.25">
      <c r="A1299">
        <v>10</v>
      </c>
      <c r="B1299" s="1">
        <v>45947</v>
      </c>
      <c r="C1299" t="s">
        <v>7</v>
      </c>
      <c r="D1299" t="s">
        <v>187</v>
      </c>
      <c r="E1299" t="str">
        <f>IF(ISERROR(VLOOKUP(D1299,Nombres!A:D,4,FALSE)),"PROBLEMAAAAAA",VLOOKUP(D1299,Nombres!A:D,4,FALSE))</f>
        <v>DEL</v>
      </c>
      <c r="F1299" t="str">
        <f>IF(ISERROR(VLOOKUP(D1299,Nombres!A:D,3,FALSE)),"PROBLEMAAAAAA",VLOOKUP(D1299,Nombres!A:D,3,FALSE))</f>
        <v>Sevilla</v>
      </c>
      <c r="G1299">
        <v>1</v>
      </c>
      <c r="H1299" s="2">
        <f t="shared" si="12"/>
        <v>100000</v>
      </c>
      <c r="I1299">
        <f t="shared" si="13"/>
        <v>4</v>
      </c>
      <c r="J1299" t="str">
        <f>IF(ISERROR(VLOOKUP(D1299,Nombres!A:D,2,FALSE)),"PROBLEMAAAAAA",VLOOKUP(D1299,Nombres!A:D,2,FALSE))</f>
        <v>Romero</v>
      </c>
    </row>
    <row r="1300" spans="1:10" x14ac:dyDescent="0.25">
      <c r="A1300">
        <v>11</v>
      </c>
      <c r="B1300" s="1">
        <v>45968</v>
      </c>
      <c r="C1300" t="s">
        <v>7</v>
      </c>
      <c r="D1300" t="s">
        <v>54</v>
      </c>
      <c r="E1300" t="str">
        <f>IF(ISERROR(VLOOKUP(D1300,Nombres!A:D,4,FALSE)),"PROBLEMAAAAAA",VLOOKUP(D1300,Nombres!A:D,4,FALSE))</f>
        <v>POR</v>
      </c>
      <c r="F1300" t="str">
        <f>IF(ISERROR(VLOOKUP(D1300,Nombres!A:D,3,FALSE)),"PROBLEMAAAAAA",VLOOKUP(D1300,Nombres!A:D,3,FALSE))</f>
        <v>Atlético</v>
      </c>
      <c r="G1300">
        <v>10</v>
      </c>
      <c r="H1300" s="2">
        <f t="shared" si="12"/>
        <v>1000000</v>
      </c>
      <c r="I1300">
        <f t="shared" si="13"/>
        <v>1</v>
      </c>
      <c r="J1300" t="str">
        <f>IF(ISERROR(VLOOKUP(D1300,Nombres!A:D,2,FALSE)),"PROBLEMAAAAAA",VLOOKUP(D1300,Nombres!A:D,2,FALSE))</f>
        <v>Oblak</v>
      </c>
    </row>
    <row r="1301" spans="1:10" x14ac:dyDescent="0.25">
      <c r="A1301">
        <v>11</v>
      </c>
      <c r="B1301" s="1">
        <v>45968</v>
      </c>
      <c r="C1301" t="s">
        <v>7</v>
      </c>
      <c r="D1301" t="s">
        <v>160</v>
      </c>
      <c r="E1301" t="str">
        <f>IF(ISERROR(VLOOKUP(D1301,Nombres!A:D,4,FALSE)),"PROBLEMAAAAAA",VLOOKUP(D1301,Nombres!A:D,4,FALSE))</f>
        <v>DEF</v>
      </c>
      <c r="F1301" t="str">
        <f>IF(ISERROR(VLOOKUP(D1301,Nombres!A:D,3,FALSE)),"PROBLEMAAAAAA",VLOOKUP(D1301,Nombres!A:D,3,FALSE))</f>
        <v>Real Sociedad</v>
      </c>
      <c r="G1301">
        <v>3</v>
      </c>
      <c r="H1301" s="2">
        <f t="shared" si="12"/>
        <v>300000</v>
      </c>
      <c r="I1301">
        <f t="shared" si="13"/>
        <v>2</v>
      </c>
      <c r="J1301" t="str">
        <f>IF(ISERROR(VLOOKUP(D1301,Nombres!A:D,2,FALSE)),"PROBLEMAAAAAA",VLOOKUP(D1301,Nombres!A:D,2,FALSE))</f>
        <v>Sergio Gómez</v>
      </c>
    </row>
    <row r="1302" spans="1:10" x14ac:dyDescent="0.25">
      <c r="A1302">
        <v>11</v>
      </c>
      <c r="B1302" s="1">
        <v>45968</v>
      </c>
      <c r="C1302" t="s">
        <v>7</v>
      </c>
      <c r="D1302" t="s">
        <v>779</v>
      </c>
      <c r="E1302" t="str">
        <f>IF(ISERROR(VLOOKUP(D1302,Nombres!A:D,4,FALSE)),"PROBLEMAAAAAA",VLOOKUP(D1302,Nombres!A:D,4,FALSE))</f>
        <v>DEF</v>
      </c>
      <c r="F1302" t="str">
        <f>IF(ISERROR(VLOOKUP(D1302,Nombres!A:D,3,FALSE)),"PROBLEMAAAAAA",VLOOKUP(D1302,Nombres!A:D,3,FALSE))</f>
        <v>Real Sociedad</v>
      </c>
      <c r="G1302">
        <v>0</v>
      </c>
      <c r="H1302" s="2">
        <f t="shared" si="12"/>
        <v>0</v>
      </c>
      <c r="I1302">
        <f t="shared" si="13"/>
        <v>2</v>
      </c>
      <c r="J1302" t="str">
        <f>IF(ISERROR(VLOOKUP(D1302,Nombres!A:D,2,FALSE)),"PROBLEMAAAAAA",VLOOKUP(D1302,Nombres!A:D,2,FALSE))</f>
        <v>Caleta-Car</v>
      </c>
    </row>
    <row r="1303" spans="1:10" x14ac:dyDescent="0.25">
      <c r="A1303">
        <v>11</v>
      </c>
      <c r="B1303" s="1">
        <v>45968</v>
      </c>
      <c r="C1303" t="s">
        <v>7</v>
      </c>
      <c r="D1303" t="s">
        <v>197</v>
      </c>
      <c r="E1303" t="str">
        <f>IF(ISERROR(VLOOKUP(D1303,Nombres!A:D,4,FALSE)),"PROBLEMAAAAAA",VLOOKUP(D1303,Nombres!A:D,4,FALSE))</f>
        <v>DEF</v>
      </c>
      <c r="F1303" t="str">
        <f>IF(ISERROR(VLOOKUP(D1303,Nombres!A:D,3,FALSE)),"PROBLEMAAAAAA",VLOOKUP(D1303,Nombres!A:D,3,FALSE))</f>
        <v>Mallorca</v>
      </c>
      <c r="G1303">
        <v>3</v>
      </c>
      <c r="H1303" s="2">
        <f t="shared" si="12"/>
        <v>300000</v>
      </c>
      <c r="I1303">
        <f t="shared" si="13"/>
        <v>2</v>
      </c>
      <c r="J1303" t="str">
        <f>IF(ISERROR(VLOOKUP(D1303,Nombres!A:D,2,FALSE)),"PROBLEMAAAAAA",VLOOKUP(D1303,Nombres!A:D,2,FALSE))</f>
        <v>Valjent</v>
      </c>
    </row>
    <row r="1304" spans="1:10" x14ac:dyDescent="0.25">
      <c r="A1304">
        <v>11</v>
      </c>
      <c r="B1304" s="1">
        <v>45968</v>
      </c>
      <c r="C1304" t="s">
        <v>7</v>
      </c>
      <c r="D1304" t="s">
        <v>107</v>
      </c>
      <c r="E1304" t="str">
        <f>IF(ISERROR(VLOOKUP(D1304,Nombres!A:D,4,FALSE)),"PROBLEMAAAAAA",VLOOKUP(D1304,Nombres!A:D,4,FALSE))</f>
        <v>DEF</v>
      </c>
      <c r="F1304" t="str">
        <f>IF(ISERROR(VLOOKUP(D1304,Nombres!A:D,3,FALSE)),"PROBLEMAAAAAA",VLOOKUP(D1304,Nombres!A:D,3,FALSE))</f>
        <v>Atlético</v>
      </c>
      <c r="G1304">
        <v>6</v>
      </c>
      <c r="H1304" s="2">
        <f t="shared" si="12"/>
        <v>600000</v>
      </c>
      <c r="I1304">
        <f t="shared" si="13"/>
        <v>2</v>
      </c>
      <c r="J1304" t="str">
        <f>IF(ISERROR(VLOOKUP(D1304,Nombres!A:D,2,FALSE)),"PROBLEMAAAAAA",VLOOKUP(D1304,Nombres!A:D,2,FALSE))</f>
        <v>Hancko</v>
      </c>
    </row>
    <row r="1305" spans="1:10" x14ac:dyDescent="0.25">
      <c r="A1305">
        <v>11</v>
      </c>
      <c r="B1305" s="1">
        <v>45968</v>
      </c>
      <c r="C1305" t="s">
        <v>7</v>
      </c>
      <c r="D1305" t="s">
        <v>152</v>
      </c>
      <c r="E1305" t="str">
        <f>IF(ISERROR(VLOOKUP(D1305,Nombres!A:D,4,FALSE)),"PROBLEMAAAAAA",VLOOKUP(D1305,Nombres!A:D,4,FALSE))</f>
        <v>DEF</v>
      </c>
      <c r="F1305" t="str">
        <f>IF(ISERROR(VLOOKUP(D1305,Nombres!A:D,3,FALSE)),"PROBLEMAAAAAA",VLOOKUP(D1305,Nombres!A:D,3,FALSE))</f>
        <v>Barcelona</v>
      </c>
      <c r="G1305">
        <v>4</v>
      </c>
      <c r="H1305" s="2">
        <f t="shared" si="12"/>
        <v>400000</v>
      </c>
      <c r="I1305">
        <f t="shared" si="13"/>
        <v>2</v>
      </c>
      <c r="J1305" t="str">
        <f>IF(ISERROR(VLOOKUP(D1305,Nombres!A:D,2,FALSE)),"PROBLEMAAAAAA",VLOOKUP(D1305,Nombres!A:D,2,FALSE))</f>
        <v>Eric García</v>
      </c>
    </row>
    <row r="1306" spans="1:10" x14ac:dyDescent="0.25">
      <c r="A1306">
        <v>11</v>
      </c>
      <c r="B1306" s="1">
        <v>45968</v>
      </c>
      <c r="C1306" t="s">
        <v>7</v>
      </c>
      <c r="D1306" t="s">
        <v>466</v>
      </c>
      <c r="E1306" t="str">
        <f>IF(ISERROR(VLOOKUP(D1306,Nombres!A:D,4,FALSE)),"PROBLEMAAAAAA",VLOOKUP(D1306,Nombres!A:D,4,FALSE))</f>
        <v>MED</v>
      </c>
      <c r="F1306" t="str">
        <f>IF(ISERROR(VLOOKUP(D1306,Nombres!A:D,3,FALSE)),"PROBLEMAAAAAA",VLOOKUP(D1306,Nombres!A:D,3,FALSE))</f>
        <v>Elche</v>
      </c>
      <c r="G1306">
        <v>3</v>
      </c>
      <c r="H1306" s="2">
        <f t="shared" si="12"/>
        <v>300000</v>
      </c>
      <c r="I1306">
        <f t="shared" si="13"/>
        <v>3</v>
      </c>
      <c r="J1306" t="str">
        <f>IF(ISERROR(VLOOKUP(D1306,Nombres!A:D,2,FALSE)),"PROBLEMAAAAAA",VLOOKUP(D1306,Nombres!A:D,2,FALSE))</f>
        <v>Aguado</v>
      </c>
    </row>
    <row r="1307" spans="1:10" x14ac:dyDescent="0.25">
      <c r="A1307">
        <v>11</v>
      </c>
      <c r="B1307" s="1">
        <v>45968</v>
      </c>
      <c r="C1307" t="s">
        <v>7</v>
      </c>
      <c r="D1307" t="s">
        <v>166</v>
      </c>
      <c r="E1307" t="str">
        <f>IF(ISERROR(VLOOKUP(D1307,Nombres!A:D,4,FALSE)),"PROBLEMAAAAAA",VLOOKUP(D1307,Nombres!A:D,4,FALSE))</f>
        <v>MED</v>
      </c>
      <c r="F1307" t="str">
        <f>IF(ISERROR(VLOOKUP(D1307,Nombres!A:D,3,FALSE)),"PROBLEMAAAAAA",VLOOKUP(D1307,Nombres!A:D,3,FALSE))</f>
        <v>Betis</v>
      </c>
      <c r="G1307">
        <v>2</v>
      </c>
      <c r="H1307" s="2">
        <f t="shared" si="12"/>
        <v>200000</v>
      </c>
      <c r="I1307">
        <f t="shared" si="13"/>
        <v>3</v>
      </c>
      <c r="J1307" t="str">
        <f>IF(ISERROR(VLOOKUP(D1307,Nombres!A:D,2,FALSE)),"PROBLEMAAAAAA",VLOOKUP(D1307,Nombres!A:D,2,FALSE))</f>
        <v>Marc Roca</v>
      </c>
    </row>
    <row r="1308" spans="1:10" x14ac:dyDescent="0.25">
      <c r="A1308">
        <v>11</v>
      </c>
      <c r="B1308" s="1">
        <v>45968</v>
      </c>
      <c r="C1308" t="s">
        <v>7</v>
      </c>
      <c r="D1308" t="s">
        <v>231</v>
      </c>
      <c r="E1308" t="str">
        <f>IF(ISERROR(VLOOKUP(D1308,Nombres!A:D,4,FALSE)),"PROBLEMAAAAAA",VLOOKUP(D1308,Nombres!A:D,4,FALSE))</f>
        <v>MED</v>
      </c>
      <c r="F1308" t="str">
        <f>IF(ISERROR(VLOOKUP(D1308,Nombres!A:D,3,FALSE)),"PROBLEMAAAAAA",VLOOKUP(D1308,Nombres!A:D,3,FALSE))</f>
        <v>Rayo</v>
      </c>
      <c r="G1308">
        <v>0</v>
      </c>
      <c r="H1308" s="2">
        <f t="shared" si="12"/>
        <v>0</v>
      </c>
      <c r="I1308">
        <f t="shared" si="13"/>
        <v>3</v>
      </c>
      <c r="J1308" t="str">
        <f>IF(ISERROR(VLOOKUP(D1308,Nombres!A:D,2,FALSE)),"PROBLEMAAAAAA",VLOOKUP(D1308,Nombres!A:D,2,FALSE))</f>
        <v>Pathé Ciss</v>
      </c>
    </row>
    <row r="1309" spans="1:10" x14ac:dyDescent="0.25">
      <c r="A1309">
        <v>11</v>
      </c>
      <c r="B1309" s="1">
        <v>45968</v>
      </c>
      <c r="C1309" t="s">
        <v>7</v>
      </c>
      <c r="D1309" t="s">
        <v>320</v>
      </c>
      <c r="E1309" t="str">
        <f>IF(ISERROR(VLOOKUP(D1309,Nombres!A:D,4,FALSE)),"PROBLEMAAAAAA",VLOOKUP(D1309,Nombres!A:D,4,FALSE))</f>
        <v>MED</v>
      </c>
      <c r="F1309" t="str">
        <f>IF(ISERROR(VLOOKUP(D1309,Nombres!A:D,3,FALSE)),"PROBLEMAAAAAA",VLOOKUP(D1309,Nombres!A:D,3,FALSE))</f>
        <v>Elche</v>
      </c>
      <c r="G1309">
        <v>-1</v>
      </c>
      <c r="H1309" s="2">
        <f t="shared" si="12"/>
        <v>-100000</v>
      </c>
      <c r="I1309">
        <f t="shared" si="13"/>
        <v>3</v>
      </c>
      <c r="J1309" t="str">
        <f>IF(ISERROR(VLOOKUP(D1309,Nombres!A:D,2,FALSE)),"PROBLEMAAAAAA",VLOOKUP(D1309,Nombres!A:D,2,FALSE))</f>
        <v>Martim Neto</v>
      </c>
    </row>
    <row r="1310" spans="1:10" x14ac:dyDescent="0.25">
      <c r="A1310">
        <v>11</v>
      </c>
      <c r="B1310" s="1">
        <v>45968</v>
      </c>
      <c r="C1310" t="s">
        <v>7</v>
      </c>
      <c r="D1310" t="s">
        <v>766</v>
      </c>
      <c r="E1310" t="str">
        <f>IF(ISERROR(VLOOKUP(D1310,Nombres!A:D,4,FALSE)),"PROBLEMAAAAAA",VLOOKUP(D1310,Nombres!A:D,4,FALSE))</f>
        <v>DEL</v>
      </c>
      <c r="F1310" t="str">
        <f>IF(ISERROR(VLOOKUP(D1310,Nombres!A:D,3,FALSE)),"PROBLEMAAAAAA",VLOOKUP(D1310,Nombres!A:D,3,FALSE))</f>
        <v>Celta</v>
      </c>
      <c r="G1310">
        <v>3</v>
      </c>
      <c r="H1310" s="2">
        <f t="shared" si="12"/>
        <v>300000</v>
      </c>
      <c r="I1310">
        <f t="shared" si="13"/>
        <v>4</v>
      </c>
      <c r="J1310" t="str">
        <f>IF(ISERROR(VLOOKUP(D1310,Nombres!A:D,2,FALSE)),"PROBLEMAAAAAA",VLOOKUP(D1310,Nombres!A:D,2,FALSE))</f>
        <v>Iglesias</v>
      </c>
    </row>
    <row r="1311" spans="1:10" x14ac:dyDescent="0.25">
      <c r="A1311">
        <v>12</v>
      </c>
      <c r="B1311" s="1">
        <v>45968</v>
      </c>
      <c r="C1311" t="s">
        <v>7</v>
      </c>
      <c r="D1311" t="s">
        <v>54</v>
      </c>
      <c r="E1311" t="str">
        <f>IF(ISERROR(VLOOKUP(D1311,Nombres!A:D,4,FALSE)),"PROBLEMAAAAAA",VLOOKUP(D1311,Nombres!A:D,4,FALSE))</f>
        <v>POR</v>
      </c>
      <c r="F1311" t="str">
        <f>IF(ISERROR(VLOOKUP(D1311,Nombres!A:D,3,FALSE)),"PROBLEMAAAAAA",VLOOKUP(D1311,Nombres!A:D,3,FALSE))</f>
        <v>Atlético</v>
      </c>
      <c r="G1311">
        <v>4</v>
      </c>
      <c r="H1311" s="2">
        <f t="shared" si="12"/>
        <v>400000</v>
      </c>
      <c r="I1311">
        <f t="shared" si="13"/>
        <v>1</v>
      </c>
      <c r="J1311" t="str">
        <f>IF(ISERROR(VLOOKUP(D1311,Nombres!A:D,2,FALSE)),"PROBLEMAAAAAA",VLOOKUP(D1311,Nombres!A:D,2,FALSE))</f>
        <v>Oblak</v>
      </c>
    </row>
    <row r="1312" spans="1:10" x14ac:dyDescent="0.25">
      <c r="A1312">
        <v>12</v>
      </c>
      <c r="B1312" s="1">
        <v>45968</v>
      </c>
      <c r="C1312" t="s">
        <v>7</v>
      </c>
      <c r="D1312" t="s">
        <v>43</v>
      </c>
      <c r="E1312" t="str">
        <f>IF(ISERROR(VLOOKUP(D1312,Nombres!A:D,4,FALSE)),"PROBLEMAAAAAA",VLOOKUP(D1312,Nombres!A:D,4,FALSE))</f>
        <v>DEF</v>
      </c>
      <c r="F1312" t="str">
        <f>IF(ISERROR(VLOOKUP(D1312,Nombres!A:D,3,FALSE)),"PROBLEMAAAAAA",VLOOKUP(D1312,Nombres!A:D,3,FALSE))</f>
        <v>Athletic</v>
      </c>
      <c r="G1312">
        <v>0</v>
      </c>
      <c r="H1312" s="2">
        <f t="shared" si="12"/>
        <v>0</v>
      </c>
      <c r="I1312">
        <f t="shared" si="13"/>
        <v>2</v>
      </c>
      <c r="J1312" t="str">
        <f>IF(ISERROR(VLOOKUP(D1312,Nombres!A:D,2,FALSE)),"PROBLEMAAAAAA",VLOOKUP(D1312,Nombres!A:D,2,FALSE))</f>
        <v>Paredes</v>
      </c>
    </row>
    <row r="1313" spans="1:10" x14ac:dyDescent="0.25">
      <c r="A1313">
        <v>12</v>
      </c>
      <c r="B1313" s="1">
        <v>45968</v>
      </c>
      <c r="C1313" t="s">
        <v>7</v>
      </c>
      <c r="D1313" t="s">
        <v>160</v>
      </c>
      <c r="E1313" t="str">
        <f>IF(ISERROR(VLOOKUP(D1313,Nombres!A:D,4,FALSE)),"PROBLEMAAAAAA",VLOOKUP(D1313,Nombres!A:D,4,FALSE))</f>
        <v>DEF</v>
      </c>
      <c r="F1313" t="str">
        <f>IF(ISERROR(VLOOKUP(D1313,Nombres!A:D,3,FALSE)),"PROBLEMAAAAAA",VLOOKUP(D1313,Nombres!A:D,3,FALSE))</f>
        <v>Real Sociedad</v>
      </c>
      <c r="G1313">
        <v>3</v>
      </c>
      <c r="H1313" s="2">
        <f t="shared" si="12"/>
        <v>300000</v>
      </c>
      <c r="I1313">
        <f t="shared" si="13"/>
        <v>2</v>
      </c>
      <c r="J1313" t="str">
        <f>IF(ISERROR(VLOOKUP(D1313,Nombres!A:D,2,FALSE)),"PROBLEMAAAAAA",VLOOKUP(D1313,Nombres!A:D,2,FALSE))</f>
        <v>Sergio Gómez</v>
      </c>
    </row>
    <row r="1314" spans="1:10" x14ac:dyDescent="0.25">
      <c r="A1314">
        <v>12</v>
      </c>
      <c r="B1314" s="1">
        <v>45968</v>
      </c>
      <c r="C1314" t="s">
        <v>7</v>
      </c>
      <c r="D1314" t="s">
        <v>522</v>
      </c>
      <c r="E1314" t="str">
        <f>IF(ISERROR(VLOOKUP(D1314,Nombres!A:D,4,FALSE)),"PROBLEMAAAAAA",VLOOKUP(D1314,Nombres!A:D,4,FALSE))</f>
        <v>DEF</v>
      </c>
      <c r="F1314" t="str">
        <f>IF(ISERROR(VLOOKUP(D1314,Nombres!A:D,3,FALSE)),"PROBLEMAAAAAA",VLOOKUP(D1314,Nombres!A:D,3,FALSE))</f>
        <v>Sevilla</v>
      </c>
      <c r="G1314">
        <v>8</v>
      </c>
      <c r="H1314" s="2">
        <f t="shared" si="12"/>
        <v>800000</v>
      </c>
      <c r="I1314">
        <f t="shared" si="13"/>
        <v>2</v>
      </c>
      <c r="J1314" t="str">
        <f>IF(ISERROR(VLOOKUP(D1314,Nombres!A:D,2,FALSE)),"PROBLEMAAAAAA",VLOOKUP(D1314,Nombres!A:D,2,FALSE))</f>
        <v>Carmona</v>
      </c>
    </row>
    <row r="1315" spans="1:10" x14ac:dyDescent="0.25">
      <c r="A1315">
        <v>12</v>
      </c>
      <c r="B1315" s="1">
        <v>45968</v>
      </c>
      <c r="C1315" t="s">
        <v>7</v>
      </c>
      <c r="D1315" t="s">
        <v>87</v>
      </c>
      <c r="E1315" t="str">
        <f>IF(ISERROR(VLOOKUP(D1315,Nombres!A:D,4,FALSE)),"PROBLEMAAAAAA",VLOOKUP(D1315,Nombres!A:D,4,FALSE))</f>
        <v>MED</v>
      </c>
      <c r="F1315" t="str">
        <f>IF(ISERROR(VLOOKUP(D1315,Nombres!A:D,3,FALSE)),"PROBLEMAAAAAA",VLOOKUP(D1315,Nombres!A:D,3,FALSE))</f>
        <v>Alavés</v>
      </c>
      <c r="G1315">
        <v>2</v>
      </c>
      <c r="H1315" s="2">
        <f t="shared" si="12"/>
        <v>200000</v>
      </c>
      <c r="I1315">
        <f t="shared" si="13"/>
        <v>3</v>
      </c>
      <c r="J1315" t="str">
        <f>IF(ISERROR(VLOOKUP(D1315,Nombres!A:D,2,FALSE)),"PROBLEMAAAAAA",VLOOKUP(D1315,Nombres!A:D,2,FALSE))</f>
        <v>Guridi</v>
      </c>
    </row>
    <row r="1316" spans="1:10" x14ac:dyDescent="0.25">
      <c r="A1316">
        <v>12</v>
      </c>
      <c r="B1316" s="1">
        <v>45968</v>
      </c>
      <c r="C1316" t="s">
        <v>7</v>
      </c>
      <c r="D1316" t="s">
        <v>320</v>
      </c>
      <c r="E1316" t="str">
        <f>IF(ISERROR(VLOOKUP(D1316,Nombres!A:D,4,FALSE)),"PROBLEMAAAAAA",VLOOKUP(D1316,Nombres!A:D,4,FALSE))</f>
        <v>MED</v>
      </c>
      <c r="F1316" t="str">
        <f>IF(ISERROR(VLOOKUP(D1316,Nombres!A:D,3,FALSE)),"PROBLEMAAAAAA",VLOOKUP(D1316,Nombres!A:D,3,FALSE))</f>
        <v>Elche</v>
      </c>
      <c r="G1316">
        <v>0</v>
      </c>
      <c r="H1316" s="2">
        <f t="shared" si="12"/>
        <v>0</v>
      </c>
      <c r="I1316">
        <f t="shared" si="13"/>
        <v>3</v>
      </c>
      <c r="J1316" t="str">
        <f>IF(ISERROR(VLOOKUP(D1316,Nombres!A:D,2,FALSE)),"PROBLEMAAAAAA",VLOOKUP(D1316,Nombres!A:D,2,FALSE))</f>
        <v>Martim Neto</v>
      </c>
    </row>
    <row r="1317" spans="1:10" x14ac:dyDescent="0.25">
      <c r="A1317">
        <v>12</v>
      </c>
      <c r="B1317" s="1">
        <v>45968</v>
      </c>
      <c r="C1317" t="s">
        <v>7</v>
      </c>
      <c r="D1317" t="s">
        <v>232</v>
      </c>
      <c r="E1317" t="str">
        <f>IF(ISERROR(VLOOKUP(D1317,Nombres!A:D,4,FALSE)),"PROBLEMAAAAAA",VLOOKUP(D1317,Nombres!A:D,4,FALSE))</f>
        <v>MED</v>
      </c>
      <c r="F1317" t="str">
        <f>IF(ISERROR(VLOOKUP(D1317,Nombres!A:D,3,FALSE)),"PROBLEMAAAAAA",VLOOKUP(D1317,Nombres!A:D,3,FALSE))</f>
        <v>Real Sociedad</v>
      </c>
      <c r="G1317">
        <v>4</v>
      </c>
      <c r="H1317" s="2">
        <f t="shared" si="12"/>
        <v>400000</v>
      </c>
      <c r="I1317">
        <f t="shared" si="13"/>
        <v>3</v>
      </c>
      <c r="J1317" t="str">
        <f>IF(ISERROR(VLOOKUP(D1317,Nombres!A:D,2,FALSE)),"PROBLEMAAAAAA",VLOOKUP(D1317,Nombres!A:D,2,FALSE))</f>
        <v>Kubo</v>
      </c>
    </row>
    <row r="1318" spans="1:10" x14ac:dyDescent="0.25">
      <c r="A1318">
        <v>12</v>
      </c>
      <c r="B1318" s="1">
        <v>45968</v>
      </c>
      <c r="C1318" t="s">
        <v>7</v>
      </c>
      <c r="D1318" t="s">
        <v>176</v>
      </c>
      <c r="E1318" t="str">
        <f>IF(ISERROR(VLOOKUP(D1318,Nombres!A:D,4,FALSE)),"PROBLEMAAAAAA",VLOOKUP(D1318,Nombres!A:D,4,FALSE))</f>
        <v>MED</v>
      </c>
      <c r="F1318" t="str">
        <f>IF(ISERROR(VLOOKUP(D1318,Nombres!A:D,3,FALSE)),"PROBLEMAAAAAA",VLOOKUP(D1318,Nombres!A:D,3,FALSE))</f>
        <v>Athletic</v>
      </c>
      <c r="G1318">
        <v>7</v>
      </c>
      <c r="H1318" s="2">
        <f t="shared" si="12"/>
        <v>700000</v>
      </c>
      <c r="I1318">
        <f t="shared" si="13"/>
        <v>3</v>
      </c>
      <c r="J1318" t="str">
        <f>IF(ISERROR(VLOOKUP(D1318,Nombres!A:D,2,FALSE)),"PROBLEMAAAAAA",VLOOKUP(D1318,Nombres!A:D,2,FALSE))</f>
        <v>Jauregizar</v>
      </c>
    </row>
    <row r="1319" spans="1:10" x14ac:dyDescent="0.25">
      <c r="A1319">
        <v>12</v>
      </c>
      <c r="B1319" s="1">
        <v>45968</v>
      </c>
      <c r="C1319" t="s">
        <v>7</v>
      </c>
      <c r="D1319" t="s">
        <v>766</v>
      </c>
      <c r="E1319" t="str">
        <f>IF(ISERROR(VLOOKUP(D1319,Nombres!A:D,4,FALSE)),"PROBLEMAAAAAA",VLOOKUP(D1319,Nombres!A:D,4,FALSE))</f>
        <v>DEL</v>
      </c>
      <c r="F1319" t="str">
        <f>IF(ISERROR(VLOOKUP(D1319,Nombres!A:D,3,FALSE)),"PROBLEMAAAAAA",VLOOKUP(D1319,Nombres!A:D,3,FALSE))</f>
        <v>Celta</v>
      </c>
      <c r="G1319">
        <v>14</v>
      </c>
      <c r="H1319" s="2">
        <f t="shared" si="12"/>
        <v>1400000</v>
      </c>
      <c r="I1319">
        <f t="shared" si="13"/>
        <v>4</v>
      </c>
      <c r="J1319" t="str">
        <f>IF(ISERROR(VLOOKUP(D1319,Nombres!A:D,2,FALSE)),"PROBLEMAAAAAA",VLOOKUP(D1319,Nombres!A:D,2,FALSE))</f>
        <v>Iglesias</v>
      </c>
    </row>
    <row r="1320" spans="1:10" x14ac:dyDescent="0.25">
      <c r="A1320">
        <v>12</v>
      </c>
      <c r="B1320" s="1">
        <v>45968</v>
      </c>
      <c r="C1320" t="s">
        <v>7</v>
      </c>
      <c r="D1320" t="s">
        <v>784</v>
      </c>
      <c r="E1320" t="str">
        <f>IF(ISERROR(VLOOKUP(D1320,Nombres!A:D,4,FALSE)),"PROBLEMAAAAAA",VLOOKUP(D1320,Nombres!A:D,4,FALSE))</f>
        <v>DEL</v>
      </c>
      <c r="F1320" t="str">
        <f>IF(ISERROR(VLOOKUP(D1320,Nombres!A:D,3,FALSE)),"PROBLEMAAAAAA",VLOOKUP(D1320,Nombres!A:D,3,FALSE))</f>
        <v>Girona</v>
      </c>
      <c r="G1320">
        <v>3</v>
      </c>
      <c r="H1320" s="2">
        <f t="shared" si="12"/>
        <v>300000</v>
      </c>
      <c r="I1320">
        <f t="shared" si="13"/>
        <v>4</v>
      </c>
      <c r="J1320" t="str">
        <f>IF(ISERROR(VLOOKUP(D1320,Nombres!A:D,2,FALSE)),"PROBLEMAAAAAA",VLOOKUP(D1320,Nombres!A:D,2,FALSE))</f>
        <v>Roca</v>
      </c>
    </row>
    <row r="1321" spans="1:10" x14ac:dyDescent="0.25">
      <c r="A1321">
        <v>12</v>
      </c>
      <c r="B1321" s="1">
        <v>45968</v>
      </c>
      <c r="C1321" t="s">
        <v>7</v>
      </c>
      <c r="D1321" t="s">
        <v>426</v>
      </c>
      <c r="E1321" t="str">
        <f>IF(ISERROR(VLOOKUP(D1321,Nombres!A:D,4,FALSE)),"PROBLEMAAAAAA",VLOOKUP(D1321,Nombres!A:D,4,FALSE))</f>
        <v>DEL</v>
      </c>
      <c r="F1321" t="str">
        <f>IF(ISERROR(VLOOKUP(D1321,Nombres!A:D,3,FALSE)),"PROBLEMAAAAAA",VLOOKUP(D1321,Nombres!A:D,3,FALSE))</f>
        <v>Espanyol</v>
      </c>
      <c r="G1321">
        <v>1</v>
      </c>
      <c r="H1321" s="2">
        <f t="shared" si="12"/>
        <v>100000</v>
      </c>
      <c r="I1321">
        <f t="shared" si="13"/>
        <v>4</v>
      </c>
      <c r="J1321" t="str">
        <f>IF(ISERROR(VLOOKUP(D1321,Nombres!A:D,2,FALSE)),"PROBLEMAAAAAA",VLOOKUP(D1321,Nombres!A:D,2,FALSE))</f>
        <v>Pere Milla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1C2A6-A4EF-4733-AA9D-A9EF54DB2F61}">
  <dimension ref="A1:P152"/>
  <sheetViews>
    <sheetView workbookViewId="0">
      <selection activeCell="F4" sqref="F4"/>
    </sheetView>
  </sheetViews>
  <sheetFormatPr baseColWidth="10" defaultRowHeight="15" x14ac:dyDescent="0.25"/>
  <cols>
    <col min="1" max="1" width="8.7109375" bestFit="1" customWidth="1"/>
    <col min="2" max="2" width="21.7109375" bestFit="1" customWidth="1"/>
    <col min="3" max="3" width="13.7109375" style="1" bestFit="1" customWidth="1"/>
    <col min="4" max="4" width="14.140625" style="2" bestFit="1" customWidth="1"/>
    <col min="8" max="8" width="11.7109375" style="1" bestFit="1" customWidth="1"/>
    <col min="9" max="9" width="14.140625" style="2" bestFit="1" customWidth="1"/>
    <col min="13" max="13" width="11.42578125" style="1"/>
    <col min="14" max="15" width="14.140625" style="2" bestFit="1" customWidth="1"/>
    <col min="16" max="16" width="12.28515625" bestFit="1" customWidth="1"/>
  </cols>
  <sheetData>
    <row r="1" spans="1:16" x14ac:dyDescent="0.25">
      <c r="A1" s="3" t="s">
        <v>94</v>
      </c>
      <c r="B1" t="s">
        <v>6</v>
      </c>
    </row>
    <row r="2" spans="1:16" x14ac:dyDescent="0.25">
      <c r="A2" t="s">
        <v>188</v>
      </c>
      <c r="K2" t="s">
        <v>189</v>
      </c>
    </row>
    <row r="3" spans="1:16" x14ac:dyDescent="0.25">
      <c r="A3" t="s">
        <v>75</v>
      </c>
      <c r="B3" t="s">
        <v>25</v>
      </c>
      <c r="C3" s="1" t="s">
        <v>76</v>
      </c>
      <c r="D3" s="2" t="s">
        <v>95</v>
      </c>
      <c r="E3" t="s">
        <v>190</v>
      </c>
      <c r="K3" t="s">
        <v>75</v>
      </c>
      <c r="L3" t="s">
        <v>25</v>
      </c>
      <c r="M3" s="1" t="s">
        <v>93</v>
      </c>
      <c r="N3" s="2" t="s">
        <v>96</v>
      </c>
      <c r="O3" s="2" t="s">
        <v>95</v>
      </c>
      <c r="P3" t="s">
        <v>280</v>
      </c>
    </row>
    <row r="4" spans="1:16" x14ac:dyDescent="0.25">
      <c r="A4" t="str" cm="1">
        <f t="array" ref="A4:A85">_xlfn._xlws.FILTER(Fichajes!C:C,Fichajes!G:G=B1)</f>
        <v>DEF</v>
      </c>
      <c r="B4" t="str" cm="1">
        <f t="array" ref="B4:B85">_xlfn._xlws.FILTER(Fichajes!B:B,Fichajes!G:G=B1)</f>
        <v>Alderete</v>
      </c>
      <c r="C4" s="1" cm="1">
        <f t="array" ref="C4:C85">_xlfn._xlws.FILTER(Fichajes!F:F,Fichajes!$G:$G=$B1)</f>
        <v>45872</v>
      </c>
      <c r="D4" s="2" cm="1">
        <f t="array" ref="D4:D85">_xlfn._xlws.FILTER(Fichajes!I:I,Fichajes!$G:$G=$B1)</f>
        <v>0</v>
      </c>
      <c r="E4" t="str">
        <f t="shared" ref="E4:E67" si="0">IF(B4="","",IFERROR(
   IF(
      (VLOOKUP(B4,K:N,3,FALSE)) &lt; C4,
      "X",
      ""
   ),
   "X")
)</f>
        <v/>
      </c>
      <c r="K4" t="str" cm="1">
        <f t="array" ref="K4:K64">_xlfn._xlws.FILTER(Fichajes!B:B,Fichajes!$H:$H=B$1)</f>
        <v>Carvajal</v>
      </c>
      <c r="L4" t="str" cm="1">
        <f t="array" ref="L4:L64">_xlfn._xlws.FILTER(Fichajes!C:C,Fichajes!$H:$H=B$1)</f>
        <v>DEF</v>
      </c>
      <c r="M4" s="1" cm="1">
        <f t="array" ref="M4:M64">_xlfn._xlws.FILTER(Fichajes!F:F,Fichajes!$H:$H=B$1)</f>
        <v>45878</v>
      </c>
      <c r="N4" s="2" cm="1">
        <f t="array" ref="N4:N64">_xlfn._xlws.FILTER(Fichajes!I:I,Fichajes!$H:$H=B$1)</f>
        <v>27257064</v>
      </c>
      <c r="O4" s="2">
        <f t="shared" ref="O4:O14" si="1">IF(ISBLANK(N4),"",VLOOKUP(K4,B:D,3,FALSE))</f>
        <v>0</v>
      </c>
      <c r="P4" s="2">
        <f t="shared" ref="P4:P14" si="2">IF(ISBLANK(N4),"",N4-O4)</f>
        <v>27257064</v>
      </c>
    </row>
    <row r="5" spans="1:16" x14ac:dyDescent="0.25">
      <c r="A5" t="str">
        <v>DEL</v>
      </c>
      <c r="B5" t="str">
        <v>Asano</v>
      </c>
      <c r="C5" s="1">
        <v>45872</v>
      </c>
      <c r="D5" s="2">
        <v>0</v>
      </c>
      <c r="E5" t="str">
        <f t="shared" si="0"/>
        <v/>
      </c>
      <c r="K5" t="str">
        <v>D. Llorente</v>
      </c>
      <c r="L5" t="str">
        <v>DEF</v>
      </c>
      <c r="M5" s="1">
        <v>45878</v>
      </c>
      <c r="N5" s="2">
        <v>8482120</v>
      </c>
      <c r="O5" s="2">
        <f t="shared" si="1"/>
        <v>0</v>
      </c>
      <c r="P5" s="2">
        <f t="shared" si="2"/>
        <v>8482120</v>
      </c>
    </row>
    <row r="6" spans="1:16" x14ac:dyDescent="0.25">
      <c r="A6" t="str">
        <v>DEL</v>
      </c>
      <c r="B6" t="str">
        <v>Bakambu</v>
      </c>
      <c r="C6" s="1">
        <v>45872</v>
      </c>
      <c r="D6" s="2">
        <v>0</v>
      </c>
      <c r="E6" t="str">
        <f t="shared" si="0"/>
        <v/>
      </c>
      <c r="K6" t="str">
        <v>Alderete</v>
      </c>
      <c r="L6" t="str">
        <v>DEF</v>
      </c>
      <c r="M6" s="1">
        <v>45879</v>
      </c>
      <c r="N6" s="2">
        <v>10527479</v>
      </c>
      <c r="O6" s="2">
        <f t="shared" si="1"/>
        <v>0</v>
      </c>
      <c r="P6" s="2">
        <f t="shared" si="2"/>
        <v>10527479</v>
      </c>
    </row>
    <row r="7" spans="1:16" x14ac:dyDescent="0.25">
      <c r="A7" t="str">
        <v>DEF</v>
      </c>
      <c r="B7" t="str">
        <v>Carvajal</v>
      </c>
      <c r="C7" s="1">
        <v>45872</v>
      </c>
      <c r="D7" s="2">
        <v>0</v>
      </c>
      <c r="E7" t="str">
        <f t="shared" si="0"/>
        <v/>
      </c>
      <c r="K7" t="str">
        <v>Van de Beek</v>
      </c>
      <c r="L7" t="str">
        <v>MED</v>
      </c>
      <c r="M7" s="1">
        <v>45879</v>
      </c>
      <c r="N7" s="2">
        <v>3909069</v>
      </c>
      <c r="O7" s="2">
        <f t="shared" si="1"/>
        <v>0</v>
      </c>
      <c r="P7" s="2">
        <f t="shared" si="2"/>
        <v>3909069</v>
      </c>
    </row>
    <row r="8" spans="1:16" x14ac:dyDescent="0.25">
      <c r="A8" t="str">
        <v>DEF</v>
      </c>
      <c r="B8" t="str">
        <v>David López</v>
      </c>
      <c r="C8" s="1">
        <v>45872</v>
      </c>
      <c r="D8" s="2">
        <v>0</v>
      </c>
      <c r="E8" t="str">
        <f t="shared" si="0"/>
        <v/>
      </c>
      <c r="K8" t="str">
        <v>Ejuke</v>
      </c>
      <c r="L8" t="str">
        <v>DEL</v>
      </c>
      <c r="M8" s="1">
        <v>45881</v>
      </c>
      <c r="N8" s="2">
        <v>4000000</v>
      </c>
      <c r="O8" s="2">
        <f t="shared" si="1"/>
        <v>0</v>
      </c>
      <c r="P8" s="2">
        <f t="shared" si="2"/>
        <v>4000000</v>
      </c>
    </row>
    <row r="9" spans="1:16" x14ac:dyDescent="0.25">
      <c r="A9" t="str">
        <v>DEL</v>
      </c>
      <c r="B9" t="str">
        <v>Ejuke</v>
      </c>
      <c r="C9" s="1">
        <v>45872</v>
      </c>
      <c r="D9" s="2">
        <v>0</v>
      </c>
      <c r="E9" t="str">
        <f t="shared" si="0"/>
        <v/>
      </c>
      <c r="K9" t="str">
        <v>Bakambu</v>
      </c>
      <c r="L9" t="str">
        <v>DEL</v>
      </c>
      <c r="M9" s="1">
        <v>45883</v>
      </c>
      <c r="N9" s="2">
        <v>3345761</v>
      </c>
      <c r="O9" s="2">
        <f t="shared" si="1"/>
        <v>0</v>
      </c>
      <c r="P9" s="2">
        <f t="shared" si="2"/>
        <v>3345761</v>
      </c>
    </row>
    <row r="10" spans="1:16" x14ac:dyDescent="0.25">
      <c r="A10" t="str">
        <v>MED</v>
      </c>
      <c r="B10" t="str">
        <v>Guridi</v>
      </c>
      <c r="C10" s="1">
        <v>45872</v>
      </c>
      <c r="D10" s="2">
        <v>0</v>
      </c>
      <c r="E10" t="str">
        <f t="shared" si="0"/>
        <v/>
      </c>
      <c r="K10" t="str">
        <v>Traore</v>
      </c>
      <c r="L10" t="str">
        <v>DEF</v>
      </c>
      <c r="M10" s="1">
        <v>45883</v>
      </c>
      <c r="N10" s="2">
        <v>7269464</v>
      </c>
      <c r="O10" s="2">
        <f t="shared" si="1"/>
        <v>0</v>
      </c>
      <c r="P10" s="2">
        <f t="shared" si="2"/>
        <v>7269464</v>
      </c>
    </row>
    <row r="11" spans="1:16" x14ac:dyDescent="0.25">
      <c r="A11" t="str">
        <v>POR</v>
      </c>
      <c r="B11" t="str">
        <v>Leo Román</v>
      </c>
      <c r="C11" s="1">
        <v>45872</v>
      </c>
      <c r="D11" s="2">
        <v>0</v>
      </c>
      <c r="E11" t="str">
        <f t="shared" si="0"/>
        <v/>
      </c>
      <c r="K11" t="str">
        <v>Leo Román</v>
      </c>
      <c r="L11" t="str">
        <v>POR</v>
      </c>
      <c r="M11" s="1">
        <v>45887</v>
      </c>
      <c r="N11" s="2">
        <v>10938553</v>
      </c>
      <c r="O11" s="2">
        <f t="shared" si="1"/>
        <v>0</v>
      </c>
      <c r="P11" s="2">
        <f t="shared" si="2"/>
        <v>10938553</v>
      </c>
    </row>
    <row r="12" spans="1:16" x14ac:dyDescent="0.25">
      <c r="A12" t="str">
        <v>DEF</v>
      </c>
      <c r="B12" t="str">
        <v>D. Llorente</v>
      </c>
      <c r="C12" s="1">
        <v>45872</v>
      </c>
      <c r="D12" s="2">
        <v>0</v>
      </c>
      <c r="E12" t="str">
        <f t="shared" si="0"/>
        <v/>
      </c>
      <c r="K12" t="str">
        <v>Muriqi</v>
      </c>
      <c r="L12" t="str">
        <v>DEL</v>
      </c>
      <c r="M12" s="1">
        <v>45887</v>
      </c>
      <c r="N12" s="2">
        <v>27117936</v>
      </c>
      <c r="O12" s="2">
        <f t="shared" si="1"/>
        <v>36787048</v>
      </c>
      <c r="P12" s="2">
        <f t="shared" si="2"/>
        <v>-9669112</v>
      </c>
    </row>
    <row r="13" spans="1:16" x14ac:dyDescent="0.25">
      <c r="A13" t="str">
        <v>MED</v>
      </c>
      <c r="B13" t="str">
        <v>Moncayola</v>
      </c>
      <c r="C13" s="1">
        <v>45872</v>
      </c>
      <c r="D13" s="2">
        <v>0</v>
      </c>
      <c r="E13" t="str">
        <f t="shared" si="0"/>
        <v/>
      </c>
      <c r="K13" t="str">
        <v>Terrats</v>
      </c>
      <c r="L13" t="str">
        <v>MED</v>
      </c>
      <c r="M13" s="1">
        <v>45887</v>
      </c>
      <c r="N13" s="2">
        <v>8502173</v>
      </c>
      <c r="O13" s="2">
        <f t="shared" si="1"/>
        <v>0</v>
      </c>
      <c r="P13" s="2">
        <f t="shared" si="2"/>
        <v>8502173</v>
      </c>
    </row>
    <row r="14" spans="1:16" x14ac:dyDescent="0.25">
      <c r="A14" t="str">
        <v>MED</v>
      </c>
      <c r="B14" t="str">
        <v>Terrats</v>
      </c>
      <c r="C14" s="1">
        <v>45872</v>
      </c>
      <c r="D14" s="2">
        <v>0</v>
      </c>
      <c r="E14" t="str">
        <f t="shared" si="0"/>
        <v/>
      </c>
      <c r="K14" t="str">
        <v>Thomas</v>
      </c>
      <c r="L14" t="str">
        <v>MED</v>
      </c>
      <c r="M14" s="1">
        <v>45889</v>
      </c>
      <c r="N14" s="2">
        <v>13815509</v>
      </c>
      <c r="O14" s="2">
        <f t="shared" si="1"/>
        <v>20000001</v>
      </c>
      <c r="P14" s="2">
        <f t="shared" si="2"/>
        <v>-6184492</v>
      </c>
    </row>
    <row r="15" spans="1:16" x14ac:dyDescent="0.25">
      <c r="A15" t="str">
        <v>MED</v>
      </c>
      <c r="B15" t="str">
        <v>Torró</v>
      </c>
      <c r="C15" s="1">
        <v>45872</v>
      </c>
      <c r="D15" s="2">
        <v>0</v>
      </c>
      <c r="E15" t="str">
        <f t="shared" si="0"/>
        <v/>
      </c>
      <c r="K15" t="str">
        <v>Balliu</v>
      </c>
      <c r="L15" t="str">
        <v>DEF</v>
      </c>
      <c r="M15" s="1">
        <v>45891</v>
      </c>
      <c r="N15" s="2">
        <v>3427255</v>
      </c>
      <c r="O15" s="2">
        <f>IF(ISBLANK(N15),"",VLOOKUP(K15,B:D,3,FALSE))</f>
        <v>9500010</v>
      </c>
      <c r="P15" s="2">
        <f>IF(ISBLANK(N15),"",N15-O15)</f>
        <v>-6072755</v>
      </c>
    </row>
    <row r="16" spans="1:16" x14ac:dyDescent="0.25">
      <c r="A16" t="str">
        <v>DEF</v>
      </c>
      <c r="B16" t="str">
        <v>Traore</v>
      </c>
      <c r="C16" s="1">
        <v>45872</v>
      </c>
      <c r="D16" s="2">
        <v>0</v>
      </c>
      <c r="E16" t="str">
        <f t="shared" si="0"/>
        <v/>
      </c>
      <c r="K16" t="str">
        <v>Asano</v>
      </c>
      <c r="L16" t="str">
        <v>DEL</v>
      </c>
      <c r="M16" s="1">
        <v>45895</v>
      </c>
      <c r="N16" s="2">
        <v>2247494</v>
      </c>
      <c r="O16" s="2">
        <f t="shared" ref="O16:O48" si="3">IF(ISBLANK(N16),"",VLOOKUP(K16,B:D,3,FALSE))</f>
        <v>0</v>
      </c>
      <c r="P16" s="2">
        <f t="shared" ref="P16:P48" si="4">IF(ISBLANK(N16),"",N16-O16)</f>
        <v>2247494</v>
      </c>
    </row>
    <row r="17" spans="1:16" x14ac:dyDescent="0.25">
      <c r="A17" t="str">
        <v>MED</v>
      </c>
      <c r="B17" t="str">
        <v>Van de Beek</v>
      </c>
      <c r="C17" s="1">
        <v>45872</v>
      </c>
      <c r="D17" s="2">
        <v>0</v>
      </c>
      <c r="E17" t="str">
        <f t="shared" si="0"/>
        <v/>
      </c>
      <c r="K17" t="str">
        <v>David López</v>
      </c>
      <c r="L17" t="str">
        <v>DEF</v>
      </c>
      <c r="M17" s="1">
        <v>45899</v>
      </c>
      <c r="N17" s="2">
        <v>5468358</v>
      </c>
      <c r="O17" s="2">
        <f t="shared" si="3"/>
        <v>0</v>
      </c>
      <c r="P17" s="2">
        <f t="shared" si="4"/>
        <v>5468358</v>
      </c>
    </row>
    <row r="18" spans="1:16" x14ac:dyDescent="0.25">
      <c r="A18" t="str">
        <v>DEF</v>
      </c>
      <c r="B18" t="str">
        <v>Le Normand</v>
      </c>
      <c r="C18" s="1">
        <v>45873</v>
      </c>
      <c r="D18" s="2">
        <v>46001545</v>
      </c>
      <c r="E18" t="str">
        <f t="shared" si="0"/>
        <v/>
      </c>
      <c r="K18" t="str">
        <v>Araújo</v>
      </c>
      <c r="L18" t="str">
        <v>DEF</v>
      </c>
      <c r="M18" s="1">
        <v>45900</v>
      </c>
      <c r="N18" s="2">
        <v>34525230</v>
      </c>
      <c r="O18" s="2">
        <f t="shared" si="3"/>
        <v>32174441</v>
      </c>
      <c r="P18" s="2">
        <f t="shared" si="4"/>
        <v>2350789</v>
      </c>
    </row>
    <row r="19" spans="1:16" x14ac:dyDescent="0.25">
      <c r="A19" t="str">
        <v>DEL</v>
      </c>
      <c r="B19" t="str">
        <v>Muriqi</v>
      </c>
      <c r="C19" s="1">
        <v>45873</v>
      </c>
      <c r="D19" s="2">
        <v>36787048</v>
      </c>
      <c r="E19" t="str">
        <f t="shared" si="0"/>
        <v/>
      </c>
      <c r="K19" t="str">
        <v>Le Normand</v>
      </c>
      <c r="L19" t="str">
        <v>DEF</v>
      </c>
      <c r="M19" s="1">
        <v>45900</v>
      </c>
      <c r="N19" s="2">
        <v>33470466</v>
      </c>
      <c r="O19" s="2">
        <f t="shared" si="3"/>
        <v>46001545</v>
      </c>
      <c r="P19" s="2">
        <f t="shared" si="4"/>
        <v>-12531079</v>
      </c>
    </row>
    <row r="20" spans="1:16" x14ac:dyDescent="0.25">
      <c r="A20" t="str">
        <v>DEL</v>
      </c>
      <c r="B20" t="str">
        <v>Stuani</v>
      </c>
      <c r="C20" s="1">
        <v>45873</v>
      </c>
      <c r="D20" s="2">
        <v>8045718</v>
      </c>
      <c r="E20" t="str">
        <f t="shared" si="0"/>
        <v/>
      </c>
      <c r="K20" t="str">
        <v>Stuani</v>
      </c>
      <c r="L20" t="str">
        <v>DEL</v>
      </c>
      <c r="M20" s="1">
        <v>45900</v>
      </c>
      <c r="N20" s="2">
        <v>2497306</v>
      </c>
      <c r="O20" s="2">
        <f t="shared" si="3"/>
        <v>8045718</v>
      </c>
      <c r="P20" s="2">
        <f t="shared" si="4"/>
        <v>-5548412</v>
      </c>
    </row>
    <row r="21" spans="1:16" x14ac:dyDescent="0.25">
      <c r="A21" t="str">
        <v>MED</v>
      </c>
      <c r="B21" t="str">
        <v>Coba</v>
      </c>
      <c r="C21" s="1">
        <v>45877</v>
      </c>
      <c r="D21" s="2">
        <v>1200000</v>
      </c>
      <c r="E21" t="str">
        <f t="shared" si="0"/>
        <v/>
      </c>
      <c r="K21" t="str">
        <v>Dmitrovic</v>
      </c>
      <c r="L21" t="str">
        <v>POR</v>
      </c>
      <c r="M21" s="1">
        <v>45901</v>
      </c>
      <c r="N21" s="2">
        <v>14107143</v>
      </c>
      <c r="O21" s="2">
        <f t="shared" si="3"/>
        <v>11146825</v>
      </c>
      <c r="P21" s="2">
        <f t="shared" si="4"/>
        <v>2960318</v>
      </c>
    </row>
    <row r="22" spans="1:16" x14ac:dyDescent="0.25">
      <c r="A22" t="str">
        <v>MED</v>
      </c>
      <c r="B22" t="str">
        <v>F. de Jong</v>
      </c>
      <c r="C22" s="1">
        <v>45877</v>
      </c>
      <c r="D22" s="2">
        <v>52000000</v>
      </c>
      <c r="E22" t="str">
        <f t="shared" si="0"/>
        <v/>
      </c>
      <c r="K22" t="str">
        <v>Coba</v>
      </c>
      <c r="L22" t="str">
        <v>MED</v>
      </c>
      <c r="M22" s="1">
        <v>45902</v>
      </c>
      <c r="N22" s="2">
        <v>397823</v>
      </c>
      <c r="O22" s="2">
        <f t="shared" si="3"/>
        <v>1200000</v>
      </c>
      <c r="P22" s="2">
        <f t="shared" si="4"/>
        <v>-802177</v>
      </c>
    </row>
    <row r="23" spans="1:16" x14ac:dyDescent="0.25">
      <c r="A23" t="str">
        <v>DEF</v>
      </c>
      <c r="B23" t="str">
        <v>Balliu</v>
      </c>
      <c r="C23" s="1">
        <v>45879</v>
      </c>
      <c r="D23" s="2">
        <v>9500010</v>
      </c>
      <c r="E23" t="str">
        <f t="shared" si="0"/>
        <v/>
      </c>
      <c r="K23" t="str">
        <v>Barrenetxea</v>
      </c>
      <c r="L23" t="str">
        <v>MED</v>
      </c>
      <c r="M23" s="1">
        <v>45908</v>
      </c>
      <c r="N23" s="2">
        <v>17498557</v>
      </c>
      <c r="O23" s="2">
        <f t="shared" si="3"/>
        <v>5678911</v>
      </c>
      <c r="P23" s="2">
        <f t="shared" si="4"/>
        <v>11819646</v>
      </c>
    </row>
    <row r="24" spans="1:16" x14ac:dyDescent="0.25">
      <c r="A24" t="str">
        <v>DEF</v>
      </c>
      <c r="B24" t="str">
        <v>Alhassane</v>
      </c>
      <c r="C24" s="1">
        <v>45879</v>
      </c>
      <c r="D24" s="2">
        <v>5884101</v>
      </c>
      <c r="E24" t="str">
        <f t="shared" si="0"/>
        <v>X</v>
      </c>
      <c r="K24" t="str">
        <v>F. de Jong</v>
      </c>
      <c r="L24" t="str">
        <v>MED</v>
      </c>
      <c r="M24" s="1">
        <v>45909</v>
      </c>
      <c r="N24" s="2">
        <v>51562350</v>
      </c>
      <c r="O24" s="2">
        <f t="shared" si="3"/>
        <v>52000000</v>
      </c>
      <c r="P24" s="2">
        <f t="shared" si="4"/>
        <v>-437650</v>
      </c>
    </row>
    <row r="25" spans="1:16" x14ac:dyDescent="0.25">
      <c r="A25" t="str">
        <v>DEF</v>
      </c>
      <c r="B25" t="str">
        <v>Araújo</v>
      </c>
      <c r="C25" s="1">
        <v>45881</v>
      </c>
      <c r="D25" s="2">
        <v>32174441</v>
      </c>
      <c r="E25" t="str">
        <f t="shared" si="0"/>
        <v/>
      </c>
      <c r="K25" t="str">
        <v>Etta Eyong</v>
      </c>
      <c r="L25" t="str">
        <v>DEL</v>
      </c>
      <c r="M25" s="1">
        <v>45914</v>
      </c>
      <c r="N25" s="2">
        <v>45041480</v>
      </c>
      <c r="O25" s="2">
        <f t="shared" si="3"/>
        <v>20445215</v>
      </c>
      <c r="P25" s="2">
        <f t="shared" si="4"/>
        <v>24596265</v>
      </c>
    </row>
    <row r="26" spans="1:16" x14ac:dyDescent="0.25">
      <c r="A26" t="str">
        <v>DEF</v>
      </c>
      <c r="B26" t="str">
        <v>Luengo</v>
      </c>
      <c r="C26" s="1">
        <v>45881</v>
      </c>
      <c r="D26" s="2">
        <v>3808442</v>
      </c>
      <c r="E26" t="str">
        <f t="shared" si="0"/>
        <v/>
      </c>
      <c r="K26" t="str">
        <v>Garcés</v>
      </c>
      <c r="L26" t="str">
        <v>DEF</v>
      </c>
      <c r="M26" s="1">
        <v>45915</v>
      </c>
      <c r="N26" s="2">
        <v>3431812</v>
      </c>
      <c r="O26" s="2">
        <f t="shared" si="3"/>
        <v>1705015</v>
      </c>
      <c r="P26" s="2">
        <f t="shared" si="4"/>
        <v>1726797</v>
      </c>
    </row>
    <row r="27" spans="1:16" x14ac:dyDescent="0.25">
      <c r="A27" t="str">
        <v>MED</v>
      </c>
      <c r="B27" t="str">
        <v>Thomas</v>
      </c>
      <c r="C27" s="1">
        <v>45881</v>
      </c>
      <c r="D27" s="2">
        <v>20000001</v>
      </c>
      <c r="E27" t="str">
        <f t="shared" si="0"/>
        <v/>
      </c>
      <c r="K27" t="str">
        <v>Buchanan</v>
      </c>
      <c r="L27" t="str">
        <v>MED</v>
      </c>
      <c r="M27" s="1">
        <v>45917</v>
      </c>
      <c r="N27" s="2">
        <v>30373255</v>
      </c>
      <c r="O27" s="2">
        <f t="shared" si="3"/>
        <v>10108420</v>
      </c>
      <c r="P27" s="2">
        <f t="shared" si="4"/>
        <v>20264835</v>
      </c>
    </row>
    <row r="28" spans="1:16" x14ac:dyDescent="0.25">
      <c r="A28" t="str">
        <v>POR</v>
      </c>
      <c r="B28" t="str">
        <v>Dmitrovic</v>
      </c>
      <c r="C28" s="1">
        <v>45887</v>
      </c>
      <c r="D28" s="2">
        <v>11146825</v>
      </c>
      <c r="E28" t="str">
        <f t="shared" si="0"/>
        <v/>
      </c>
      <c r="K28" t="str">
        <v>Ferran</v>
      </c>
      <c r="L28" t="str">
        <v>DEL</v>
      </c>
      <c r="M28" s="1">
        <v>45917</v>
      </c>
      <c r="N28" s="2">
        <v>60001168</v>
      </c>
      <c r="O28" s="2">
        <f t="shared" si="3"/>
        <v>31110758</v>
      </c>
      <c r="P28" s="2">
        <f t="shared" si="4"/>
        <v>28890410</v>
      </c>
    </row>
    <row r="29" spans="1:16" x14ac:dyDescent="0.25">
      <c r="A29" t="str">
        <v>DEF</v>
      </c>
      <c r="B29" t="str">
        <v>Kike Salas</v>
      </c>
      <c r="C29" s="1">
        <v>45887</v>
      </c>
      <c r="D29" s="2">
        <v>6345679</v>
      </c>
      <c r="E29" t="str">
        <f t="shared" si="0"/>
        <v/>
      </c>
      <c r="K29" t="str">
        <v>Ryan</v>
      </c>
      <c r="L29" t="str">
        <v>POR</v>
      </c>
      <c r="M29" s="1">
        <v>45917</v>
      </c>
      <c r="N29" s="2">
        <v>5500000</v>
      </c>
      <c r="O29" s="2">
        <f t="shared" si="3"/>
        <v>4000000</v>
      </c>
      <c r="P29" s="2">
        <f t="shared" si="4"/>
        <v>1500000</v>
      </c>
    </row>
    <row r="30" spans="1:16" x14ac:dyDescent="0.25">
      <c r="A30" t="str">
        <v>DEL</v>
      </c>
      <c r="B30" t="str">
        <v>Ferran</v>
      </c>
      <c r="C30" s="1">
        <v>45888</v>
      </c>
      <c r="D30" s="2">
        <v>31110758</v>
      </c>
      <c r="E30" t="str">
        <f t="shared" si="0"/>
        <v/>
      </c>
      <c r="K30" t="str">
        <v>Gudelj</v>
      </c>
      <c r="L30" t="str">
        <v>MED</v>
      </c>
      <c r="M30" s="1">
        <v>45920</v>
      </c>
      <c r="N30" s="2">
        <v>3489384</v>
      </c>
      <c r="O30" s="2">
        <f t="shared" si="3"/>
        <v>7900000</v>
      </c>
      <c r="P30" s="2">
        <f t="shared" si="4"/>
        <v>-4410616</v>
      </c>
    </row>
    <row r="31" spans="1:16" x14ac:dyDescent="0.25">
      <c r="A31" t="str">
        <v>DEL</v>
      </c>
      <c r="B31" t="str">
        <v>Liso</v>
      </c>
      <c r="C31" s="1">
        <v>45888</v>
      </c>
      <c r="D31" s="2">
        <v>5000001</v>
      </c>
      <c r="E31" t="str">
        <f t="shared" si="0"/>
        <v/>
      </c>
      <c r="K31" t="str">
        <v>Luengo</v>
      </c>
      <c r="L31" t="str">
        <v>DEF</v>
      </c>
      <c r="M31" s="1">
        <v>45920</v>
      </c>
      <c r="N31" s="2">
        <v>484847</v>
      </c>
      <c r="O31" s="2">
        <f t="shared" si="3"/>
        <v>3808442</v>
      </c>
      <c r="P31" s="2">
        <f t="shared" si="4"/>
        <v>-3323595</v>
      </c>
    </row>
    <row r="32" spans="1:16" x14ac:dyDescent="0.25">
      <c r="A32" t="str">
        <v>MED</v>
      </c>
      <c r="B32" t="str">
        <v>Barrenetxea</v>
      </c>
      <c r="C32" s="1">
        <v>45893</v>
      </c>
      <c r="D32" s="2">
        <v>5678911</v>
      </c>
      <c r="E32" t="str">
        <f t="shared" si="0"/>
        <v/>
      </c>
      <c r="K32" t="str">
        <v>Guridi</v>
      </c>
      <c r="L32" t="str">
        <v>MED</v>
      </c>
      <c r="M32" s="1">
        <v>45922</v>
      </c>
      <c r="N32" s="2">
        <v>2499999</v>
      </c>
      <c r="O32" s="2">
        <f t="shared" si="3"/>
        <v>0</v>
      </c>
      <c r="P32" s="2">
        <f t="shared" si="4"/>
        <v>2499999</v>
      </c>
    </row>
    <row r="33" spans="1:16" x14ac:dyDescent="0.25">
      <c r="A33" t="str">
        <v>DEL</v>
      </c>
      <c r="B33" t="str">
        <v>Etta Eyong</v>
      </c>
      <c r="C33" s="1">
        <v>45898</v>
      </c>
      <c r="D33" s="2">
        <v>20445215</v>
      </c>
      <c r="E33" t="str">
        <f t="shared" si="0"/>
        <v/>
      </c>
      <c r="K33" t="str">
        <v>Liso</v>
      </c>
      <c r="L33" t="str">
        <v>DEL</v>
      </c>
      <c r="M33" s="1">
        <v>45922</v>
      </c>
      <c r="N33" s="2">
        <v>19679260</v>
      </c>
      <c r="O33" s="2">
        <f t="shared" si="3"/>
        <v>5000001</v>
      </c>
      <c r="P33" s="2">
        <f t="shared" si="4"/>
        <v>14679259</v>
      </c>
    </row>
    <row r="34" spans="1:16" x14ac:dyDescent="0.25">
      <c r="A34" t="str">
        <v>MED</v>
      </c>
      <c r="B34" t="str">
        <v>Buchanan</v>
      </c>
      <c r="C34" s="1">
        <v>45900</v>
      </c>
      <c r="D34" s="2">
        <v>10108420</v>
      </c>
      <c r="E34" t="str">
        <f t="shared" si="0"/>
        <v/>
      </c>
      <c r="K34" t="str">
        <v>Moncayola</v>
      </c>
      <c r="L34" t="str">
        <v>MED</v>
      </c>
      <c r="M34" s="1">
        <v>45922</v>
      </c>
      <c r="N34" s="2">
        <v>12007810</v>
      </c>
      <c r="O34" s="2">
        <f t="shared" si="3"/>
        <v>0</v>
      </c>
      <c r="P34" s="2">
        <f t="shared" si="4"/>
        <v>12007810</v>
      </c>
    </row>
    <row r="35" spans="1:16" x14ac:dyDescent="0.25">
      <c r="A35" t="str">
        <v>DEF</v>
      </c>
      <c r="B35" t="str">
        <v>Paredes</v>
      </c>
      <c r="C35" s="1">
        <v>45900</v>
      </c>
      <c r="D35" s="2">
        <v>17925060</v>
      </c>
      <c r="E35" t="str">
        <f t="shared" si="0"/>
        <v/>
      </c>
      <c r="K35" t="str">
        <v>Paredes</v>
      </c>
      <c r="L35" t="str">
        <v>DEF</v>
      </c>
      <c r="M35" s="1">
        <v>45922</v>
      </c>
      <c r="N35" s="2">
        <v>31497526</v>
      </c>
      <c r="O35" s="2">
        <f t="shared" si="3"/>
        <v>17925060</v>
      </c>
      <c r="P35" s="2">
        <f t="shared" si="4"/>
        <v>13572466</v>
      </c>
    </row>
    <row r="36" spans="1:16" x14ac:dyDescent="0.25">
      <c r="A36" t="str">
        <v>DEF</v>
      </c>
      <c r="B36" t="str">
        <v>Garcés</v>
      </c>
      <c r="C36" s="1">
        <v>45901</v>
      </c>
      <c r="D36" s="2">
        <v>1705015</v>
      </c>
      <c r="E36" t="str">
        <f t="shared" si="0"/>
        <v/>
      </c>
      <c r="K36" t="str">
        <v>Berenguer</v>
      </c>
      <c r="L36" t="str">
        <v>DEL</v>
      </c>
      <c r="M36" s="1">
        <v>45927</v>
      </c>
      <c r="N36" s="2">
        <v>34190209</v>
      </c>
      <c r="O36" s="2">
        <f t="shared" si="3"/>
        <v>30366706</v>
      </c>
      <c r="P36" s="2">
        <f t="shared" si="4"/>
        <v>3823503</v>
      </c>
    </row>
    <row r="37" spans="1:16" x14ac:dyDescent="0.25">
      <c r="A37" t="str">
        <v>POR</v>
      </c>
      <c r="B37" t="str">
        <v>Rubén Gómez</v>
      </c>
      <c r="C37" s="1">
        <v>45901</v>
      </c>
      <c r="D37" s="2">
        <v>319076</v>
      </c>
      <c r="E37" t="str">
        <f t="shared" si="0"/>
        <v>X</v>
      </c>
      <c r="K37" t="str">
        <v>Cucho</v>
      </c>
      <c r="L37" t="str">
        <v>DEL</v>
      </c>
      <c r="M37" s="1">
        <v>45928</v>
      </c>
      <c r="N37" s="2">
        <v>20301719</v>
      </c>
      <c r="O37" s="2">
        <f t="shared" si="3"/>
        <v>9998645</v>
      </c>
      <c r="P37" s="2">
        <f t="shared" si="4"/>
        <v>10303074</v>
      </c>
    </row>
    <row r="38" spans="1:16" x14ac:dyDescent="0.25">
      <c r="A38" t="str">
        <v>POR</v>
      </c>
      <c r="B38" t="str">
        <v>Sivera</v>
      </c>
      <c r="C38" s="1">
        <v>45901</v>
      </c>
      <c r="D38" s="2">
        <v>15904401</v>
      </c>
      <c r="E38" t="str">
        <f t="shared" si="0"/>
        <v>X</v>
      </c>
      <c r="K38" t="str">
        <v>Kike Salas</v>
      </c>
      <c r="L38" t="str">
        <v>DEF</v>
      </c>
      <c r="M38" s="1">
        <v>45928</v>
      </c>
      <c r="N38" s="2">
        <v>5770133</v>
      </c>
      <c r="O38" s="2">
        <f t="shared" si="3"/>
        <v>6345679</v>
      </c>
      <c r="P38" s="2">
        <f t="shared" si="4"/>
        <v>-575546</v>
      </c>
    </row>
    <row r="39" spans="1:16" x14ac:dyDescent="0.25">
      <c r="A39" t="str">
        <v>DEL</v>
      </c>
      <c r="B39" t="str">
        <v>Berenguer</v>
      </c>
      <c r="C39" s="1">
        <v>45909</v>
      </c>
      <c r="D39" s="2">
        <v>30366706</v>
      </c>
      <c r="E39" t="str">
        <f t="shared" si="0"/>
        <v/>
      </c>
      <c r="K39" t="str">
        <v>Juanlu</v>
      </c>
      <c r="L39" t="str">
        <v>MED</v>
      </c>
      <c r="M39" s="1">
        <v>45929</v>
      </c>
      <c r="N39" s="2">
        <v>3329753</v>
      </c>
      <c r="O39" s="2">
        <f t="shared" si="3"/>
        <v>6542165</v>
      </c>
      <c r="P39" s="2">
        <f t="shared" si="4"/>
        <v>-3212412</v>
      </c>
    </row>
    <row r="40" spans="1:16" x14ac:dyDescent="0.25">
      <c r="A40" t="str">
        <v>DEL</v>
      </c>
      <c r="B40" t="str">
        <v>Alexis</v>
      </c>
      <c r="C40" s="1">
        <v>45910</v>
      </c>
      <c r="D40" s="2">
        <v>3600000</v>
      </c>
      <c r="E40" t="str">
        <f t="shared" si="0"/>
        <v/>
      </c>
      <c r="K40" t="str">
        <v>Militão</v>
      </c>
      <c r="L40" t="str">
        <v>DEF</v>
      </c>
      <c r="M40" s="1">
        <v>45929</v>
      </c>
      <c r="N40" s="2">
        <v>56177599</v>
      </c>
      <c r="O40" s="2">
        <f t="shared" si="3"/>
        <v>45865641</v>
      </c>
      <c r="P40" s="2">
        <f t="shared" si="4"/>
        <v>10311958</v>
      </c>
    </row>
    <row r="41" spans="1:16" x14ac:dyDescent="0.25">
      <c r="A41" t="str">
        <v>MED</v>
      </c>
      <c r="B41" t="str">
        <v>Gudelj</v>
      </c>
      <c r="C41" s="1">
        <v>45911</v>
      </c>
      <c r="D41" s="2">
        <v>7900000</v>
      </c>
      <c r="E41" t="str">
        <f t="shared" si="0"/>
        <v/>
      </c>
      <c r="K41" t="str">
        <v>Toljan</v>
      </c>
      <c r="L41" t="str">
        <v>DEF</v>
      </c>
      <c r="M41" s="1">
        <v>45930</v>
      </c>
      <c r="N41" s="2">
        <v>14047148</v>
      </c>
      <c r="O41" s="2">
        <f t="shared" si="3"/>
        <v>4823354</v>
      </c>
      <c r="P41" s="2">
        <f t="shared" si="4"/>
        <v>9223794</v>
      </c>
    </row>
    <row r="42" spans="1:16" x14ac:dyDescent="0.25">
      <c r="A42" t="str">
        <v>DEF</v>
      </c>
      <c r="B42" t="str">
        <v>Toljan</v>
      </c>
      <c r="C42" s="1">
        <v>45912</v>
      </c>
      <c r="D42" s="2">
        <v>4823354</v>
      </c>
      <c r="E42" t="str">
        <f t="shared" si="0"/>
        <v/>
      </c>
      <c r="K42" t="str">
        <v>Tenaglia</v>
      </c>
      <c r="L42" t="str">
        <v>DEF</v>
      </c>
      <c r="M42" s="1">
        <v>45930</v>
      </c>
      <c r="N42" s="2">
        <v>18024671</v>
      </c>
      <c r="O42" s="2">
        <f t="shared" si="3"/>
        <v>17000000</v>
      </c>
      <c r="P42" s="2">
        <f t="shared" si="4"/>
        <v>1024671</v>
      </c>
    </row>
    <row r="43" spans="1:16" x14ac:dyDescent="0.25">
      <c r="A43" t="str">
        <v>DEL</v>
      </c>
      <c r="B43" t="str">
        <v>Cucho</v>
      </c>
      <c r="C43" s="1">
        <v>45914</v>
      </c>
      <c r="D43" s="2">
        <v>9998645</v>
      </c>
      <c r="E43" t="str">
        <f t="shared" si="0"/>
        <v/>
      </c>
      <c r="K43" t="str">
        <v>Martim Neto</v>
      </c>
      <c r="L43" t="str">
        <v>MED</v>
      </c>
      <c r="M43" s="1">
        <v>45931</v>
      </c>
      <c r="N43" s="2">
        <v>6085841</v>
      </c>
      <c r="O43" s="2">
        <f t="shared" si="3"/>
        <v>6085841</v>
      </c>
      <c r="P43" s="2">
        <f t="shared" si="4"/>
        <v>0</v>
      </c>
    </row>
    <row r="44" spans="1:16" x14ac:dyDescent="0.25">
      <c r="A44" t="str">
        <v>MED</v>
      </c>
      <c r="B44" t="str">
        <v>Martim Neto</v>
      </c>
      <c r="C44" s="1">
        <v>45914</v>
      </c>
      <c r="D44" s="2">
        <v>6085841</v>
      </c>
      <c r="E44" t="str">
        <f t="shared" si="0"/>
        <v/>
      </c>
      <c r="K44" t="str">
        <v>Víctor Muñoz</v>
      </c>
      <c r="L44" t="str">
        <v>DEL</v>
      </c>
      <c r="M44" s="1">
        <v>45932</v>
      </c>
      <c r="N44" s="2">
        <v>13159467</v>
      </c>
      <c r="O44" s="2">
        <f t="shared" si="3"/>
        <v>3987785</v>
      </c>
      <c r="P44" s="2">
        <f t="shared" si="4"/>
        <v>9171682</v>
      </c>
    </row>
    <row r="45" spans="1:16" x14ac:dyDescent="0.25">
      <c r="A45" t="str">
        <v>DEF</v>
      </c>
      <c r="B45" t="str">
        <v>Natan</v>
      </c>
      <c r="C45" s="1">
        <v>45914</v>
      </c>
      <c r="D45" s="2">
        <v>26058471</v>
      </c>
      <c r="E45" t="str">
        <f t="shared" si="0"/>
        <v/>
      </c>
      <c r="K45" t="str">
        <v>Foulquier</v>
      </c>
      <c r="L45" t="str">
        <v>DEF</v>
      </c>
      <c r="M45" s="1">
        <v>45935</v>
      </c>
      <c r="N45" s="2">
        <v>7215134</v>
      </c>
      <c r="O45" s="2">
        <f t="shared" si="3"/>
        <v>10552100</v>
      </c>
      <c r="P45" s="2">
        <f t="shared" si="4"/>
        <v>-3336966</v>
      </c>
    </row>
    <row r="46" spans="1:16" x14ac:dyDescent="0.25">
      <c r="A46" t="str">
        <v>POR</v>
      </c>
      <c r="B46" t="str">
        <v>Ryan</v>
      </c>
      <c r="C46" s="1">
        <v>45914</v>
      </c>
      <c r="D46" s="2">
        <v>4000000</v>
      </c>
      <c r="E46" t="str">
        <f t="shared" si="0"/>
        <v/>
      </c>
      <c r="K46" t="str">
        <v>I. Williams</v>
      </c>
      <c r="L46" t="str">
        <v>DEL</v>
      </c>
      <c r="M46" s="1">
        <v>45935</v>
      </c>
      <c r="N46" s="2">
        <v>34702163</v>
      </c>
      <c r="O46" s="2">
        <f t="shared" si="3"/>
        <v>34309065</v>
      </c>
      <c r="P46" s="2">
        <f t="shared" si="4"/>
        <v>393098</v>
      </c>
    </row>
    <row r="47" spans="1:16" x14ac:dyDescent="0.25">
      <c r="A47" t="str">
        <v>DEF</v>
      </c>
      <c r="B47" t="str">
        <v>Azpilicueta</v>
      </c>
      <c r="C47" s="1">
        <v>45917</v>
      </c>
      <c r="D47" s="2">
        <v>6776097</v>
      </c>
      <c r="E47" t="str">
        <f t="shared" si="0"/>
        <v/>
      </c>
      <c r="K47" t="str">
        <v>Mingueza</v>
      </c>
      <c r="L47" t="str">
        <v>DEF</v>
      </c>
      <c r="M47" s="1">
        <v>45936</v>
      </c>
      <c r="N47" s="2">
        <v>12736575</v>
      </c>
      <c r="O47" s="2">
        <f t="shared" si="3"/>
        <v>13112224</v>
      </c>
      <c r="P47" s="2">
        <f t="shared" si="4"/>
        <v>-375649</v>
      </c>
    </row>
    <row r="48" spans="1:16" x14ac:dyDescent="0.25">
      <c r="A48" t="str">
        <v>MED</v>
      </c>
      <c r="B48" t="str">
        <v>R. de Galarreta</v>
      </c>
      <c r="C48" s="1">
        <v>45917</v>
      </c>
      <c r="D48" s="2">
        <v>15593430</v>
      </c>
      <c r="E48" t="str">
        <f t="shared" si="0"/>
        <v>X</v>
      </c>
      <c r="K48" t="str">
        <v>Barrenetxea</v>
      </c>
      <c r="L48" t="str">
        <v>MED</v>
      </c>
      <c r="M48" s="1">
        <v>45938</v>
      </c>
      <c r="N48" s="2">
        <v>32736001</v>
      </c>
      <c r="O48" s="2">
        <f t="shared" si="3"/>
        <v>5678911</v>
      </c>
      <c r="P48" s="2">
        <f t="shared" si="4"/>
        <v>27057090</v>
      </c>
    </row>
    <row r="49" spans="1:14" x14ac:dyDescent="0.25">
      <c r="A49" t="str">
        <v>MED</v>
      </c>
      <c r="B49" t="str">
        <v>Juanlu</v>
      </c>
      <c r="C49" s="1">
        <v>45918</v>
      </c>
      <c r="D49" s="2">
        <v>6542165</v>
      </c>
      <c r="E49" t="str">
        <f t="shared" si="0"/>
        <v/>
      </c>
      <c r="K49" t="str">
        <v>Iván Martín</v>
      </c>
      <c r="L49" t="str">
        <v>MED</v>
      </c>
      <c r="M49" s="1">
        <v>45940</v>
      </c>
      <c r="N49" s="2">
        <v>3834030</v>
      </c>
    </row>
    <row r="50" spans="1:14" x14ac:dyDescent="0.25">
      <c r="A50" t="str">
        <v>DEL</v>
      </c>
      <c r="B50" t="str">
        <v>Víctor Muñoz</v>
      </c>
      <c r="C50" s="1">
        <v>45918</v>
      </c>
      <c r="D50" s="2">
        <v>3987785</v>
      </c>
      <c r="E50" t="str">
        <f t="shared" si="0"/>
        <v/>
      </c>
      <c r="K50" t="str">
        <v>Alexis</v>
      </c>
      <c r="L50" t="str">
        <v>DEL</v>
      </c>
      <c r="M50" s="1">
        <v>45944</v>
      </c>
      <c r="N50" s="2">
        <v>20677441</v>
      </c>
    </row>
    <row r="51" spans="1:14" x14ac:dyDescent="0.25">
      <c r="A51" t="str">
        <v>DEF</v>
      </c>
      <c r="B51" t="str">
        <v>Militão</v>
      </c>
      <c r="C51" s="1">
        <v>45919</v>
      </c>
      <c r="D51" s="2">
        <v>45865641</v>
      </c>
      <c r="E51" t="str">
        <f t="shared" si="0"/>
        <v/>
      </c>
      <c r="K51" t="str">
        <v>Etta Eyong</v>
      </c>
      <c r="L51" t="str">
        <v>DEL</v>
      </c>
      <c r="M51" s="1">
        <v>45945</v>
      </c>
      <c r="N51" s="2">
        <v>110031134</v>
      </c>
    </row>
    <row r="52" spans="1:14" x14ac:dyDescent="0.25">
      <c r="A52" t="str">
        <v>MED</v>
      </c>
      <c r="B52" t="str">
        <v>Febas</v>
      </c>
      <c r="C52" s="1">
        <v>45922</v>
      </c>
      <c r="D52" s="2">
        <v>8210100</v>
      </c>
      <c r="E52" t="str">
        <f t="shared" si="0"/>
        <v/>
      </c>
      <c r="K52" t="str">
        <v>Azpilicueta</v>
      </c>
      <c r="L52" t="str">
        <v>DEF</v>
      </c>
      <c r="M52" s="1">
        <v>45948</v>
      </c>
      <c r="N52" s="2">
        <v>5692561</v>
      </c>
    </row>
    <row r="53" spans="1:14" x14ac:dyDescent="0.25">
      <c r="A53" t="str">
        <v>MED</v>
      </c>
      <c r="B53" t="str">
        <v>Lozano</v>
      </c>
      <c r="C53" s="1">
        <v>45922</v>
      </c>
      <c r="D53" s="2">
        <v>3210000</v>
      </c>
      <c r="E53" t="str">
        <f t="shared" si="0"/>
        <v/>
      </c>
      <c r="K53" t="str">
        <v>Torró</v>
      </c>
      <c r="L53" t="str">
        <v>MED</v>
      </c>
      <c r="M53" s="1">
        <v>45948</v>
      </c>
      <c r="N53" s="2">
        <v>2823674</v>
      </c>
    </row>
    <row r="54" spans="1:14" x14ac:dyDescent="0.25">
      <c r="A54" t="str">
        <v>MED</v>
      </c>
      <c r="B54" t="str">
        <v>Barrenetxea</v>
      </c>
      <c r="C54" s="1">
        <v>45924</v>
      </c>
      <c r="D54" s="2">
        <v>19369067</v>
      </c>
      <c r="E54" t="str">
        <f t="shared" si="0"/>
        <v>X</v>
      </c>
      <c r="K54" t="str">
        <v>Pépé</v>
      </c>
      <c r="L54" t="str">
        <v>DEL</v>
      </c>
      <c r="M54" s="1">
        <v>45950</v>
      </c>
      <c r="N54" s="2">
        <v>91241452</v>
      </c>
    </row>
    <row r="55" spans="1:14" x14ac:dyDescent="0.25">
      <c r="A55" t="str">
        <v>DEF</v>
      </c>
      <c r="B55" t="str">
        <v>Veiga</v>
      </c>
      <c r="C55" s="1">
        <v>45924</v>
      </c>
      <c r="D55" s="2">
        <v>16128445</v>
      </c>
      <c r="E55" t="str">
        <f t="shared" si="0"/>
        <v>X</v>
      </c>
      <c r="K55" t="str">
        <v>Lozano</v>
      </c>
      <c r="L55" t="str">
        <v>MED</v>
      </c>
      <c r="M55" s="1">
        <v>45953</v>
      </c>
      <c r="N55" s="2">
        <v>10014326</v>
      </c>
    </row>
    <row r="56" spans="1:14" x14ac:dyDescent="0.25">
      <c r="A56" t="str">
        <v>DEF</v>
      </c>
      <c r="B56" t="str">
        <v>Vertrouwd</v>
      </c>
      <c r="C56" s="1">
        <v>45924</v>
      </c>
      <c r="D56" s="2">
        <v>625059</v>
      </c>
      <c r="E56" t="str">
        <f t="shared" si="0"/>
        <v>X</v>
      </c>
      <c r="K56" t="str">
        <v>Febas</v>
      </c>
      <c r="L56" t="str">
        <v>MED</v>
      </c>
      <c r="M56" s="1">
        <v>45953</v>
      </c>
      <c r="N56" s="2">
        <v>23210100</v>
      </c>
    </row>
    <row r="57" spans="1:14" x14ac:dyDescent="0.25">
      <c r="A57" t="str">
        <v>DEL</v>
      </c>
      <c r="B57" t="str">
        <v>Etta Eyong</v>
      </c>
      <c r="C57" s="1">
        <v>45928</v>
      </c>
      <c r="D57" s="2">
        <v>65117539</v>
      </c>
      <c r="E57" t="str">
        <f t="shared" si="0"/>
        <v>X</v>
      </c>
      <c r="K57" t="str">
        <v>N. Williams</v>
      </c>
      <c r="L57" t="str">
        <v>DEL</v>
      </c>
      <c r="M57" s="1">
        <v>45957</v>
      </c>
      <c r="N57" s="2">
        <v>89423295</v>
      </c>
    </row>
    <row r="58" spans="1:14" x14ac:dyDescent="0.25">
      <c r="A58" t="str">
        <v>DEL</v>
      </c>
      <c r="B58" t="str">
        <v>I. Williams</v>
      </c>
      <c r="C58" s="1">
        <v>45928</v>
      </c>
      <c r="D58" s="2">
        <v>34309065</v>
      </c>
      <c r="E58" t="str">
        <f t="shared" si="0"/>
        <v/>
      </c>
      <c r="K58" t="str">
        <v>Luis Milla</v>
      </c>
      <c r="L58" t="str">
        <v>MED</v>
      </c>
      <c r="M58" s="1">
        <v>45959</v>
      </c>
      <c r="N58" s="2">
        <v>90222396</v>
      </c>
    </row>
    <row r="59" spans="1:14" x14ac:dyDescent="0.25">
      <c r="A59" t="str">
        <v>DEF</v>
      </c>
      <c r="B59" t="str">
        <v>Tenaglia</v>
      </c>
      <c r="C59" s="1">
        <v>45916</v>
      </c>
      <c r="D59" s="2">
        <v>17000000</v>
      </c>
      <c r="E59" t="str">
        <f t="shared" si="0"/>
        <v/>
      </c>
      <c r="K59" t="str">
        <v>Manu Sánchez</v>
      </c>
      <c r="L59" t="str">
        <v>DEF</v>
      </c>
      <c r="M59" s="1">
        <v>45960</v>
      </c>
      <c r="N59" s="2">
        <v>2160657</v>
      </c>
    </row>
    <row r="60" spans="1:14" x14ac:dyDescent="0.25">
      <c r="A60" t="str">
        <v>MED</v>
      </c>
      <c r="B60" t="str">
        <v>Luis Milla</v>
      </c>
      <c r="C60" s="1">
        <v>45930</v>
      </c>
      <c r="D60" s="2">
        <v>45988103</v>
      </c>
      <c r="E60" t="str">
        <f t="shared" si="0"/>
        <v/>
      </c>
      <c r="K60" t="str">
        <v>C. Álvarez</v>
      </c>
      <c r="L60" t="str">
        <v>MED</v>
      </c>
      <c r="M60" s="1">
        <v>45960</v>
      </c>
      <c r="N60" s="2">
        <v>26980873</v>
      </c>
    </row>
    <row r="61" spans="1:14" x14ac:dyDescent="0.25">
      <c r="A61" t="str">
        <v>DEF</v>
      </c>
      <c r="B61" t="str">
        <v>Foulquier</v>
      </c>
      <c r="C61" s="1">
        <v>45931</v>
      </c>
      <c r="D61" s="2">
        <v>10552100</v>
      </c>
      <c r="E61" t="str">
        <f t="shared" si="0"/>
        <v/>
      </c>
      <c r="K61" t="str">
        <v>Herrera</v>
      </c>
      <c r="L61" t="str">
        <v>MED</v>
      </c>
      <c r="M61" s="1">
        <v>45963</v>
      </c>
      <c r="N61" s="2">
        <v>1784645</v>
      </c>
    </row>
    <row r="62" spans="1:14" x14ac:dyDescent="0.25">
      <c r="A62" t="str">
        <v>DEF</v>
      </c>
      <c r="B62" t="str">
        <v>Mingueza</v>
      </c>
      <c r="C62" s="1">
        <v>45932</v>
      </c>
      <c r="D62" s="2">
        <v>13112224</v>
      </c>
      <c r="E62" t="str">
        <f t="shared" si="0"/>
        <v/>
      </c>
      <c r="K62" t="str">
        <v>Valentín Gómez</v>
      </c>
      <c r="L62" t="str">
        <v>DEF</v>
      </c>
      <c r="M62" s="1">
        <v>45967</v>
      </c>
      <c r="N62" s="2">
        <v>2382714</v>
      </c>
    </row>
    <row r="63" spans="1:14" x14ac:dyDescent="0.25">
      <c r="A63" t="str">
        <v>MED</v>
      </c>
      <c r="B63" t="str">
        <v>Iván Martín</v>
      </c>
      <c r="C63" s="1">
        <v>45932</v>
      </c>
      <c r="D63" s="2">
        <v>6844512</v>
      </c>
      <c r="E63" t="str">
        <f t="shared" si="0"/>
        <v/>
      </c>
      <c r="K63" t="str">
        <v>Liso</v>
      </c>
      <c r="L63" t="str">
        <v>DEL</v>
      </c>
      <c r="M63" s="1">
        <v>45973</v>
      </c>
      <c r="N63" s="2">
        <v>9854713</v>
      </c>
    </row>
    <row r="64" spans="1:14" x14ac:dyDescent="0.25">
      <c r="A64" t="str">
        <v>MED</v>
      </c>
      <c r="B64" t="str">
        <v>C. Álvarez</v>
      </c>
      <c r="C64" s="1">
        <v>45934</v>
      </c>
      <c r="D64" s="2">
        <v>15411401</v>
      </c>
      <c r="E64" t="str">
        <f t="shared" si="0"/>
        <v/>
      </c>
      <c r="K64" t="str">
        <v>Natan</v>
      </c>
      <c r="L64" t="str">
        <v>DEF</v>
      </c>
      <c r="M64" s="1">
        <v>45973</v>
      </c>
      <c r="N64" s="2">
        <v>44480506</v>
      </c>
    </row>
    <row r="65" spans="1:5" x14ac:dyDescent="0.25">
      <c r="A65" t="str">
        <v>DEL</v>
      </c>
      <c r="B65" t="str">
        <v>Roberto</v>
      </c>
      <c r="C65" s="1">
        <v>45936</v>
      </c>
      <c r="D65" s="2">
        <v>11087545</v>
      </c>
      <c r="E65" t="str">
        <f t="shared" si="0"/>
        <v>X</v>
      </c>
    </row>
    <row r="66" spans="1:5" x14ac:dyDescent="0.25">
      <c r="A66" t="str">
        <v>DEF</v>
      </c>
      <c r="B66" t="str">
        <v>Valentín Gómez</v>
      </c>
      <c r="C66" s="1">
        <v>45939</v>
      </c>
      <c r="D66" s="2">
        <v>2863699</v>
      </c>
      <c r="E66" t="str">
        <f t="shared" si="0"/>
        <v/>
      </c>
    </row>
    <row r="67" spans="1:5" x14ac:dyDescent="0.25">
      <c r="A67" t="str">
        <v>DEF</v>
      </c>
      <c r="B67" t="str">
        <v>Yuri</v>
      </c>
      <c r="C67" s="1">
        <v>45942</v>
      </c>
      <c r="D67" s="2">
        <v>0</v>
      </c>
      <c r="E67" t="str">
        <f t="shared" si="0"/>
        <v>X</v>
      </c>
    </row>
    <row r="68" spans="1:5" x14ac:dyDescent="0.25">
      <c r="A68" t="str">
        <v>MED</v>
      </c>
      <c r="B68" t="str">
        <v>Herrera</v>
      </c>
      <c r="C68" s="1">
        <v>45944</v>
      </c>
      <c r="D68" s="2">
        <v>2651124</v>
      </c>
      <c r="E68" t="str">
        <f t="shared" ref="E68:E131" si="5">IF(B68="","",IFERROR(
   IF(
      (VLOOKUP(B68,K:N,3,FALSE)) &lt; C68,
      "X",
      ""
   ),
   "X")
)</f>
        <v/>
      </c>
    </row>
    <row r="69" spans="1:5" x14ac:dyDescent="0.25">
      <c r="A69" t="str">
        <v>DEL</v>
      </c>
      <c r="B69" t="str">
        <v>Boyé</v>
      </c>
      <c r="C69" s="1">
        <v>45945</v>
      </c>
      <c r="D69" s="2">
        <v>2506689</v>
      </c>
      <c r="E69" t="str">
        <f t="shared" si="5"/>
        <v>X</v>
      </c>
    </row>
    <row r="70" spans="1:5" x14ac:dyDescent="0.25">
      <c r="A70" t="str">
        <v>DEL</v>
      </c>
      <c r="B70" t="str">
        <v>Pépé</v>
      </c>
      <c r="C70" s="1">
        <v>45945</v>
      </c>
      <c r="D70" s="2">
        <v>91296567</v>
      </c>
      <c r="E70" t="str">
        <f t="shared" si="5"/>
        <v/>
      </c>
    </row>
    <row r="71" spans="1:5" x14ac:dyDescent="0.25">
      <c r="A71" t="str">
        <v>DEF</v>
      </c>
      <c r="B71" t="str">
        <v>Manu Sánchez</v>
      </c>
      <c r="C71" s="1">
        <v>45946</v>
      </c>
      <c r="D71" s="2">
        <v>2160657</v>
      </c>
      <c r="E71" t="str">
        <f t="shared" si="5"/>
        <v/>
      </c>
    </row>
    <row r="72" spans="1:5" x14ac:dyDescent="0.25">
      <c r="A72" t="str">
        <v>DEF</v>
      </c>
      <c r="B72" t="str">
        <v>Jonny</v>
      </c>
      <c r="C72" s="1">
        <v>45948</v>
      </c>
      <c r="D72" s="2">
        <v>7045151</v>
      </c>
      <c r="E72" t="str">
        <f t="shared" si="5"/>
        <v>X</v>
      </c>
    </row>
    <row r="73" spans="1:5" x14ac:dyDescent="0.25">
      <c r="A73" t="str">
        <v>DEL</v>
      </c>
      <c r="B73" t="str">
        <v>N. Williams</v>
      </c>
      <c r="C73" s="1">
        <v>45949</v>
      </c>
      <c r="D73" s="2">
        <v>98000052</v>
      </c>
      <c r="E73" t="str">
        <f t="shared" si="5"/>
        <v/>
      </c>
    </row>
    <row r="74" spans="1:5" x14ac:dyDescent="0.25">
      <c r="A74" t="str">
        <v>DEL</v>
      </c>
      <c r="B74" t="str">
        <v>Brugui</v>
      </c>
      <c r="C74" s="1">
        <v>45949</v>
      </c>
      <c r="D74" s="2">
        <v>1500001</v>
      </c>
      <c r="E74" t="str">
        <f t="shared" si="5"/>
        <v>X</v>
      </c>
    </row>
    <row r="75" spans="1:5" x14ac:dyDescent="0.25">
      <c r="A75" t="str">
        <v>MED</v>
      </c>
      <c r="B75" t="str">
        <v>Witsel</v>
      </c>
      <c r="C75" s="1">
        <v>45952</v>
      </c>
      <c r="D75" s="2">
        <v>5217424</v>
      </c>
      <c r="E75" t="str">
        <f t="shared" si="5"/>
        <v>X</v>
      </c>
    </row>
    <row r="76" spans="1:5" x14ac:dyDescent="0.25">
      <c r="A76" t="str">
        <v>DEF</v>
      </c>
      <c r="B76" t="str">
        <v>Maffeo</v>
      </c>
      <c r="C76" s="1">
        <v>45952</v>
      </c>
      <c r="D76" s="2">
        <v>9932929</v>
      </c>
      <c r="E76" t="str">
        <f t="shared" si="5"/>
        <v>X</v>
      </c>
    </row>
    <row r="77" spans="1:5" x14ac:dyDescent="0.25">
      <c r="A77" t="str">
        <v>DEF</v>
      </c>
      <c r="B77" t="str">
        <v>Romero</v>
      </c>
      <c r="C77" s="1">
        <v>45955</v>
      </c>
      <c r="D77" s="2">
        <v>16000000</v>
      </c>
      <c r="E77" t="str">
        <f t="shared" si="5"/>
        <v>X</v>
      </c>
    </row>
    <row r="78" spans="1:5" x14ac:dyDescent="0.25">
      <c r="A78" t="str">
        <v>DEL</v>
      </c>
      <c r="B78" t="str">
        <v>Liso</v>
      </c>
      <c r="C78" s="1">
        <v>45959</v>
      </c>
      <c r="D78" s="2">
        <v>11129200</v>
      </c>
      <c r="E78" t="str">
        <f t="shared" si="5"/>
        <v>X</v>
      </c>
    </row>
    <row r="79" spans="1:5" x14ac:dyDescent="0.25">
      <c r="A79" t="str">
        <v>MED</v>
      </c>
      <c r="B79" t="str">
        <v>Bellingham</v>
      </c>
      <c r="C79" s="1">
        <v>45959</v>
      </c>
      <c r="D79" s="2">
        <v>115026806</v>
      </c>
      <c r="E79" t="str">
        <f t="shared" si="5"/>
        <v>X</v>
      </c>
    </row>
    <row r="80" spans="1:5" x14ac:dyDescent="0.25">
      <c r="A80" t="str">
        <v>DEF</v>
      </c>
      <c r="B80" t="str">
        <v>A. F. Carreras</v>
      </c>
      <c r="C80" s="1">
        <v>45962</v>
      </c>
      <c r="D80" s="2">
        <v>61250000</v>
      </c>
      <c r="E80" t="str">
        <f t="shared" si="5"/>
        <v>X</v>
      </c>
    </row>
    <row r="81" spans="1:5" x14ac:dyDescent="0.25">
      <c r="A81" t="str">
        <v>MED</v>
      </c>
      <c r="B81" t="str">
        <v>Comesaña</v>
      </c>
      <c r="C81" s="1">
        <v>45962</v>
      </c>
      <c r="D81" s="2">
        <v>13124118</v>
      </c>
      <c r="E81" t="str">
        <f t="shared" si="5"/>
        <v>X</v>
      </c>
    </row>
    <row r="82" spans="1:5" x14ac:dyDescent="0.25">
      <c r="A82" t="str">
        <v>DEL</v>
      </c>
      <c r="B82" t="str">
        <v>Raúl García</v>
      </c>
      <c r="C82" s="1">
        <v>45967</v>
      </c>
      <c r="D82" s="2">
        <v>4605484</v>
      </c>
      <c r="E82" t="str">
        <f t="shared" si="5"/>
        <v>X</v>
      </c>
    </row>
    <row r="83" spans="1:5" x14ac:dyDescent="0.25">
      <c r="A83" t="str">
        <v>DEL</v>
      </c>
      <c r="B83" t="str">
        <v>Viñas</v>
      </c>
      <c r="C83" s="1">
        <v>45968</v>
      </c>
      <c r="D83" s="2">
        <v>2895461</v>
      </c>
      <c r="E83" t="str">
        <f t="shared" si="5"/>
        <v>X</v>
      </c>
    </row>
    <row r="84" spans="1:5" x14ac:dyDescent="0.25">
      <c r="A84" t="str">
        <v>DEL</v>
      </c>
      <c r="B84" t="str">
        <v>Alvaro R.</v>
      </c>
      <c r="C84" s="1">
        <v>45969</v>
      </c>
      <c r="D84" s="2">
        <v>3100000</v>
      </c>
      <c r="E84" t="str">
        <f t="shared" si="5"/>
        <v>X</v>
      </c>
    </row>
    <row r="85" spans="1:5" x14ac:dyDescent="0.25">
      <c r="A85" t="str">
        <v>DEL</v>
      </c>
      <c r="B85" t="str">
        <v>Gerard</v>
      </c>
      <c r="C85" s="1">
        <v>45973</v>
      </c>
      <c r="D85" s="2">
        <v>16610101</v>
      </c>
      <c r="E85" t="str">
        <f t="shared" si="5"/>
        <v>X</v>
      </c>
    </row>
    <row r="86" spans="1:5" x14ac:dyDescent="0.25">
      <c r="E86" t="str">
        <f t="shared" si="5"/>
        <v/>
      </c>
    </row>
    <row r="87" spans="1:5" x14ac:dyDescent="0.25">
      <c r="E87" t="str">
        <f t="shared" si="5"/>
        <v/>
      </c>
    </row>
    <row r="88" spans="1:5" x14ac:dyDescent="0.25">
      <c r="E88" t="str">
        <f t="shared" si="5"/>
        <v/>
      </c>
    </row>
    <row r="89" spans="1:5" x14ac:dyDescent="0.25">
      <c r="E89" t="str">
        <f t="shared" si="5"/>
        <v/>
      </c>
    </row>
    <row r="90" spans="1:5" x14ac:dyDescent="0.25">
      <c r="E90" t="str">
        <f t="shared" si="5"/>
        <v/>
      </c>
    </row>
    <row r="91" spans="1:5" x14ac:dyDescent="0.25">
      <c r="E91" t="str">
        <f t="shared" si="5"/>
        <v/>
      </c>
    </row>
    <row r="92" spans="1:5" x14ac:dyDescent="0.25">
      <c r="E92" t="str">
        <f t="shared" si="5"/>
        <v/>
      </c>
    </row>
    <row r="93" spans="1:5" x14ac:dyDescent="0.25">
      <c r="E93" t="str">
        <f t="shared" si="5"/>
        <v/>
      </c>
    </row>
    <row r="94" spans="1:5" x14ac:dyDescent="0.25">
      <c r="E94" t="str">
        <f t="shared" si="5"/>
        <v/>
      </c>
    </row>
    <row r="95" spans="1:5" x14ac:dyDescent="0.25">
      <c r="E95" t="str">
        <f t="shared" si="5"/>
        <v/>
      </c>
    </row>
    <row r="96" spans="1:5" x14ac:dyDescent="0.25">
      <c r="E96" t="str">
        <f t="shared" si="5"/>
        <v/>
      </c>
    </row>
    <row r="97" spans="5:5" x14ac:dyDescent="0.25">
      <c r="E97" t="str">
        <f t="shared" si="5"/>
        <v/>
      </c>
    </row>
    <row r="98" spans="5:5" x14ac:dyDescent="0.25">
      <c r="E98" t="str">
        <f t="shared" si="5"/>
        <v/>
      </c>
    </row>
    <row r="99" spans="5:5" x14ac:dyDescent="0.25">
      <c r="E99" t="str">
        <f t="shared" si="5"/>
        <v/>
      </c>
    </row>
    <row r="100" spans="5:5" x14ac:dyDescent="0.25">
      <c r="E100" t="str">
        <f t="shared" si="5"/>
        <v/>
      </c>
    </row>
    <row r="101" spans="5:5" x14ac:dyDescent="0.25">
      <c r="E101" t="str">
        <f t="shared" si="5"/>
        <v/>
      </c>
    </row>
    <row r="102" spans="5:5" x14ac:dyDescent="0.25">
      <c r="E102" t="str">
        <f t="shared" si="5"/>
        <v/>
      </c>
    </row>
    <row r="103" spans="5:5" x14ac:dyDescent="0.25">
      <c r="E103" t="str">
        <f t="shared" si="5"/>
        <v/>
      </c>
    </row>
    <row r="104" spans="5:5" x14ac:dyDescent="0.25">
      <c r="E104" t="str">
        <f t="shared" si="5"/>
        <v/>
      </c>
    </row>
    <row r="105" spans="5:5" x14ac:dyDescent="0.25">
      <c r="E105" t="str">
        <f t="shared" si="5"/>
        <v/>
      </c>
    </row>
    <row r="106" spans="5:5" x14ac:dyDescent="0.25">
      <c r="E106" t="str">
        <f t="shared" si="5"/>
        <v/>
      </c>
    </row>
    <row r="107" spans="5:5" x14ac:dyDescent="0.25">
      <c r="E107" t="str">
        <f t="shared" si="5"/>
        <v/>
      </c>
    </row>
    <row r="108" spans="5:5" x14ac:dyDescent="0.25">
      <c r="E108" t="str">
        <f t="shared" si="5"/>
        <v/>
      </c>
    </row>
    <row r="109" spans="5:5" x14ac:dyDescent="0.25">
      <c r="E109" t="str">
        <f t="shared" si="5"/>
        <v/>
      </c>
    </row>
    <row r="110" spans="5:5" x14ac:dyDescent="0.25">
      <c r="E110" t="str">
        <f t="shared" si="5"/>
        <v/>
      </c>
    </row>
    <row r="111" spans="5:5" x14ac:dyDescent="0.25">
      <c r="E111" t="str">
        <f t="shared" si="5"/>
        <v/>
      </c>
    </row>
    <row r="112" spans="5:5" x14ac:dyDescent="0.25">
      <c r="E112" t="str">
        <f t="shared" si="5"/>
        <v/>
      </c>
    </row>
    <row r="113" spans="5:5" x14ac:dyDescent="0.25">
      <c r="E113" t="str">
        <f t="shared" si="5"/>
        <v/>
      </c>
    </row>
    <row r="114" spans="5:5" x14ac:dyDescent="0.25">
      <c r="E114" t="str">
        <f t="shared" si="5"/>
        <v/>
      </c>
    </row>
    <row r="115" spans="5:5" x14ac:dyDescent="0.25">
      <c r="E115" t="str">
        <f t="shared" si="5"/>
        <v/>
      </c>
    </row>
    <row r="116" spans="5:5" x14ac:dyDescent="0.25">
      <c r="E116" t="str">
        <f t="shared" si="5"/>
        <v/>
      </c>
    </row>
    <row r="117" spans="5:5" x14ac:dyDescent="0.25">
      <c r="E117" t="str">
        <f t="shared" si="5"/>
        <v/>
      </c>
    </row>
    <row r="118" spans="5:5" x14ac:dyDescent="0.25">
      <c r="E118" t="str">
        <f t="shared" si="5"/>
        <v/>
      </c>
    </row>
    <row r="119" spans="5:5" x14ac:dyDescent="0.25">
      <c r="E119" t="str">
        <f t="shared" si="5"/>
        <v/>
      </c>
    </row>
    <row r="120" spans="5:5" x14ac:dyDescent="0.25">
      <c r="E120" t="str">
        <f t="shared" si="5"/>
        <v/>
      </c>
    </row>
    <row r="121" spans="5:5" x14ac:dyDescent="0.25">
      <c r="E121" t="str">
        <f t="shared" si="5"/>
        <v/>
      </c>
    </row>
    <row r="122" spans="5:5" x14ac:dyDescent="0.25">
      <c r="E122" t="str">
        <f t="shared" si="5"/>
        <v/>
      </c>
    </row>
    <row r="123" spans="5:5" x14ac:dyDescent="0.25">
      <c r="E123" t="str">
        <f t="shared" si="5"/>
        <v/>
      </c>
    </row>
    <row r="124" spans="5:5" x14ac:dyDescent="0.25">
      <c r="E124" t="str">
        <f t="shared" si="5"/>
        <v/>
      </c>
    </row>
    <row r="125" spans="5:5" x14ac:dyDescent="0.25">
      <c r="E125" t="str">
        <f t="shared" si="5"/>
        <v/>
      </c>
    </row>
    <row r="126" spans="5:5" x14ac:dyDescent="0.25">
      <c r="E126" t="str">
        <f t="shared" si="5"/>
        <v/>
      </c>
    </row>
    <row r="127" spans="5:5" x14ac:dyDescent="0.25">
      <c r="E127" t="str">
        <f t="shared" si="5"/>
        <v/>
      </c>
    </row>
    <row r="128" spans="5:5" x14ac:dyDescent="0.25">
      <c r="E128" t="str">
        <f t="shared" si="5"/>
        <v/>
      </c>
    </row>
    <row r="129" spans="5:5" x14ac:dyDescent="0.25">
      <c r="E129" t="str">
        <f t="shared" si="5"/>
        <v/>
      </c>
    </row>
    <row r="130" spans="5:5" x14ac:dyDescent="0.25">
      <c r="E130" t="str">
        <f t="shared" si="5"/>
        <v/>
      </c>
    </row>
    <row r="131" spans="5:5" x14ac:dyDescent="0.25">
      <c r="E131" t="str">
        <f t="shared" si="5"/>
        <v/>
      </c>
    </row>
    <row r="132" spans="5:5" x14ac:dyDescent="0.25">
      <c r="E132" t="str">
        <f t="shared" ref="E132:E152" si="6">IF(B132="","",IFERROR(
   IF(
      (VLOOKUP(B132,K:N,3,FALSE)) &lt; C132,
      "X",
      ""
   ),
   "X")
)</f>
        <v/>
      </c>
    </row>
    <row r="133" spans="5:5" x14ac:dyDescent="0.25">
      <c r="E133" t="str">
        <f t="shared" si="6"/>
        <v/>
      </c>
    </row>
    <row r="134" spans="5:5" x14ac:dyDescent="0.25">
      <c r="E134" t="str">
        <f t="shared" si="6"/>
        <v/>
      </c>
    </row>
    <row r="135" spans="5:5" x14ac:dyDescent="0.25">
      <c r="E135" t="str">
        <f t="shared" si="6"/>
        <v/>
      </c>
    </row>
    <row r="136" spans="5:5" x14ac:dyDescent="0.25">
      <c r="E136" t="str">
        <f t="shared" si="6"/>
        <v/>
      </c>
    </row>
    <row r="137" spans="5:5" x14ac:dyDescent="0.25">
      <c r="E137" t="str">
        <f t="shared" si="6"/>
        <v/>
      </c>
    </row>
    <row r="138" spans="5:5" x14ac:dyDescent="0.25">
      <c r="E138" t="str">
        <f t="shared" si="6"/>
        <v/>
      </c>
    </row>
    <row r="139" spans="5:5" x14ac:dyDescent="0.25">
      <c r="E139" t="str">
        <f t="shared" si="6"/>
        <v/>
      </c>
    </row>
    <row r="140" spans="5:5" x14ac:dyDescent="0.25">
      <c r="E140" t="str">
        <f t="shared" si="6"/>
        <v/>
      </c>
    </row>
    <row r="141" spans="5:5" x14ac:dyDescent="0.25">
      <c r="E141" t="str">
        <f t="shared" si="6"/>
        <v/>
      </c>
    </row>
    <row r="142" spans="5:5" x14ac:dyDescent="0.25">
      <c r="E142" t="str">
        <f t="shared" si="6"/>
        <v/>
      </c>
    </row>
    <row r="143" spans="5:5" x14ac:dyDescent="0.25">
      <c r="E143" t="str">
        <f t="shared" si="6"/>
        <v/>
      </c>
    </row>
    <row r="144" spans="5:5" x14ac:dyDescent="0.25">
      <c r="E144" t="str">
        <f t="shared" si="6"/>
        <v/>
      </c>
    </row>
    <row r="145" spans="5:5" x14ac:dyDescent="0.25">
      <c r="E145" t="str">
        <f t="shared" si="6"/>
        <v/>
      </c>
    </row>
    <row r="146" spans="5:5" x14ac:dyDescent="0.25">
      <c r="E146" t="str">
        <f t="shared" si="6"/>
        <v/>
      </c>
    </row>
    <row r="147" spans="5:5" x14ac:dyDescent="0.25">
      <c r="E147" t="str">
        <f t="shared" si="6"/>
        <v/>
      </c>
    </row>
    <row r="148" spans="5:5" x14ac:dyDescent="0.25">
      <c r="E148" t="str">
        <f t="shared" si="6"/>
        <v/>
      </c>
    </row>
    <row r="149" spans="5:5" x14ac:dyDescent="0.25">
      <c r="E149" t="str">
        <f t="shared" si="6"/>
        <v/>
      </c>
    </row>
    <row r="150" spans="5:5" x14ac:dyDescent="0.25">
      <c r="E150" t="str">
        <f t="shared" si="6"/>
        <v/>
      </c>
    </row>
    <row r="151" spans="5:5" x14ac:dyDescent="0.25">
      <c r="E151" t="str">
        <f t="shared" si="6"/>
        <v/>
      </c>
    </row>
    <row r="152" spans="5:5" x14ac:dyDescent="0.25">
      <c r="E152" t="str">
        <f t="shared" si="6"/>
        <v/>
      </c>
    </row>
  </sheetData>
  <autoFilter ref="A3:E3" xr:uid="{07F1C2A6-A4EF-4733-AA9D-A9EF54DB2F61}"/>
  <hyperlinks>
    <hyperlink ref="A1" location="Sumario!A1" display="Indice" xr:uid="{EAFACA84-6FA0-44E7-9B27-52C3D89F2720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5428B-3557-4568-9C67-13A37A638F0A}">
  <dimension ref="A1:P76"/>
  <sheetViews>
    <sheetView workbookViewId="0">
      <selection activeCell="O19" sqref="O19"/>
    </sheetView>
  </sheetViews>
  <sheetFormatPr baseColWidth="10" defaultRowHeight="15" x14ac:dyDescent="0.25"/>
  <cols>
    <col min="1" max="1" width="8.7109375" bestFit="1" customWidth="1"/>
    <col min="2" max="2" width="21.7109375" bestFit="1" customWidth="1"/>
    <col min="3" max="3" width="13.7109375" style="1" bestFit="1" customWidth="1"/>
    <col min="4" max="4" width="14.140625" style="2" bestFit="1" customWidth="1"/>
    <col min="8" max="8" width="11.7109375" style="1" bestFit="1" customWidth="1"/>
    <col min="9" max="9" width="14.140625" style="2" bestFit="1" customWidth="1"/>
    <col min="13" max="13" width="11.42578125" style="1"/>
    <col min="14" max="15" width="14.140625" style="2" bestFit="1" customWidth="1"/>
    <col min="16" max="16" width="12.28515625" bestFit="1" customWidth="1"/>
  </cols>
  <sheetData>
    <row r="1" spans="1:16" x14ac:dyDescent="0.25">
      <c r="A1" s="3" t="s">
        <v>94</v>
      </c>
      <c r="B1" t="s">
        <v>7</v>
      </c>
    </row>
    <row r="2" spans="1:16" x14ac:dyDescent="0.25">
      <c r="A2" t="s">
        <v>188</v>
      </c>
      <c r="K2" t="s">
        <v>189</v>
      </c>
    </row>
    <row r="3" spans="1:16" x14ac:dyDescent="0.25">
      <c r="A3" t="s">
        <v>75</v>
      </c>
      <c r="B3" t="s">
        <v>25</v>
      </c>
      <c r="C3" s="1" t="s">
        <v>76</v>
      </c>
      <c r="D3" s="2" t="s">
        <v>95</v>
      </c>
      <c r="E3" t="s">
        <v>190</v>
      </c>
      <c r="K3" t="s">
        <v>75</v>
      </c>
      <c r="L3" t="s">
        <v>25</v>
      </c>
      <c r="M3" s="1" t="s">
        <v>93</v>
      </c>
      <c r="N3" s="2" t="s">
        <v>96</v>
      </c>
      <c r="O3" s="2" t="s">
        <v>95</v>
      </c>
      <c r="P3" t="s">
        <v>280</v>
      </c>
    </row>
    <row r="4" spans="1:16" x14ac:dyDescent="0.25">
      <c r="A4" t="str" cm="1">
        <f t="array" ref="A4:A76">_xlfn._xlws.FILTER(Fichajes!C:C,Fichajes!G:G=B1)</f>
        <v>DEF</v>
      </c>
      <c r="B4" t="str" cm="1">
        <f t="array" ref="B4:B76">_xlfn._xlws.FILTER(Fichajes!B:B,Fichajes!G:G=B1)</f>
        <v>Andrei</v>
      </c>
      <c r="C4" s="1" cm="1">
        <f t="array" ref="C4:C76">_xlfn._xlws.FILTER(Fichajes!F:F,Fichajes!$G:$G=$B1)</f>
        <v>45872</v>
      </c>
      <c r="D4" s="2" cm="1">
        <f t="array" ref="D4:D76">_xlfn._xlws.FILTER(Fichajes!I:I,Fichajes!$G:$G=$B1)</f>
        <v>0</v>
      </c>
      <c r="E4" t="str">
        <f t="shared" ref="E4:E35" si="0">IF(B4="","",IFERROR(
   IF(
      (VLOOKUP(B4,K:N,3,FALSE)) &lt; C4,
      "X",
      ""
   ),
   "X")
)</f>
        <v/>
      </c>
      <c r="K4" t="str" cm="1">
        <f t="array" ref="K4:K55">_xlfn._xlws.FILTER(Fichajes!B:B,Fichajes!$H:$H=B$1)</f>
        <v>D. Duarte</v>
      </c>
      <c r="L4" t="str" cm="1">
        <f t="array" ref="L4:L55">_xlfn._xlws.FILTER(Fichajes!C:C,Fichajes!$H:$H=B$1)</f>
        <v>DEF</v>
      </c>
      <c r="M4" s="1" cm="1">
        <f t="array" ref="M4:M55">_xlfn._xlws.FILTER(Fichajes!F:F,Fichajes!$H:$H=B$1)</f>
        <v>45874</v>
      </c>
      <c r="N4" s="2" cm="1">
        <f t="array" ref="N4:N55">_xlfn._xlws.FILTER(Fichajes!I:I,Fichajes!$H:$H=B$1)</f>
        <v>1167041</v>
      </c>
      <c r="O4" s="2">
        <f t="shared" ref="O4:O14" si="1">IF(ISBLANK(N4),"",VLOOKUP(K4,B:D,3,FALSE))</f>
        <v>0</v>
      </c>
      <c r="P4" s="2">
        <f t="shared" ref="P4:P14" si="2">IF(ISBLANK(N4),"",N4-O4)</f>
        <v>1167041</v>
      </c>
    </row>
    <row r="5" spans="1:16" x14ac:dyDescent="0.25">
      <c r="A5" t="str">
        <v>MED</v>
      </c>
      <c r="B5" t="str">
        <v>Blanco</v>
      </c>
      <c r="C5" s="1">
        <v>45872</v>
      </c>
      <c r="D5" s="2">
        <v>0</v>
      </c>
      <c r="E5" t="str">
        <f t="shared" si="0"/>
        <v/>
      </c>
      <c r="K5" t="str">
        <v>Andrei</v>
      </c>
      <c r="L5" t="str">
        <v>DEF</v>
      </c>
      <c r="M5" s="1">
        <v>45876</v>
      </c>
      <c r="N5" s="2">
        <v>14500000</v>
      </c>
      <c r="O5" s="2">
        <f t="shared" si="1"/>
        <v>0</v>
      </c>
      <c r="P5" s="2">
        <f t="shared" si="2"/>
        <v>14500000</v>
      </c>
    </row>
    <row r="6" spans="1:16" x14ac:dyDescent="0.25">
      <c r="A6" t="str">
        <v>POR</v>
      </c>
      <c r="B6" t="str">
        <v>Dimitrievski</v>
      </c>
      <c r="C6" s="1">
        <v>45872</v>
      </c>
      <c r="D6" s="2">
        <v>0</v>
      </c>
      <c r="E6" t="str">
        <f t="shared" si="0"/>
        <v/>
      </c>
      <c r="K6" t="str">
        <v>Pablo Torre</v>
      </c>
      <c r="L6" t="str">
        <v>MED</v>
      </c>
      <c r="M6" s="1">
        <v>45877</v>
      </c>
      <c r="N6" s="2">
        <v>10000000</v>
      </c>
      <c r="O6" s="2">
        <f t="shared" si="1"/>
        <v>0</v>
      </c>
      <c r="P6" s="2">
        <f t="shared" si="2"/>
        <v>10000000</v>
      </c>
    </row>
    <row r="7" spans="1:16" x14ac:dyDescent="0.25">
      <c r="A7" t="str">
        <v>DEF</v>
      </c>
      <c r="B7" t="str">
        <v>D. Duarte</v>
      </c>
      <c r="C7" s="1">
        <v>45872</v>
      </c>
      <c r="D7" s="2">
        <v>0</v>
      </c>
      <c r="E7" t="str">
        <f t="shared" si="0"/>
        <v/>
      </c>
      <c r="K7" t="str">
        <v>Tsygankov</v>
      </c>
      <c r="L7" t="str">
        <v>DEL</v>
      </c>
      <c r="M7" s="1">
        <v>45877</v>
      </c>
      <c r="N7" s="2">
        <v>18143367</v>
      </c>
      <c r="O7" s="2">
        <f t="shared" si="1"/>
        <v>0</v>
      </c>
      <c r="P7" s="2">
        <f t="shared" si="2"/>
        <v>18143367</v>
      </c>
    </row>
    <row r="8" spans="1:16" x14ac:dyDescent="0.25">
      <c r="A8" t="str">
        <v>DEF</v>
      </c>
      <c r="B8" t="str">
        <v>Foyth</v>
      </c>
      <c r="C8" s="1">
        <v>45872</v>
      </c>
      <c r="D8" s="2">
        <v>0</v>
      </c>
      <c r="E8" t="str">
        <f t="shared" si="0"/>
        <v/>
      </c>
      <c r="K8" t="str">
        <v>Dimitrievski</v>
      </c>
      <c r="L8" t="str">
        <v>POR</v>
      </c>
      <c r="M8" s="1">
        <v>45879</v>
      </c>
      <c r="N8" s="2">
        <v>6540521</v>
      </c>
      <c r="O8" s="2">
        <f t="shared" si="1"/>
        <v>0</v>
      </c>
      <c r="P8" s="2">
        <f t="shared" si="2"/>
        <v>6540521</v>
      </c>
    </row>
    <row r="9" spans="1:16" x14ac:dyDescent="0.25">
      <c r="A9" t="str">
        <v>DEL</v>
      </c>
      <c r="B9" t="str">
        <v>Giuliano</v>
      </c>
      <c r="C9" s="1">
        <v>45872</v>
      </c>
      <c r="D9" s="2">
        <v>0</v>
      </c>
      <c r="E9" t="str">
        <f t="shared" si="0"/>
        <v/>
      </c>
      <c r="K9" t="str">
        <v>Moi Gómez</v>
      </c>
      <c r="L9" t="str">
        <v>MED</v>
      </c>
      <c r="M9" s="1">
        <v>45879</v>
      </c>
      <c r="N9" s="2">
        <v>5807847</v>
      </c>
      <c r="O9" s="2">
        <f t="shared" si="1"/>
        <v>0</v>
      </c>
      <c r="P9" s="2">
        <f t="shared" si="2"/>
        <v>5807847</v>
      </c>
    </row>
    <row r="10" spans="1:16" x14ac:dyDescent="0.25">
      <c r="A10" t="str">
        <v>MED</v>
      </c>
      <c r="B10" t="str">
        <v>Javi Guerra</v>
      </c>
      <c r="C10" s="1">
        <v>45872</v>
      </c>
      <c r="D10" s="2">
        <v>0</v>
      </c>
      <c r="E10" t="str">
        <f t="shared" si="0"/>
        <v/>
      </c>
      <c r="K10" t="str">
        <v>Pépé</v>
      </c>
      <c r="L10" t="str">
        <v>DEL</v>
      </c>
      <c r="M10" s="1">
        <v>45886</v>
      </c>
      <c r="N10" s="2">
        <v>19282733</v>
      </c>
      <c r="O10" s="2">
        <f t="shared" si="1"/>
        <v>0</v>
      </c>
      <c r="P10" s="2">
        <f t="shared" si="2"/>
        <v>19282733</v>
      </c>
    </row>
    <row r="11" spans="1:16" x14ac:dyDescent="0.25">
      <c r="A11" t="str">
        <v>DEF</v>
      </c>
      <c r="B11" t="str">
        <v>Krejci</v>
      </c>
      <c r="C11" s="1">
        <v>45872</v>
      </c>
      <c r="D11" s="2">
        <v>0</v>
      </c>
      <c r="E11" t="str">
        <f t="shared" si="0"/>
        <v/>
      </c>
      <c r="K11" t="str">
        <v>Blanco</v>
      </c>
      <c r="L11" t="str">
        <v>MED</v>
      </c>
      <c r="M11" s="1">
        <v>45887</v>
      </c>
      <c r="N11" s="2">
        <v>11636446</v>
      </c>
      <c r="O11" s="2">
        <f t="shared" si="1"/>
        <v>0</v>
      </c>
      <c r="P11" s="2">
        <f t="shared" si="2"/>
        <v>11636446</v>
      </c>
    </row>
    <row r="12" spans="1:16" x14ac:dyDescent="0.25">
      <c r="A12" t="str">
        <v>MED</v>
      </c>
      <c r="B12" t="str">
        <v>Moi Gómez</v>
      </c>
      <c r="C12" s="1">
        <v>45872</v>
      </c>
      <c r="D12" s="2">
        <v>0</v>
      </c>
      <c r="E12" t="str">
        <f t="shared" si="0"/>
        <v/>
      </c>
      <c r="K12" t="str">
        <v>Krejci</v>
      </c>
      <c r="L12" t="str">
        <v>DEF</v>
      </c>
      <c r="M12" s="1">
        <v>45890</v>
      </c>
      <c r="N12" s="2">
        <v>6547216</v>
      </c>
      <c r="O12" s="2">
        <f t="shared" si="1"/>
        <v>0</v>
      </c>
      <c r="P12" s="2">
        <f t="shared" si="2"/>
        <v>6547216</v>
      </c>
    </row>
    <row r="13" spans="1:16" x14ac:dyDescent="0.25">
      <c r="A13" t="str">
        <v>MED</v>
      </c>
      <c r="B13" t="str">
        <v>Pablo Torre</v>
      </c>
      <c r="C13" s="1">
        <v>45872</v>
      </c>
      <c r="D13" s="2">
        <v>0</v>
      </c>
      <c r="E13" t="str">
        <f t="shared" si="0"/>
        <v/>
      </c>
      <c r="K13" t="str">
        <v>Foyth</v>
      </c>
      <c r="L13" t="str">
        <v>DEF</v>
      </c>
      <c r="M13" s="1">
        <v>45897</v>
      </c>
      <c r="N13" s="2">
        <v>27796533</v>
      </c>
      <c r="O13" s="2">
        <f t="shared" si="1"/>
        <v>0</v>
      </c>
      <c r="P13" s="2">
        <f t="shared" si="2"/>
        <v>27796533</v>
      </c>
    </row>
    <row r="14" spans="1:16" x14ac:dyDescent="0.25">
      <c r="A14" t="str">
        <v>DEL</v>
      </c>
      <c r="B14" t="str">
        <v>Pépé</v>
      </c>
      <c r="C14" s="1">
        <v>45872</v>
      </c>
      <c r="D14" s="2">
        <v>0</v>
      </c>
      <c r="E14" t="str">
        <f t="shared" si="0"/>
        <v/>
      </c>
      <c r="K14" t="str">
        <v>Buchanan</v>
      </c>
      <c r="L14" t="str">
        <v>MED</v>
      </c>
      <c r="M14" s="1">
        <v>45900</v>
      </c>
      <c r="N14" s="2">
        <v>10108420</v>
      </c>
      <c r="O14" s="2">
        <f t="shared" si="1"/>
        <v>5158826</v>
      </c>
      <c r="P14" s="2">
        <f t="shared" si="2"/>
        <v>4949594</v>
      </c>
    </row>
    <row r="15" spans="1:16" x14ac:dyDescent="0.25">
      <c r="A15" t="str">
        <v>MED</v>
      </c>
      <c r="B15" t="str">
        <v>Rioja</v>
      </c>
      <c r="C15" s="1">
        <v>45872</v>
      </c>
      <c r="D15" s="2">
        <v>0</v>
      </c>
      <c r="E15" t="str">
        <f t="shared" si="0"/>
        <v/>
      </c>
      <c r="K15" t="str">
        <v>Giuliano</v>
      </c>
      <c r="L15" t="str">
        <v>DEL</v>
      </c>
      <c r="M15" s="1">
        <v>45908</v>
      </c>
      <c r="N15" s="2">
        <v>40021696</v>
      </c>
      <c r="O15" s="2">
        <f t="shared" ref="O15:O20" si="3">IF(ISBLANK(N15),"",VLOOKUP(K15,B:D,3,FALSE))</f>
        <v>0</v>
      </c>
      <c r="P15" s="2">
        <f t="shared" ref="P15:P20" si="4">IF(ISBLANK(N15),"",N15-O15)</f>
        <v>40021696</v>
      </c>
    </row>
    <row r="16" spans="1:16" x14ac:dyDescent="0.25">
      <c r="A16" t="str">
        <v>DEF</v>
      </c>
      <c r="B16" t="str">
        <v>Ruggeri</v>
      </c>
      <c r="C16" s="1">
        <v>45872</v>
      </c>
      <c r="D16" s="2">
        <v>0</v>
      </c>
      <c r="E16" t="str">
        <f t="shared" si="0"/>
        <v/>
      </c>
      <c r="K16" t="str">
        <v>Portu</v>
      </c>
      <c r="L16" t="str">
        <v>DEL</v>
      </c>
      <c r="M16" s="1">
        <v>45910</v>
      </c>
      <c r="N16" s="2">
        <v>1306600</v>
      </c>
      <c r="O16" s="2">
        <f t="shared" si="3"/>
        <v>3212503</v>
      </c>
      <c r="P16" s="2">
        <f t="shared" si="4"/>
        <v>-1905903</v>
      </c>
    </row>
    <row r="17" spans="1:16" x14ac:dyDescent="0.25">
      <c r="A17" t="str">
        <v>DEL</v>
      </c>
      <c r="B17" t="str">
        <v>Tsygankov</v>
      </c>
      <c r="C17" s="1">
        <v>45872</v>
      </c>
      <c r="D17" s="2">
        <v>0</v>
      </c>
      <c r="E17" t="str">
        <f t="shared" si="0"/>
        <v/>
      </c>
      <c r="K17" t="str">
        <v>Jofre</v>
      </c>
      <c r="L17" t="str">
        <v>DEL</v>
      </c>
      <c r="M17" s="1">
        <v>45911</v>
      </c>
      <c r="N17" s="2">
        <v>1036290</v>
      </c>
      <c r="O17" s="2">
        <f t="shared" si="3"/>
        <v>1787973</v>
      </c>
      <c r="P17" s="2">
        <f t="shared" si="4"/>
        <v>-751683</v>
      </c>
    </row>
    <row r="18" spans="1:16" x14ac:dyDescent="0.25">
      <c r="A18" t="str">
        <v>DEF</v>
      </c>
      <c r="B18" t="str">
        <v>Gorosabel</v>
      </c>
      <c r="C18" s="1">
        <v>45875</v>
      </c>
      <c r="D18" s="2">
        <v>6685883</v>
      </c>
      <c r="E18" t="str">
        <f t="shared" si="0"/>
        <v/>
      </c>
      <c r="K18" t="str">
        <v>Gorosabel</v>
      </c>
      <c r="L18" t="str">
        <v>DEF</v>
      </c>
      <c r="M18" s="1">
        <v>45913</v>
      </c>
      <c r="N18" s="2">
        <v>2519608</v>
      </c>
      <c r="O18" s="2">
        <f t="shared" si="3"/>
        <v>6685883</v>
      </c>
      <c r="P18" s="2">
        <f t="shared" si="4"/>
        <v>-4166275</v>
      </c>
    </row>
    <row r="19" spans="1:16" x14ac:dyDescent="0.25">
      <c r="A19" t="str">
        <v>POR</v>
      </c>
      <c r="B19" t="str">
        <v>Oblak</v>
      </c>
      <c r="C19" s="1">
        <v>45875</v>
      </c>
      <c r="D19" s="2">
        <v>53700052</v>
      </c>
      <c r="E19" t="str">
        <f t="shared" si="0"/>
        <v>X</v>
      </c>
      <c r="K19" t="str">
        <v>Eric García</v>
      </c>
      <c r="L19" t="str">
        <v>DEF</v>
      </c>
      <c r="M19" s="1">
        <v>45916</v>
      </c>
      <c r="N19" s="2">
        <v>21721246</v>
      </c>
      <c r="O19" s="2">
        <f t="shared" si="3"/>
        <v>18083316</v>
      </c>
      <c r="P19" s="2">
        <f t="shared" si="4"/>
        <v>3637930</v>
      </c>
    </row>
    <row r="20" spans="1:16" x14ac:dyDescent="0.25">
      <c r="A20" t="str">
        <v>DEL</v>
      </c>
      <c r="B20" t="str">
        <v>Portu</v>
      </c>
      <c r="C20" s="1">
        <v>45877</v>
      </c>
      <c r="D20" s="2">
        <v>3212503</v>
      </c>
      <c r="E20" t="str">
        <f t="shared" si="0"/>
        <v/>
      </c>
      <c r="K20" t="str">
        <v>Juan Cruz</v>
      </c>
      <c r="L20" t="str">
        <v>DEF</v>
      </c>
      <c r="M20" s="1">
        <v>45916</v>
      </c>
      <c r="N20" s="2">
        <v>2424598</v>
      </c>
      <c r="O20" s="2">
        <f t="shared" si="3"/>
        <v>2090983</v>
      </c>
      <c r="P20" s="2">
        <f t="shared" si="4"/>
        <v>333615</v>
      </c>
    </row>
    <row r="21" spans="1:16" x14ac:dyDescent="0.25">
      <c r="A21" t="str">
        <v>POR</v>
      </c>
      <c r="B21" t="str">
        <v>Musso</v>
      </c>
      <c r="C21" s="1">
        <v>45881</v>
      </c>
      <c r="D21" s="2">
        <v>1153801</v>
      </c>
      <c r="E21" t="str">
        <f t="shared" si="0"/>
        <v>X</v>
      </c>
      <c r="K21" t="str">
        <v>Parejo</v>
      </c>
      <c r="L21" t="str">
        <v>MED</v>
      </c>
      <c r="M21" s="1">
        <v>45916</v>
      </c>
      <c r="N21" s="2">
        <v>6735366</v>
      </c>
      <c r="O21" s="2">
        <f t="shared" ref="O21:O48" si="5">IF(ISBLANK(N21),"",VLOOKUP(K21,B:D,3,FALSE))</f>
        <v>7125049</v>
      </c>
      <c r="P21" s="2">
        <f t="shared" ref="P21:P48" si="6">IF(ISBLANK(N21),"",N21-O21)</f>
        <v>-389683</v>
      </c>
    </row>
    <row r="22" spans="1:16" x14ac:dyDescent="0.25">
      <c r="A22" t="str">
        <v>DEF</v>
      </c>
      <c r="B22" t="str">
        <v>Koundé</v>
      </c>
      <c r="C22" s="1">
        <v>45882</v>
      </c>
      <c r="D22" s="2">
        <v>63323263</v>
      </c>
      <c r="E22" t="str">
        <f t="shared" si="0"/>
        <v/>
      </c>
      <c r="K22" t="str">
        <v>Roberto</v>
      </c>
      <c r="L22" t="str">
        <v>DEL</v>
      </c>
      <c r="M22" s="1">
        <v>45918</v>
      </c>
      <c r="N22" s="2">
        <v>6065798</v>
      </c>
      <c r="O22" s="2">
        <f t="shared" si="5"/>
        <v>5545277</v>
      </c>
      <c r="P22" s="2">
        <f t="shared" si="6"/>
        <v>520521</v>
      </c>
    </row>
    <row r="23" spans="1:16" x14ac:dyDescent="0.25">
      <c r="A23" t="str">
        <v>MED</v>
      </c>
      <c r="B23" t="str">
        <v>Buchanan</v>
      </c>
      <c r="C23" s="1">
        <v>45886</v>
      </c>
      <c r="D23" s="2">
        <v>5158826</v>
      </c>
      <c r="E23" t="str">
        <f t="shared" si="0"/>
        <v/>
      </c>
      <c r="K23" t="str">
        <v>Mariano</v>
      </c>
      <c r="L23" t="str">
        <v>DEL</v>
      </c>
      <c r="M23" s="1">
        <v>45920</v>
      </c>
      <c r="N23" s="2">
        <v>2029929</v>
      </c>
      <c r="O23" s="2">
        <f t="shared" si="5"/>
        <v>4983684</v>
      </c>
      <c r="P23" s="2">
        <f t="shared" si="6"/>
        <v>-2953755</v>
      </c>
    </row>
    <row r="24" spans="1:16" x14ac:dyDescent="0.25">
      <c r="A24" t="str">
        <v>DEL</v>
      </c>
      <c r="B24" t="str">
        <v>Mariano</v>
      </c>
      <c r="C24" s="1">
        <v>45887</v>
      </c>
      <c r="D24" s="2">
        <v>4983684</v>
      </c>
      <c r="E24" t="str">
        <f t="shared" si="0"/>
        <v/>
      </c>
      <c r="K24" t="str">
        <v>Foyth</v>
      </c>
      <c r="L24" t="str">
        <v>DEF</v>
      </c>
      <c r="M24" s="1">
        <v>45921</v>
      </c>
      <c r="N24" s="2">
        <v>24948413</v>
      </c>
      <c r="O24" s="2">
        <f t="shared" si="5"/>
        <v>0</v>
      </c>
      <c r="P24" s="2">
        <f t="shared" si="6"/>
        <v>24948413</v>
      </c>
    </row>
    <row r="25" spans="1:16" x14ac:dyDescent="0.25">
      <c r="A25" t="str">
        <v>DEL</v>
      </c>
      <c r="B25" t="str">
        <v>Jofre</v>
      </c>
      <c r="C25" s="1">
        <v>45889</v>
      </c>
      <c r="D25" s="2">
        <v>1787973</v>
      </c>
      <c r="E25" t="str">
        <f t="shared" si="0"/>
        <v/>
      </c>
      <c r="K25" t="str">
        <v>Altimira</v>
      </c>
      <c r="L25" t="str">
        <v>MED</v>
      </c>
      <c r="M25" s="1">
        <v>45922</v>
      </c>
      <c r="N25" s="2">
        <v>17194258</v>
      </c>
      <c r="O25" s="2">
        <f t="shared" si="5"/>
        <v>14285808</v>
      </c>
      <c r="P25" s="2">
        <f t="shared" si="6"/>
        <v>2908450</v>
      </c>
    </row>
    <row r="26" spans="1:16" x14ac:dyDescent="0.25">
      <c r="A26" t="str">
        <v>DEF</v>
      </c>
      <c r="B26" t="str">
        <v>M. Alonso</v>
      </c>
      <c r="C26" s="1">
        <v>45897</v>
      </c>
      <c r="D26" s="2">
        <v>18644883</v>
      </c>
      <c r="E26" t="str">
        <f t="shared" si="0"/>
        <v/>
      </c>
      <c r="K26" t="str">
        <v>Javi Guerra</v>
      </c>
      <c r="L26" t="str">
        <v>MED</v>
      </c>
      <c r="M26" s="1">
        <v>45922</v>
      </c>
      <c r="N26" s="2">
        <v>33365531</v>
      </c>
      <c r="O26" s="2">
        <f t="shared" si="5"/>
        <v>0</v>
      </c>
      <c r="P26" s="2">
        <f t="shared" si="6"/>
        <v>33365531</v>
      </c>
    </row>
    <row r="27" spans="1:16" x14ac:dyDescent="0.25">
      <c r="A27" t="str">
        <v>MED</v>
      </c>
      <c r="B27" t="str">
        <v>Navarro</v>
      </c>
      <c r="C27" s="1">
        <v>45897</v>
      </c>
      <c r="D27" s="2">
        <v>4814940</v>
      </c>
      <c r="E27" t="str">
        <f t="shared" si="0"/>
        <v/>
      </c>
      <c r="K27" t="str">
        <v>Pathé Ciss</v>
      </c>
      <c r="L27" t="str">
        <v>MED</v>
      </c>
      <c r="M27" s="1">
        <v>45922</v>
      </c>
      <c r="N27" s="2">
        <v>11000010</v>
      </c>
      <c r="O27" s="2">
        <f t="shared" si="5"/>
        <v>8000010</v>
      </c>
      <c r="P27" s="2">
        <f t="shared" si="6"/>
        <v>3000000</v>
      </c>
    </row>
    <row r="28" spans="1:16" x14ac:dyDescent="0.25">
      <c r="A28" t="str">
        <v>MED</v>
      </c>
      <c r="B28" t="str">
        <v>Pathé Ciss</v>
      </c>
      <c r="C28" s="1">
        <v>45897</v>
      </c>
      <c r="D28" s="2">
        <v>8000010</v>
      </c>
      <c r="E28" t="str">
        <f t="shared" si="0"/>
        <v/>
      </c>
      <c r="K28" t="str">
        <v>Giuliano</v>
      </c>
      <c r="L28" t="str">
        <v>DEL</v>
      </c>
      <c r="M28" s="1">
        <v>45924</v>
      </c>
      <c r="N28" s="2">
        <v>43671924</v>
      </c>
      <c r="O28" s="2">
        <f t="shared" si="5"/>
        <v>0</v>
      </c>
      <c r="P28" s="2">
        <f t="shared" si="6"/>
        <v>43671924</v>
      </c>
    </row>
    <row r="29" spans="1:16" x14ac:dyDescent="0.25">
      <c r="A29" t="str">
        <v>DEL</v>
      </c>
      <c r="B29" t="str">
        <v>Roberto</v>
      </c>
      <c r="C29" s="1">
        <v>45909</v>
      </c>
      <c r="D29" s="2">
        <v>5545277</v>
      </c>
      <c r="E29" t="str">
        <f t="shared" si="0"/>
        <v/>
      </c>
      <c r="K29" t="str">
        <v>Navarro</v>
      </c>
      <c r="L29" t="str">
        <v>MED</v>
      </c>
      <c r="M29" s="1">
        <v>45924</v>
      </c>
      <c r="N29" s="2">
        <v>3268820</v>
      </c>
      <c r="O29" s="2">
        <f t="shared" si="5"/>
        <v>4814940</v>
      </c>
      <c r="P29" s="2">
        <f t="shared" si="6"/>
        <v>-1546120</v>
      </c>
    </row>
    <row r="30" spans="1:16" x14ac:dyDescent="0.25">
      <c r="A30" t="str">
        <v>DEF</v>
      </c>
      <c r="B30" t="str">
        <v>Eric García</v>
      </c>
      <c r="C30" s="1">
        <v>45910</v>
      </c>
      <c r="D30" s="2">
        <v>18083316</v>
      </c>
      <c r="E30" t="str">
        <f t="shared" si="0"/>
        <v/>
      </c>
      <c r="K30" t="str">
        <v>Rioja</v>
      </c>
      <c r="L30" t="str">
        <v>MED</v>
      </c>
      <c r="M30" s="1">
        <v>45924</v>
      </c>
      <c r="N30" s="2">
        <v>17832782</v>
      </c>
      <c r="O30" s="2">
        <f t="shared" si="5"/>
        <v>0</v>
      </c>
      <c r="P30" s="2">
        <f t="shared" si="6"/>
        <v>17832782</v>
      </c>
    </row>
    <row r="31" spans="1:16" x14ac:dyDescent="0.25">
      <c r="A31" t="str">
        <v>DEF</v>
      </c>
      <c r="B31" t="str">
        <v>Juan Cruz</v>
      </c>
      <c r="C31" s="1">
        <v>45910</v>
      </c>
      <c r="D31" s="2">
        <v>2090983</v>
      </c>
      <c r="E31" t="str">
        <f t="shared" si="0"/>
        <v/>
      </c>
      <c r="K31" t="str">
        <v>Iván Romero</v>
      </c>
      <c r="L31" t="str">
        <v>DEL</v>
      </c>
      <c r="M31" s="1">
        <v>45927</v>
      </c>
      <c r="N31" s="2">
        <v>5987878</v>
      </c>
      <c r="O31" s="2">
        <f t="shared" si="5"/>
        <v>5987878</v>
      </c>
      <c r="P31" s="2">
        <f t="shared" si="6"/>
        <v>0</v>
      </c>
    </row>
    <row r="32" spans="1:16" x14ac:dyDescent="0.25">
      <c r="A32" t="str">
        <v>DEF</v>
      </c>
      <c r="B32" t="str">
        <v>Foyth</v>
      </c>
      <c r="C32" s="1">
        <v>45911</v>
      </c>
      <c r="D32" s="2">
        <v>31796533</v>
      </c>
      <c r="E32" t="str">
        <f t="shared" si="0"/>
        <v>X</v>
      </c>
      <c r="K32" t="str">
        <v>Ruggeri</v>
      </c>
      <c r="L32" t="str">
        <v>DEF</v>
      </c>
      <c r="M32" s="1">
        <v>45929</v>
      </c>
      <c r="N32" s="2">
        <v>10791321</v>
      </c>
      <c r="O32" s="2">
        <f t="shared" si="5"/>
        <v>0</v>
      </c>
      <c r="P32" s="2">
        <f t="shared" si="6"/>
        <v>10791321</v>
      </c>
    </row>
    <row r="33" spans="1:16" x14ac:dyDescent="0.25">
      <c r="A33" t="str">
        <v>DEL</v>
      </c>
      <c r="B33" t="str">
        <v>Iván Romero</v>
      </c>
      <c r="C33" s="1">
        <v>45911</v>
      </c>
      <c r="D33" s="2">
        <v>5987878</v>
      </c>
      <c r="E33" t="str">
        <f t="shared" si="0"/>
        <v/>
      </c>
      <c r="K33" t="str">
        <v>Tchouaméni</v>
      </c>
      <c r="L33" t="str">
        <v>MED</v>
      </c>
      <c r="M33" s="1">
        <v>45929</v>
      </c>
      <c r="N33" s="2">
        <v>62471604</v>
      </c>
      <c r="O33" s="2">
        <f t="shared" si="5"/>
        <v>60976487</v>
      </c>
      <c r="P33" s="2">
        <f t="shared" si="6"/>
        <v>1495117</v>
      </c>
    </row>
    <row r="34" spans="1:16" x14ac:dyDescent="0.25">
      <c r="A34" t="str">
        <v>MED</v>
      </c>
      <c r="B34" t="str">
        <v>Parejo</v>
      </c>
      <c r="C34" s="1">
        <v>45911</v>
      </c>
      <c r="D34" s="2">
        <v>7125049</v>
      </c>
      <c r="E34" t="str">
        <f t="shared" si="0"/>
        <v/>
      </c>
      <c r="K34" t="str">
        <v>Boyomo</v>
      </c>
      <c r="L34" t="str">
        <v>DEF</v>
      </c>
      <c r="M34" s="1">
        <v>45931</v>
      </c>
      <c r="N34" s="2">
        <v>26929228</v>
      </c>
      <c r="O34" s="2">
        <f t="shared" si="5"/>
        <v>19778592</v>
      </c>
      <c r="P34" s="2">
        <f t="shared" si="6"/>
        <v>7150636</v>
      </c>
    </row>
    <row r="35" spans="1:16" x14ac:dyDescent="0.25">
      <c r="A35" t="str">
        <v>MED</v>
      </c>
      <c r="B35" t="str">
        <v>Altimira</v>
      </c>
      <c r="C35" s="1">
        <v>45916</v>
      </c>
      <c r="D35" s="2">
        <v>14285808</v>
      </c>
      <c r="E35" t="str">
        <f t="shared" si="0"/>
        <v/>
      </c>
      <c r="K35" t="str">
        <v>Peña</v>
      </c>
      <c r="L35" t="str">
        <v>POR</v>
      </c>
      <c r="M35" s="1">
        <v>45931</v>
      </c>
      <c r="N35" s="2">
        <v>2259813</v>
      </c>
      <c r="O35" s="2">
        <f t="shared" si="5"/>
        <v>2225124</v>
      </c>
      <c r="P35" s="2">
        <f t="shared" si="6"/>
        <v>34689</v>
      </c>
    </row>
    <row r="36" spans="1:16" x14ac:dyDescent="0.25">
      <c r="A36" t="str">
        <v>DEF</v>
      </c>
      <c r="B36" t="str">
        <v>Ristic</v>
      </c>
      <c r="C36" s="1">
        <v>45916</v>
      </c>
      <c r="D36" s="2">
        <v>1000000</v>
      </c>
      <c r="K36" t="str">
        <v>Oluwaseyi</v>
      </c>
      <c r="L36" t="str">
        <v>DEL</v>
      </c>
      <c r="M36" s="1">
        <v>45931</v>
      </c>
      <c r="N36" s="2">
        <v>2929819</v>
      </c>
      <c r="O36" s="2">
        <f t="shared" si="5"/>
        <v>2856286</v>
      </c>
      <c r="P36" s="2">
        <f t="shared" si="6"/>
        <v>73533</v>
      </c>
    </row>
    <row r="37" spans="1:16" x14ac:dyDescent="0.25">
      <c r="A37" t="str">
        <v>DEF</v>
      </c>
      <c r="B37" t="str">
        <v>Boyomo</v>
      </c>
      <c r="C37" s="1">
        <v>45917</v>
      </c>
      <c r="D37" s="2">
        <v>19778592</v>
      </c>
      <c r="K37" t="str">
        <v>Koundé</v>
      </c>
      <c r="L37" t="str">
        <v>DEF</v>
      </c>
      <c r="M37" s="1">
        <v>45933</v>
      </c>
      <c r="N37" s="2">
        <v>53854422</v>
      </c>
      <c r="O37" s="2">
        <f t="shared" si="5"/>
        <v>63323263</v>
      </c>
      <c r="P37" s="2">
        <f t="shared" si="6"/>
        <v>-9468841</v>
      </c>
    </row>
    <row r="38" spans="1:16" x14ac:dyDescent="0.25">
      <c r="A38" t="str">
        <v>DEL</v>
      </c>
      <c r="B38" t="str">
        <v>Giuliano</v>
      </c>
      <c r="C38" s="1">
        <v>45920</v>
      </c>
      <c r="D38" s="2">
        <v>42151996</v>
      </c>
      <c r="K38" t="str">
        <v>Bellingham</v>
      </c>
      <c r="L38" t="str">
        <v>MED</v>
      </c>
      <c r="M38" s="1">
        <v>45937</v>
      </c>
      <c r="N38" s="2">
        <v>81008927</v>
      </c>
      <c r="O38" s="2">
        <f t="shared" si="5"/>
        <v>78247575</v>
      </c>
      <c r="P38" s="2">
        <f t="shared" si="6"/>
        <v>2761352</v>
      </c>
    </row>
    <row r="39" spans="1:16" x14ac:dyDescent="0.25">
      <c r="A39" t="str">
        <v>MED</v>
      </c>
      <c r="B39" t="str">
        <v>Tchouaméni</v>
      </c>
      <c r="C39" s="1">
        <v>45921</v>
      </c>
      <c r="D39" s="2">
        <v>60976487</v>
      </c>
      <c r="K39" t="str">
        <v>Romero</v>
      </c>
      <c r="L39" t="str">
        <v>DEL</v>
      </c>
      <c r="M39" s="1">
        <v>45938</v>
      </c>
      <c r="N39" s="2">
        <v>13987987</v>
      </c>
      <c r="O39" s="2">
        <f t="shared" si="5"/>
        <v>13987987</v>
      </c>
      <c r="P39" s="2">
        <f t="shared" si="6"/>
        <v>0</v>
      </c>
    </row>
    <row r="40" spans="1:16" x14ac:dyDescent="0.25">
      <c r="A40" t="str">
        <v>MED</v>
      </c>
      <c r="B40" t="str">
        <v>Guridi</v>
      </c>
      <c r="C40" s="1">
        <v>45922</v>
      </c>
      <c r="D40" s="2">
        <v>2499999</v>
      </c>
      <c r="K40" t="str">
        <v>Vinicius</v>
      </c>
      <c r="L40" t="str">
        <v>DEL</v>
      </c>
      <c r="M40" s="1">
        <v>45945</v>
      </c>
      <c r="N40" s="2">
        <v>152239079</v>
      </c>
      <c r="O40" s="2">
        <f t="shared" si="5"/>
        <v>130000001</v>
      </c>
      <c r="P40" s="2">
        <f t="shared" si="6"/>
        <v>22239078</v>
      </c>
    </row>
    <row r="41" spans="1:16" x14ac:dyDescent="0.25">
      <c r="A41" t="str">
        <v>DEL</v>
      </c>
      <c r="B41" t="str">
        <v>Romero</v>
      </c>
      <c r="C41" s="1">
        <v>45922</v>
      </c>
      <c r="D41" s="2">
        <v>13987987</v>
      </c>
      <c r="K41" t="str">
        <v>Jauregizar</v>
      </c>
      <c r="L41" t="str">
        <v>MED</v>
      </c>
      <c r="M41" s="1">
        <v>45949</v>
      </c>
      <c r="N41" s="2">
        <v>24476604</v>
      </c>
      <c r="O41" s="2">
        <f t="shared" si="5"/>
        <v>18099036</v>
      </c>
      <c r="P41" s="2">
        <f t="shared" si="6"/>
        <v>6377568</v>
      </c>
    </row>
    <row r="42" spans="1:16" x14ac:dyDescent="0.25">
      <c r="A42" t="str">
        <v>DEL</v>
      </c>
      <c r="B42" t="str">
        <v>Durán</v>
      </c>
      <c r="C42" s="1">
        <v>45922</v>
      </c>
      <c r="D42" s="2">
        <v>1600000</v>
      </c>
      <c r="K42" t="str">
        <v>Durán</v>
      </c>
      <c r="L42" t="str">
        <v>DEL</v>
      </c>
      <c r="M42" s="1">
        <v>45952</v>
      </c>
      <c r="N42" s="2">
        <v>1600000</v>
      </c>
      <c r="O42" s="2">
        <f t="shared" si="5"/>
        <v>1600000</v>
      </c>
      <c r="P42" s="2">
        <f t="shared" si="6"/>
        <v>0</v>
      </c>
    </row>
    <row r="43" spans="1:16" x14ac:dyDescent="0.25">
      <c r="A43" t="str">
        <v>MED</v>
      </c>
      <c r="B43" t="str">
        <v>Bellingham</v>
      </c>
      <c r="C43" s="1">
        <v>45923</v>
      </c>
      <c r="D43" s="2">
        <v>78247575</v>
      </c>
      <c r="K43" t="str">
        <v>Juan Cruz</v>
      </c>
      <c r="L43" t="str">
        <v>DEF</v>
      </c>
      <c r="M43" s="1">
        <v>45952</v>
      </c>
      <c r="N43" s="2">
        <v>2243833</v>
      </c>
      <c r="O43" s="2">
        <f t="shared" si="5"/>
        <v>2090983</v>
      </c>
      <c r="P43" s="2">
        <f t="shared" si="6"/>
        <v>152850</v>
      </c>
    </row>
    <row r="44" spans="1:16" x14ac:dyDescent="0.25">
      <c r="A44" t="str">
        <v>DEF</v>
      </c>
      <c r="B44" t="str">
        <v>A. Christensen</v>
      </c>
      <c r="C44" s="1">
        <v>45924</v>
      </c>
      <c r="D44" s="2">
        <v>4110892</v>
      </c>
      <c r="K44" t="str">
        <v>Romero</v>
      </c>
      <c r="L44" t="str">
        <v>DEF</v>
      </c>
      <c r="M44" s="1">
        <v>45955</v>
      </c>
      <c r="N44" s="2">
        <v>16000000</v>
      </c>
      <c r="O44" s="2">
        <f t="shared" si="5"/>
        <v>13987987</v>
      </c>
      <c r="P44" s="2">
        <f t="shared" si="6"/>
        <v>2012013</v>
      </c>
    </row>
    <row r="45" spans="1:16" x14ac:dyDescent="0.25">
      <c r="A45" t="str">
        <v>POR</v>
      </c>
      <c r="B45" t="str">
        <v>Peña</v>
      </c>
      <c r="C45" s="1">
        <v>45929</v>
      </c>
      <c r="D45" s="2">
        <v>2225124</v>
      </c>
      <c r="K45" t="str">
        <v>Abde</v>
      </c>
      <c r="L45" t="str">
        <v>DEL</v>
      </c>
      <c r="M45" s="1">
        <v>45959</v>
      </c>
      <c r="N45" s="2">
        <v>32239613</v>
      </c>
      <c r="O45" s="2">
        <f t="shared" si="5"/>
        <v>32239613</v>
      </c>
      <c r="P45" s="2">
        <f t="shared" si="6"/>
        <v>0</v>
      </c>
    </row>
    <row r="46" spans="1:16" x14ac:dyDescent="0.25">
      <c r="A46" t="str">
        <v>DEF</v>
      </c>
      <c r="B46" t="str">
        <v>Francés</v>
      </c>
      <c r="C46" s="1">
        <v>45930</v>
      </c>
      <c r="D46" s="2">
        <v>1704077</v>
      </c>
      <c r="K46" t="str">
        <v>Alejandro Rego</v>
      </c>
      <c r="L46" t="str">
        <v>DEF</v>
      </c>
      <c r="M46" s="1">
        <v>45959</v>
      </c>
      <c r="N46" s="2">
        <v>526248</v>
      </c>
      <c r="O46" s="2">
        <f t="shared" si="5"/>
        <v>512739</v>
      </c>
      <c r="P46" s="2">
        <f t="shared" si="6"/>
        <v>13509</v>
      </c>
    </row>
    <row r="47" spans="1:16" x14ac:dyDescent="0.25">
      <c r="A47" t="str">
        <v>MED</v>
      </c>
      <c r="B47" t="str">
        <v>Jauregizar</v>
      </c>
      <c r="C47" s="1">
        <v>45930</v>
      </c>
      <c r="D47" s="2">
        <v>18099036</v>
      </c>
      <c r="K47" t="str">
        <v>Oyarzabal</v>
      </c>
      <c r="L47" t="str">
        <v>DEL</v>
      </c>
      <c r="M47" s="1">
        <v>45959</v>
      </c>
      <c r="N47" s="2">
        <v>43160079</v>
      </c>
      <c r="O47" s="2">
        <f t="shared" si="5"/>
        <v>38294813</v>
      </c>
      <c r="P47" s="2">
        <f t="shared" si="6"/>
        <v>4865266</v>
      </c>
    </row>
    <row r="48" spans="1:16" x14ac:dyDescent="0.25">
      <c r="A48" t="str">
        <v>DEL</v>
      </c>
      <c r="B48" t="str">
        <v>Oluwaseyi</v>
      </c>
      <c r="C48" s="1">
        <v>45930</v>
      </c>
      <c r="D48" s="2">
        <v>2856286</v>
      </c>
      <c r="K48" t="str">
        <v>M. Alonso</v>
      </c>
      <c r="L48" t="str">
        <v>DEF</v>
      </c>
      <c r="M48" s="1">
        <v>45960</v>
      </c>
      <c r="N48" s="2">
        <v>18644883</v>
      </c>
      <c r="O48" s="2">
        <f t="shared" si="5"/>
        <v>18644883</v>
      </c>
      <c r="P48" s="2">
        <f t="shared" si="6"/>
        <v>0</v>
      </c>
    </row>
    <row r="49" spans="1:14" x14ac:dyDescent="0.25">
      <c r="A49" t="str">
        <v>MED</v>
      </c>
      <c r="B49" t="str">
        <v>Roca</v>
      </c>
      <c r="C49" s="1">
        <v>45930</v>
      </c>
      <c r="D49" s="2">
        <v>379084</v>
      </c>
      <c r="K49" t="str">
        <v>Güler</v>
      </c>
      <c r="L49" t="str">
        <v>MED</v>
      </c>
      <c r="M49" s="1">
        <v>45960</v>
      </c>
      <c r="N49" s="2">
        <v>122854925</v>
      </c>
    </row>
    <row r="50" spans="1:14" x14ac:dyDescent="0.25">
      <c r="A50" t="str">
        <v>MED</v>
      </c>
      <c r="B50" t="str">
        <v>Guevara</v>
      </c>
      <c r="C50" s="1">
        <v>45932</v>
      </c>
      <c r="D50" s="2">
        <v>896928</v>
      </c>
      <c r="K50" t="str">
        <v>Aguado</v>
      </c>
      <c r="L50" t="str">
        <v>MED</v>
      </c>
      <c r="M50" s="1">
        <v>45964</v>
      </c>
      <c r="N50" s="2">
        <v>1286806</v>
      </c>
    </row>
    <row r="51" spans="1:14" x14ac:dyDescent="0.25">
      <c r="A51" t="str">
        <v>DEL</v>
      </c>
      <c r="B51" t="str">
        <v>Vinicius</v>
      </c>
      <c r="C51" s="1">
        <v>45933</v>
      </c>
      <c r="D51" s="2">
        <v>130000001</v>
      </c>
      <c r="K51" t="str">
        <v>Hancko</v>
      </c>
      <c r="L51" t="str">
        <v>DEF</v>
      </c>
      <c r="M51" s="1">
        <v>45966</v>
      </c>
      <c r="N51" s="2">
        <v>20000000</v>
      </c>
    </row>
    <row r="52" spans="1:14" x14ac:dyDescent="0.25">
      <c r="A52" t="str">
        <v>DEF</v>
      </c>
      <c r="B52" t="str">
        <v>Romero</v>
      </c>
      <c r="C52" s="1">
        <v>45933</v>
      </c>
      <c r="D52" s="2">
        <v>16000000</v>
      </c>
      <c r="K52" t="str">
        <v>Valjent</v>
      </c>
      <c r="L52" t="str">
        <v>DEF</v>
      </c>
      <c r="M52" s="1">
        <v>45966</v>
      </c>
      <c r="N52" s="2">
        <v>7108000</v>
      </c>
    </row>
    <row r="53" spans="1:14" x14ac:dyDescent="0.25">
      <c r="A53" t="str">
        <v>DEF</v>
      </c>
      <c r="B53" t="str">
        <v>Paredes</v>
      </c>
      <c r="C53" s="1">
        <v>45935</v>
      </c>
      <c r="D53" s="2">
        <v>28504496</v>
      </c>
      <c r="K53" t="str">
        <v>Eric García</v>
      </c>
      <c r="L53" t="str">
        <v>DEF</v>
      </c>
      <c r="M53" s="1">
        <v>45967</v>
      </c>
      <c r="N53" s="2">
        <v>43923813</v>
      </c>
    </row>
    <row r="54" spans="1:14" x14ac:dyDescent="0.25">
      <c r="A54" t="str">
        <v>DEF</v>
      </c>
      <c r="B54" t="str">
        <v>Alejandro Rego</v>
      </c>
      <c r="C54" s="1">
        <v>45935</v>
      </c>
      <c r="D54" s="2">
        <v>512739</v>
      </c>
      <c r="K54" t="str">
        <v>Romero</v>
      </c>
      <c r="L54" t="str">
        <v>DEL</v>
      </c>
      <c r="M54" s="1">
        <v>45968</v>
      </c>
      <c r="N54" s="2">
        <v>7974814</v>
      </c>
    </row>
    <row r="55" spans="1:14" x14ac:dyDescent="0.25">
      <c r="A55" t="str">
        <v>DEF</v>
      </c>
      <c r="B55" t="str">
        <v>Juan Cruz</v>
      </c>
      <c r="C55" s="1">
        <v>45936</v>
      </c>
      <c r="D55" s="2">
        <v>2806143</v>
      </c>
      <c r="K55" t="str">
        <v>Iglesias</v>
      </c>
      <c r="L55" t="str">
        <v>DEL</v>
      </c>
      <c r="M55" s="1">
        <v>45973</v>
      </c>
      <c r="N55" s="2">
        <v>19552500</v>
      </c>
    </row>
    <row r="56" spans="1:14" x14ac:dyDescent="0.25">
      <c r="A56" t="str">
        <v>DEF</v>
      </c>
      <c r="B56" t="str">
        <v>Sergio Gómez</v>
      </c>
      <c r="C56" s="1">
        <v>45944</v>
      </c>
      <c r="D56" s="2">
        <v>6195456</v>
      </c>
    </row>
    <row r="57" spans="1:14" x14ac:dyDescent="0.25">
      <c r="A57" t="str">
        <v>MED</v>
      </c>
      <c r="B57" t="str">
        <v>Güler</v>
      </c>
      <c r="C57" s="1">
        <v>45945</v>
      </c>
      <c r="D57" s="2">
        <v>122854925</v>
      </c>
    </row>
    <row r="58" spans="1:14" x14ac:dyDescent="0.25">
      <c r="A58" t="str">
        <v>DEL</v>
      </c>
      <c r="B58" t="str">
        <v>Abde</v>
      </c>
      <c r="C58" s="1">
        <v>45945</v>
      </c>
      <c r="D58" s="2">
        <v>32239613</v>
      </c>
    </row>
    <row r="59" spans="1:14" x14ac:dyDescent="0.25">
      <c r="A59" t="str">
        <v>MED</v>
      </c>
      <c r="B59" t="str">
        <v>Aguado</v>
      </c>
      <c r="C59" s="1">
        <v>45945</v>
      </c>
      <c r="D59" s="2">
        <v>1151818</v>
      </c>
    </row>
    <row r="60" spans="1:14" x14ac:dyDescent="0.25">
      <c r="A60" t="str">
        <v>DEL</v>
      </c>
      <c r="B60" t="str">
        <v>Oyarzabal</v>
      </c>
      <c r="C60" s="1">
        <v>45945</v>
      </c>
      <c r="D60" s="2">
        <v>38294813</v>
      </c>
    </row>
    <row r="61" spans="1:14" x14ac:dyDescent="0.25">
      <c r="A61" t="str">
        <v>DEF</v>
      </c>
      <c r="B61" t="str">
        <v>Caleta-Car</v>
      </c>
      <c r="C61" s="1">
        <v>45947</v>
      </c>
      <c r="D61" s="2">
        <v>3596609</v>
      </c>
    </row>
    <row r="62" spans="1:14" x14ac:dyDescent="0.25">
      <c r="A62" t="str">
        <v>MED</v>
      </c>
      <c r="B62" t="str">
        <v>Marc Roca</v>
      </c>
      <c r="C62" s="1">
        <v>45949</v>
      </c>
      <c r="D62" s="2">
        <v>1409336</v>
      </c>
    </row>
    <row r="63" spans="1:14" x14ac:dyDescent="0.25">
      <c r="A63" t="str">
        <v>DEF</v>
      </c>
      <c r="B63" t="str">
        <v>Valjent</v>
      </c>
      <c r="C63" s="1">
        <v>45952</v>
      </c>
      <c r="D63" s="2">
        <v>7108000</v>
      </c>
    </row>
    <row r="64" spans="1:14" x14ac:dyDescent="0.25">
      <c r="A64" t="str">
        <v>DEF</v>
      </c>
      <c r="B64" t="str">
        <v>Hancko</v>
      </c>
      <c r="C64" s="1">
        <v>45952</v>
      </c>
      <c r="D64" s="2">
        <v>20000000</v>
      </c>
    </row>
    <row r="65" spans="1:4" x14ac:dyDescent="0.25">
      <c r="A65" t="str">
        <v>DEL</v>
      </c>
      <c r="B65" t="str">
        <v>Romero</v>
      </c>
      <c r="C65" s="1">
        <v>45952</v>
      </c>
      <c r="D65" s="2">
        <v>13987987</v>
      </c>
    </row>
    <row r="66" spans="1:4" x14ac:dyDescent="0.25">
      <c r="A66" t="str">
        <v>MED</v>
      </c>
      <c r="B66" t="str">
        <v>Pathé Ciss</v>
      </c>
      <c r="C66" s="1">
        <v>45957</v>
      </c>
      <c r="D66" s="2">
        <v>12481047</v>
      </c>
    </row>
    <row r="67" spans="1:4" x14ac:dyDescent="0.25">
      <c r="A67" t="str">
        <v>DEF</v>
      </c>
      <c r="B67" t="str">
        <v>Eric García</v>
      </c>
      <c r="C67" s="1">
        <v>45959</v>
      </c>
      <c r="D67" s="2">
        <v>46957357</v>
      </c>
    </row>
    <row r="68" spans="1:4" x14ac:dyDescent="0.25">
      <c r="A68" t="str">
        <v>DEL</v>
      </c>
      <c r="B68" t="str">
        <v>Iglesias</v>
      </c>
      <c r="C68" s="1">
        <v>45959</v>
      </c>
      <c r="D68" s="2">
        <v>17552500</v>
      </c>
    </row>
    <row r="69" spans="1:4" x14ac:dyDescent="0.25">
      <c r="A69" t="str">
        <v>MED</v>
      </c>
      <c r="B69" t="str">
        <v>Martim Neto</v>
      </c>
      <c r="C69" s="1">
        <v>45960</v>
      </c>
      <c r="D69" s="2">
        <v>6085841</v>
      </c>
    </row>
    <row r="70" spans="1:4" x14ac:dyDescent="0.25">
      <c r="A70" t="str">
        <v>MED</v>
      </c>
      <c r="B70" t="str">
        <v>Kubo</v>
      </c>
      <c r="C70" s="1">
        <v>45963</v>
      </c>
      <c r="D70" s="2">
        <v>20324686</v>
      </c>
    </row>
    <row r="71" spans="1:4" x14ac:dyDescent="0.25">
      <c r="A71" t="str">
        <v>DEL</v>
      </c>
      <c r="B71" t="str">
        <v>Roca</v>
      </c>
      <c r="C71" s="1">
        <v>45963</v>
      </c>
      <c r="D71" s="2">
        <v>2946948</v>
      </c>
    </row>
    <row r="72" spans="1:4" x14ac:dyDescent="0.25">
      <c r="A72" t="str">
        <v>MED</v>
      </c>
      <c r="B72" t="str">
        <v>Jauregizar</v>
      </c>
      <c r="C72" s="1">
        <v>45966</v>
      </c>
      <c r="D72" s="2">
        <v>29725093</v>
      </c>
    </row>
    <row r="73" spans="1:4" x14ac:dyDescent="0.25">
      <c r="A73" t="str">
        <v>DEF</v>
      </c>
      <c r="B73" t="str">
        <v>Carmona</v>
      </c>
      <c r="C73" s="1">
        <v>45967</v>
      </c>
      <c r="D73" s="2">
        <v>17952539</v>
      </c>
    </row>
    <row r="74" spans="1:4" x14ac:dyDescent="0.25">
      <c r="A74" t="str">
        <v>DEL</v>
      </c>
      <c r="B74" t="str">
        <v>Pere Milla</v>
      </c>
      <c r="C74" s="1">
        <v>45967</v>
      </c>
      <c r="D74" s="2">
        <v>22009683</v>
      </c>
    </row>
    <row r="75" spans="1:4" x14ac:dyDescent="0.25">
      <c r="A75" t="str">
        <v>DEF</v>
      </c>
      <c r="B75" t="str">
        <v>Alexander-Arnold</v>
      </c>
      <c r="C75" s="1">
        <v>45968</v>
      </c>
      <c r="D75" s="2">
        <v>20606993</v>
      </c>
    </row>
    <row r="76" spans="1:4" x14ac:dyDescent="0.25">
      <c r="A76" t="str">
        <v>DEF</v>
      </c>
      <c r="B76" t="str">
        <v>Huijsen</v>
      </c>
      <c r="C76" s="1">
        <v>45971</v>
      </c>
      <c r="D76" s="2">
        <v>79471660</v>
      </c>
    </row>
  </sheetData>
  <autoFilter ref="A3:E3" xr:uid="{5F15428B-3557-4568-9C67-13A37A638F0A}"/>
  <hyperlinks>
    <hyperlink ref="A1" location="Sumario!A1" display="Indice" xr:uid="{37E19A2F-4725-4613-BA77-3B5C502B38F2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C7F0BD-15AB-4AFA-AF4C-6793B0D93887}">
  <dimension ref="A1:P57"/>
  <sheetViews>
    <sheetView workbookViewId="0">
      <selection activeCell="C1" sqref="C1:C1048576"/>
    </sheetView>
  </sheetViews>
  <sheetFormatPr baseColWidth="10" defaultRowHeight="15" x14ac:dyDescent="0.25"/>
  <cols>
    <col min="3" max="3" width="11.42578125" style="1"/>
    <col min="4" max="4" width="14" style="2" bestFit="1" customWidth="1"/>
    <col min="13" max="13" width="11.42578125" style="1"/>
    <col min="14" max="15" width="14.140625" style="2" bestFit="1" customWidth="1"/>
    <col min="16" max="16" width="12.28515625" bestFit="1" customWidth="1"/>
  </cols>
  <sheetData>
    <row r="1" spans="1:16" x14ac:dyDescent="0.25">
      <c r="A1" s="3" t="s">
        <v>94</v>
      </c>
      <c r="B1" t="s">
        <v>8</v>
      </c>
      <c r="H1" s="1"/>
      <c r="I1" s="2"/>
    </row>
    <row r="2" spans="1:16" x14ac:dyDescent="0.25">
      <c r="A2" t="s">
        <v>188</v>
      </c>
      <c r="H2" s="1"/>
      <c r="I2" s="2"/>
      <c r="K2" t="s">
        <v>189</v>
      </c>
    </row>
    <row r="3" spans="1:16" x14ac:dyDescent="0.25">
      <c r="A3" t="s">
        <v>75</v>
      </c>
      <c r="B3" t="s">
        <v>25</v>
      </c>
      <c r="C3" s="1" t="s">
        <v>76</v>
      </c>
      <c r="D3" s="2" t="s">
        <v>95</v>
      </c>
      <c r="E3" t="s">
        <v>190</v>
      </c>
      <c r="H3" s="1"/>
      <c r="I3" s="2"/>
      <c r="K3" t="s">
        <v>75</v>
      </c>
      <c r="L3" t="s">
        <v>25</v>
      </c>
      <c r="M3" s="1" t="s">
        <v>93</v>
      </c>
      <c r="N3" s="2" t="s">
        <v>96</v>
      </c>
      <c r="O3" s="2" t="s">
        <v>95</v>
      </c>
      <c r="P3" t="s">
        <v>280</v>
      </c>
    </row>
    <row r="4" spans="1:16" x14ac:dyDescent="0.25">
      <c r="A4" t="str" cm="1">
        <f t="array" ref="A4:A57">_xlfn._xlws.FILTER(Fichajes!C:C,Fichajes!G:G=B1)</f>
        <v>POR</v>
      </c>
      <c r="B4" t="str" cm="1">
        <f t="array" ref="B4:B57">_xlfn._xlws.FILTER(Fichajes!B:B,Fichajes!G:G=B1)</f>
        <v>Aitor</v>
      </c>
      <c r="C4" s="1" cm="1">
        <f t="array" ref="C4:C57">_xlfn._xlws.FILTER(Fichajes!F:F,Fichajes!$G:$G=$B1)</f>
        <v>45875</v>
      </c>
      <c r="D4" s="2" cm="1">
        <f t="array" ref="D4:D57">_xlfn._xlws.FILTER(Fichajes!I:I,Fichajes!$G:$G=$B1)</f>
        <v>0</v>
      </c>
      <c r="E4" t="str">
        <f t="shared" ref="E4:E48" si="0">IF(B4="","",IFERROR(
   IF(
      (VLOOKUP(B4,K:N,3,FALSE)) &lt; C4,
      "X",
      ""
   ),
   "X")
)</f>
        <v>X</v>
      </c>
      <c r="H4" s="1"/>
      <c r="I4" s="2"/>
      <c r="K4" t="str" cm="1">
        <f t="array" ref="K4:K37">_xlfn._xlws.FILTER(Fichajes!B:B,Fichajes!$H:$H=B$1)</f>
        <v>Endrick</v>
      </c>
      <c r="L4" t="str" cm="1">
        <f t="array" ref="L4:L37">_xlfn._xlws.FILTER(Fichajes!C:C,Fichajes!$H:$H=B$1)</f>
        <v>DEL</v>
      </c>
      <c r="M4" s="1" cm="1">
        <f t="array" ref="M4:M37">_xlfn._xlws.FILTER(Fichajes!F:F,Fichajes!$H:$H=B$1)</f>
        <v>45881</v>
      </c>
      <c r="N4" s="2" cm="1">
        <f t="array" ref="N4:N37">_xlfn._xlws.FILTER(Fichajes!I:I,Fichajes!$H:$H=B$1)</f>
        <v>6324142</v>
      </c>
      <c r="O4" s="2">
        <f t="shared" ref="O4:O14" si="1">IF(ISBLANK(N4),"",VLOOKUP(K4,B:D,3,FALSE))</f>
        <v>0</v>
      </c>
      <c r="P4" s="2">
        <f t="shared" ref="P4:P14" si="2">IF(ISBLANK(N4),"",N4-O4)</f>
        <v>6324142</v>
      </c>
    </row>
    <row r="5" spans="1:16" x14ac:dyDescent="0.25">
      <c r="A5" t="str">
        <v>MED</v>
      </c>
      <c r="B5" t="str">
        <v>Almada</v>
      </c>
      <c r="C5" s="1">
        <v>45875</v>
      </c>
      <c r="D5" s="2">
        <v>0</v>
      </c>
      <c r="E5" t="str">
        <f t="shared" si="0"/>
        <v/>
      </c>
      <c r="H5" s="1"/>
      <c r="I5" s="2"/>
      <c r="K5" t="str">
        <v>Miguel</v>
      </c>
      <c r="L5" t="str">
        <v>DEF</v>
      </c>
      <c r="M5" s="1">
        <v>45881</v>
      </c>
      <c r="N5" s="2">
        <v>9729339</v>
      </c>
      <c r="O5" s="2">
        <f t="shared" si="1"/>
        <v>0</v>
      </c>
      <c r="P5" s="2">
        <f t="shared" si="2"/>
        <v>9729339</v>
      </c>
    </row>
    <row r="6" spans="1:16" x14ac:dyDescent="0.25">
      <c r="A6" t="str">
        <v>MED</v>
      </c>
      <c r="B6" t="str">
        <v>Almeida</v>
      </c>
      <c r="C6" s="1">
        <v>45875</v>
      </c>
      <c r="D6" s="2">
        <v>0</v>
      </c>
      <c r="E6" t="str">
        <f t="shared" si="0"/>
        <v>X</v>
      </c>
      <c r="H6" s="1"/>
      <c r="I6" s="2"/>
      <c r="K6" t="str">
        <v>Rodrygo</v>
      </c>
      <c r="L6" t="str">
        <v>DEL</v>
      </c>
      <c r="M6" s="1">
        <v>45881</v>
      </c>
      <c r="N6" s="2">
        <v>20644625</v>
      </c>
      <c r="O6" s="2">
        <f t="shared" si="1"/>
        <v>0</v>
      </c>
      <c r="P6" s="2">
        <f t="shared" si="2"/>
        <v>20644625</v>
      </c>
    </row>
    <row r="7" spans="1:16" x14ac:dyDescent="0.25">
      <c r="A7" t="str">
        <v>DEF</v>
      </c>
      <c r="B7" t="str">
        <v>D. Duarte</v>
      </c>
      <c r="C7" s="1">
        <v>45875</v>
      </c>
      <c r="D7" s="2">
        <v>0</v>
      </c>
      <c r="E7" t="str">
        <f t="shared" si="0"/>
        <v/>
      </c>
      <c r="H7" s="1"/>
      <c r="I7" s="2"/>
      <c r="K7" t="str">
        <v>Almada</v>
      </c>
      <c r="L7" t="str">
        <v>MED</v>
      </c>
      <c r="M7" s="1">
        <v>45889</v>
      </c>
      <c r="N7" s="2">
        <v>27002791</v>
      </c>
      <c r="O7" s="2">
        <f t="shared" si="1"/>
        <v>0</v>
      </c>
      <c r="P7" s="2">
        <f t="shared" si="2"/>
        <v>27002791</v>
      </c>
    </row>
    <row r="8" spans="1:16" x14ac:dyDescent="0.25">
      <c r="A8" t="str">
        <v>DEL</v>
      </c>
      <c r="B8" t="str">
        <v>Endrick</v>
      </c>
      <c r="C8" s="1">
        <v>45875</v>
      </c>
      <c r="D8" s="2">
        <v>0</v>
      </c>
      <c r="E8" t="str">
        <f t="shared" si="0"/>
        <v/>
      </c>
      <c r="H8" s="1"/>
      <c r="I8" s="2"/>
      <c r="K8" t="str">
        <v>Raba</v>
      </c>
      <c r="L8" t="str">
        <v>DEL</v>
      </c>
      <c r="M8" s="1">
        <v>45889</v>
      </c>
      <c r="N8" s="2">
        <v>13741840</v>
      </c>
      <c r="O8" s="2">
        <f t="shared" si="1"/>
        <v>0</v>
      </c>
      <c r="P8" s="2">
        <f t="shared" si="2"/>
        <v>13741840</v>
      </c>
    </row>
    <row r="9" spans="1:16" x14ac:dyDescent="0.25">
      <c r="A9" t="str">
        <v>DEF</v>
      </c>
      <c r="B9" t="str">
        <v>Hancko</v>
      </c>
      <c r="C9" s="1">
        <v>45875</v>
      </c>
      <c r="D9" s="2">
        <v>0</v>
      </c>
      <c r="E9" t="str">
        <f t="shared" si="0"/>
        <v/>
      </c>
      <c r="H9" s="1"/>
      <c r="I9" s="2"/>
      <c r="K9" t="str">
        <v>Riquelme</v>
      </c>
      <c r="L9" t="str">
        <v>MED</v>
      </c>
      <c r="M9" s="1">
        <v>45889</v>
      </c>
      <c r="N9" s="2">
        <v>17158711</v>
      </c>
      <c r="O9" s="2">
        <f t="shared" si="1"/>
        <v>0</v>
      </c>
      <c r="P9" s="2">
        <f t="shared" si="2"/>
        <v>17158711</v>
      </c>
    </row>
    <row r="10" spans="1:16" x14ac:dyDescent="0.25">
      <c r="A10" t="str">
        <v>DEF</v>
      </c>
      <c r="B10" t="str">
        <v>Miguel</v>
      </c>
      <c r="C10" s="1">
        <v>45875</v>
      </c>
      <c r="D10" s="2">
        <v>0</v>
      </c>
      <c r="E10" t="str">
        <f t="shared" si="0"/>
        <v/>
      </c>
      <c r="H10" s="1"/>
      <c r="I10" s="2"/>
      <c r="K10" t="str">
        <v>Parejo</v>
      </c>
      <c r="L10" t="str">
        <v>MED</v>
      </c>
      <c r="M10" s="1">
        <v>45894</v>
      </c>
      <c r="N10" s="2">
        <v>12353847</v>
      </c>
      <c r="O10" s="2">
        <f t="shared" si="1"/>
        <v>0</v>
      </c>
      <c r="P10" s="2">
        <f t="shared" si="2"/>
        <v>12353847</v>
      </c>
    </row>
    <row r="11" spans="1:16" x14ac:dyDescent="0.25">
      <c r="A11" t="str">
        <v>MED</v>
      </c>
      <c r="B11" t="str">
        <v>Moleiro</v>
      </c>
      <c r="C11" s="1">
        <v>45875</v>
      </c>
      <c r="D11" s="2">
        <v>0</v>
      </c>
      <c r="E11" t="str">
        <f t="shared" si="0"/>
        <v/>
      </c>
      <c r="H11" s="1"/>
      <c r="I11" s="2"/>
      <c r="K11" t="str">
        <v>Ejuke</v>
      </c>
      <c r="L11" t="str">
        <v>DEL</v>
      </c>
      <c r="M11" s="1">
        <v>45896</v>
      </c>
      <c r="N11" s="2">
        <v>4000000</v>
      </c>
      <c r="O11" s="2">
        <f t="shared" si="1"/>
        <v>4000000</v>
      </c>
      <c r="P11" s="2">
        <f t="shared" si="2"/>
        <v>0</v>
      </c>
    </row>
    <row r="12" spans="1:16" x14ac:dyDescent="0.25">
      <c r="A12" t="str">
        <v>DEF</v>
      </c>
      <c r="B12" t="str">
        <v>Espino</v>
      </c>
      <c r="C12" s="1">
        <v>45875</v>
      </c>
      <c r="D12" s="2">
        <v>3896588</v>
      </c>
      <c r="E12" t="str">
        <f t="shared" si="0"/>
        <v>X</v>
      </c>
      <c r="H12" s="1"/>
      <c r="I12" s="2"/>
      <c r="K12" t="str">
        <v>Agoume</v>
      </c>
      <c r="L12" t="str">
        <v>MED</v>
      </c>
      <c r="M12" s="1">
        <v>45897</v>
      </c>
      <c r="N12" s="2">
        <v>7238909</v>
      </c>
      <c r="O12" s="2">
        <f t="shared" si="1"/>
        <v>7238909</v>
      </c>
      <c r="P12" s="2">
        <f t="shared" si="2"/>
        <v>0</v>
      </c>
    </row>
    <row r="13" spans="1:16" x14ac:dyDescent="0.25">
      <c r="A13" t="str">
        <v>DEF</v>
      </c>
      <c r="B13" t="str">
        <v>Paredes</v>
      </c>
      <c r="C13" s="1">
        <v>45875</v>
      </c>
      <c r="D13" s="2">
        <v>0</v>
      </c>
      <c r="E13" t="str">
        <f t="shared" si="0"/>
        <v/>
      </c>
      <c r="H13" s="1"/>
      <c r="I13" s="2"/>
      <c r="K13" t="str">
        <v>Hancko</v>
      </c>
      <c r="L13" t="str">
        <v>DEF</v>
      </c>
      <c r="M13" s="1">
        <v>45897</v>
      </c>
      <c r="N13" s="2">
        <v>34298293</v>
      </c>
      <c r="O13" s="2">
        <f t="shared" si="1"/>
        <v>0</v>
      </c>
      <c r="P13" s="2">
        <f t="shared" si="2"/>
        <v>34298293</v>
      </c>
    </row>
    <row r="14" spans="1:16" x14ac:dyDescent="0.25">
      <c r="A14" t="str">
        <v>MED</v>
      </c>
      <c r="B14" t="str">
        <v>Parejo</v>
      </c>
      <c r="C14" s="1">
        <v>45875</v>
      </c>
      <c r="D14" s="2">
        <v>0</v>
      </c>
      <c r="E14" t="str">
        <f t="shared" si="0"/>
        <v/>
      </c>
      <c r="H14" s="1"/>
      <c r="I14" s="2"/>
      <c r="K14" t="str">
        <v>Iglesias</v>
      </c>
      <c r="L14" t="str">
        <v>DEF</v>
      </c>
      <c r="M14" s="1">
        <v>45897</v>
      </c>
      <c r="N14" s="2">
        <v>2369904</v>
      </c>
      <c r="O14" s="2">
        <f t="shared" si="1"/>
        <v>2100858</v>
      </c>
      <c r="P14" s="2">
        <f t="shared" si="2"/>
        <v>269046</v>
      </c>
    </row>
    <row r="15" spans="1:16" x14ac:dyDescent="0.25">
      <c r="A15" t="str">
        <v>DEL</v>
      </c>
      <c r="B15" t="str">
        <v>Raba</v>
      </c>
      <c r="C15" s="1">
        <v>45875</v>
      </c>
      <c r="D15" s="2">
        <v>0</v>
      </c>
      <c r="E15" t="str">
        <f t="shared" si="0"/>
        <v/>
      </c>
      <c r="H15" s="1"/>
      <c r="I15" s="2"/>
      <c r="K15" t="str">
        <v>Paredes</v>
      </c>
      <c r="L15" t="str">
        <v>DEF</v>
      </c>
      <c r="M15" s="1">
        <v>45900</v>
      </c>
      <c r="N15" s="2">
        <v>17925060</v>
      </c>
      <c r="O15" s="2">
        <f>IF(ISBLANK(N15),"",VLOOKUP(K15,B:D,3,FALSE))</f>
        <v>0</v>
      </c>
      <c r="P15" s="2">
        <f>IF(ISBLANK(N15),"",N15-O15)</f>
        <v>17925060</v>
      </c>
    </row>
    <row r="16" spans="1:16" x14ac:dyDescent="0.25">
      <c r="A16" t="str">
        <v>MED</v>
      </c>
      <c r="B16" t="str">
        <v>Riquelme</v>
      </c>
      <c r="C16" s="1">
        <v>45875</v>
      </c>
      <c r="D16" s="2">
        <v>0</v>
      </c>
      <c r="E16" t="str">
        <f t="shared" si="0"/>
        <v/>
      </c>
      <c r="H16" s="1"/>
      <c r="I16" s="2"/>
      <c r="K16" t="str">
        <v>D. Duarte</v>
      </c>
      <c r="L16" t="str">
        <v>DEF</v>
      </c>
      <c r="M16" s="1">
        <v>45906</v>
      </c>
      <c r="N16" s="2">
        <v>1672958</v>
      </c>
      <c r="O16" s="2">
        <f t="shared" ref="O16:O48" si="3">IF(ISBLANK(N16),"",VLOOKUP(K16,B:D,3,FALSE))</f>
        <v>0</v>
      </c>
      <c r="P16" s="2">
        <f t="shared" ref="P16:P48" si="4">IF(ISBLANK(N16),"",N16-O16)</f>
        <v>1672958</v>
      </c>
    </row>
    <row r="17" spans="1:16" x14ac:dyDescent="0.25">
      <c r="A17" t="str">
        <v>DEL</v>
      </c>
      <c r="B17" t="str">
        <v>Rodrygo</v>
      </c>
      <c r="C17" s="1">
        <v>45875</v>
      </c>
      <c r="D17" s="2">
        <v>0</v>
      </c>
      <c r="E17" t="str">
        <f t="shared" si="0"/>
        <v/>
      </c>
      <c r="H17" s="1"/>
      <c r="I17" s="2"/>
      <c r="K17" t="str">
        <v>Nacho Vidal</v>
      </c>
      <c r="L17" t="str">
        <v>DEF</v>
      </c>
      <c r="M17" s="1">
        <v>45908</v>
      </c>
      <c r="N17" s="2">
        <v>3100011</v>
      </c>
      <c r="O17" s="2">
        <f t="shared" si="3"/>
        <v>3100011</v>
      </c>
      <c r="P17" s="2">
        <f t="shared" si="4"/>
        <v>0</v>
      </c>
    </row>
    <row r="18" spans="1:16" x14ac:dyDescent="0.25">
      <c r="A18" t="str">
        <v>DEF</v>
      </c>
      <c r="B18" t="str">
        <v>Rüdiger</v>
      </c>
      <c r="C18" s="1">
        <v>45875</v>
      </c>
      <c r="D18" s="2">
        <v>0</v>
      </c>
      <c r="E18" t="str">
        <f t="shared" si="0"/>
        <v/>
      </c>
      <c r="H18" s="1"/>
      <c r="I18" s="2"/>
      <c r="K18" t="str">
        <v>Juan Cruz</v>
      </c>
      <c r="L18" t="str">
        <v>DEF</v>
      </c>
      <c r="M18" s="1">
        <v>45910</v>
      </c>
      <c r="N18" s="2">
        <v>2090983</v>
      </c>
      <c r="O18" s="2">
        <f t="shared" si="3"/>
        <v>1567483</v>
      </c>
      <c r="P18" s="2">
        <f t="shared" si="4"/>
        <v>523500</v>
      </c>
    </row>
    <row r="19" spans="1:16" x14ac:dyDescent="0.25">
      <c r="A19" t="str">
        <v>DEF</v>
      </c>
      <c r="B19" t="str">
        <v>Bretones</v>
      </c>
      <c r="C19" s="1">
        <v>45877</v>
      </c>
      <c r="D19" s="2">
        <v>3373737</v>
      </c>
      <c r="E19" t="str">
        <f t="shared" si="0"/>
        <v/>
      </c>
      <c r="H19" s="1"/>
      <c r="I19" s="2"/>
      <c r="K19" t="str">
        <v>El Hilali</v>
      </c>
      <c r="L19" t="str">
        <v>DEF</v>
      </c>
      <c r="M19" s="1">
        <v>45914</v>
      </c>
      <c r="N19" s="2">
        <v>5110000</v>
      </c>
      <c r="O19" s="2">
        <f t="shared" si="3"/>
        <v>5110000</v>
      </c>
      <c r="P19" s="2">
        <f t="shared" si="4"/>
        <v>0</v>
      </c>
    </row>
    <row r="20" spans="1:16" x14ac:dyDescent="0.25">
      <c r="A20" t="str">
        <v>MED</v>
      </c>
      <c r="B20" t="str">
        <v>Agoume</v>
      </c>
      <c r="C20" s="1">
        <v>45877</v>
      </c>
      <c r="D20" s="2">
        <v>7238909</v>
      </c>
      <c r="E20" t="str">
        <f t="shared" si="0"/>
        <v/>
      </c>
      <c r="H20" s="1"/>
      <c r="I20" s="2"/>
      <c r="K20" t="str">
        <v>Rüdiger</v>
      </c>
      <c r="L20" t="str">
        <v>DEF</v>
      </c>
      <c r="M20" s="1">
        <v>45915</v>
      </c>
      <c r="N20" s="2">
        <v>19072395</v>
      </c>
      <c r="O20" s="2">
        <f t="shared" si="3"/>
        <v>0</v>
      </c>
      <c r="P20" s="2">
        <f t="shared" si="4"/>
        <v>19072395</v>
      </c>
    </row>
    <row r="21" spans="1:16" x14ac:dyDescent="0.25">
      <c r="A21" t="str">
        <v>MED</v>
      </c>
      <c r="B21" t="str">
        <v>Antonio</v>
      </c>
      <c r="C21" s="1">
        <v>45877</v>
      </c>
      <c r="D21" s="2">
        <v>2668055</v>
      </c>
      <c r="E21" t="str">
        <f t="shared" si="0"/>
        <v>X</v>
      </c>
      <c r="H21" s="1"/>
      <c r="I21" s="2"/>
      <c r="K21" t="str">
        <v>Altimira</v>
      </c>
      <c r="L21" t="str">
        <v>MED</v>
      </c>
      <c r="M21" s="1">
        <v>45916</v>
      </c>
      <c r="N21" s="2">
        <v>14285808</v>
      </c>
      <c r="O21" s="2" t="e">
        <f t="shared" si="3"/>
        <v>#N/A</v>
      </c>
      <c r="P21" s="2" t="e">
        <f t="shared" si="4"/>
        <v>#N/A</v>
      </c>
    </row>
    <row r="22" spans="1:16" x14ac:dyDescent="0.25">
      <c r="A22" t="str">
        <v>DEL</v>
      </c>
      <c r="B22" t="str">
        <v>Raúl García</v>
      </c>
      <c r="C22" s="1">
        <v>45877</v>
      </c>
      <c r="D22" s="2">
        <v>4605484</v>
      </c>
      <c r="E22" t="str">
        <f t="shared" si="0"/>
        <v/>
      </c>
      <c r="H22" s="1"/>
      <c r="I22" s="2"/>
      <c r="K22" t="str">
        <v>Javi Rodríguez</v>
      </c>
      <c r="L22" t="str">
        <v>DEF</v>
      </c>
      <c r="M22" s="1">
        <v>45918</v>
      </c>
      <c r="N22" s="2">
        <v>1000000</v>
      </c>
      <c r="O22" s="2">
        <f t="shared" si="3"/>
        <v>712000</v>
      </c>
      <c r="P22" s="2">
        <f t="shared" si="4"/>
        <v>288000</v>
      </c>
    </row>
    <row r="23" spans="1:16" x14ac:dyDescent="0.25">
      <c r="A23" t="str">
        <v>DEF</v>
      </c>
      <c r="B23" t="str">
        <v>Iglesias</v>
      </c>
      <c r="C23" s="1">
        <v>45880</v>
      </c>
      <c r="D23" s="2">
        <v>2100858</v>
      </c>
      <c r="E23" t="str">
        <f t="shared" si="0"/>
        <v/>
      </c>
      <c r="H23" s="1"/>
      <c r="I23" s="2"/>
      <c r="K23" t="str">
        <v>Viñas</v>
      </c>
      <c r="L23" t="str">
        <v>DEL</v>
      </c>
      <c r="M23" s="1">
        <v>45923</v>
      </c>
      <c r="N23" s="2">
        <v>1434106</v>
      </c>
      <c r="O23" s="2">
        <f t="shared" si="3"/>
        <v>3453698</v>
      </c>
      <c r="P23" s="2">
        <f t="shared" si="4"/>
        <v>-2019592</v>
      </c>
    </row>
    <row r="24" spans="1:16" x14ac:dyDescent="0.25">
      <c r="A24" t="str">
        <v>DEL</v>
      </c>
      <c r="B24" t="str">
        <v>Ejuke</v>
      </c>
      <c r="C24" s="1">
        <v>45881</v>
      </c>
      <c r="D24" s="2">
        <v>4000000</v>
      </c>
      <c r="E24" t="str">
        <f t="shared" si="0"/>
        <v/>
      </c>
      <c r="H24" s="1"/>
      <c r="I24" s="2"/>
      <c r="K24" t="str">
        <v>Mastantuono</v>
      </c>
      <c r="L24" t="str">
        <v>DEL</v>
      </c>
      <c r="M24" s="1">
        <v>45925</v>
      </c>
      <c r="N24" s="2">
        <v>41978791</v>
      </c>
      <c r="O24" s="2">
        <f t="shared" si="3"/>
        <v>31686868</v>
      </c>
      <c r="P24" s="2">
        <f t="shared" si="4"/>
        <v>10291923</v>
      </c>
    </row>
    <row r="25" spans="1:16" x14ac:dyDescent="0.25">
      <c r="A25" t="str">
        <v>MED</v>
      </c>
      <c r="B25" t="str">
        <v>L. Ilic</v>
      </c>
      <c r="C25" s="1">
        <v>45887</v>
      </c>
      <c r="D25" s="2">
        <v>3105085</v>
      </c>
      <c r="E25" t="str">
        <f t="shared" si="0"/>
        <v>X</v>
      </c>
      <c r="H25" s="1"/>
      <c r="I25" s="2"/>
      <c r="K25" t="str">
        <v>Yamal</v>
      </c>
      <c r="L25" t="str">
        <v>DEL</v>
      </c>
      <c r="M25" s="1">
        <v>45928</v>
      </c>
      <c r="N25" s="2">
        <v>156888888</v>
      </c>
      <c r="O25" s="2">
        <f t="shared" si="3"/>
        <v>156888888</v>
      </c>
      <c r="P25" s="2">
        <f t="shared" si="4"/>
        <v>0</v>
      </c>
    </row>
    <row r="26" spans="1:16" x14ac:dyDescent="0.25">
      <c r="A26" t="str">
        <v>DEF</v>
      </c>
      <c r="B26" t="str">
        <v>Nacho Vidal</v>
      </c>
      <c r="C26" s="1">
        <v>45888</v>
      </c>
      <c r="D26" s="2">
        <v>3100011</v>
      </c>
      <c r="E26" t="str">
        <f t="shared" si="0"/>
        <v/>
      </c>
      <c r="H26" s="1"/>
      <c r="I26" s="2"/>
      <c r="K26" t="str">
        <v>Gazzaniga</v>
      </c>
      <c r="L26" t="str">
        <v>POR</v>
      </c>
      <c r="M26" s="1">
        <v>45932</v>
      </c>
      <c r="N26" s="2">
        <v>8871008</v>
      </c>
      <c r="O26" s="2">
        <f t="shared" si="3"/>
        <v>8871008</v>
      </c>
      <c r="P26" s="2">
        <f t="shared" si="4"/>
        <v>0</v>
      </c>
    </row>
    <row r="27" spans="1:16" x14ac:dyDescent="0.25">
      <c r="A27" t="str">
        <v>DEF</v>
      </c>
      <c r="B27" t="str">
        <v>Juan Cruz</v>
      </c>
      <c r="C27" s="1">
        <v>45893</v>
      </c>
      <c r="D27" s="2">
        <v>1567483</v>
      </c>
      <c r="E27" t="str">
        <f t="shared" si="0"/>
        <v/>
      </c>
      <c r="H27" s="1"/>
      <c r="I27" s="2"/>
      <c r="K27" t="str">
        <v>Moleiro</v>
      </c>
      <c r="L27" t="str">
        <v>MED</v>
      </c>
      <c r="M27" s="1">
        <v>45934</v>
      </c>
      <c r="N27" s="2">
        <v>20794268</v>
      </c>
      <c r="O27" s="2">
        <f t="shared" si="3"/>
        <v>0</v>
      </c>
      <c r="P27" s="2">
        <f t="shared" si="4"/>
        <v>20794268</v>
      </c>
    </row>
    <row r="28" spans="1:16" x14ac:dyDescent="0.25">
      <c r="A28" t="str">
        <v>DEL</v>
      </c>
      <c r="B28" t="str">
        <v>Viñas</v>
      </c>
      <c r="C28" s="1">
        <v>45893</v>
      </c>
      <c r="D28" s="2">
        <v>3453698</v>
      </c>
      <c r="E28" t="str">
        <f t="shared" si="0"/>
        <v/>
      </c>
      <c r="H28" s="1"/>
      <c r="I28" s="2"/>
      <c r="K28" t="str">
        <v>Bretones</v>
      </c>
      <c r="L28" t="str">
        <v>DEF</v>
      </c>
      <c r="M28" s="1">
        <v>45934</v>
      </c>
      <c r="N28" s="2">
        <v>3373737</v>
      </c>
      <c r="O28" s="2">
        <f t="shared" si="3"/>
        <v>3373737</v>
      </c>
      <c r="P28" s="2">
        <f t="shared" si="4"/>
        <v>0</v>
      </c>
    </row>
    <row r="29" spans="1:16" x14ac:dyDescent="0.25">
      <c r="A29" t="str">
        <v>DEL</v>
      </c>
      <c r="B29" t="str">
        <v>Yamal</v>
      </c>
      <c r="C29" s="1">
        <v>45894</v>
      </c>
      <c r="D29" s="2">
        <v>156888888</v>
      </c>
      <c r="E29" t="str">
        <f t="shared" si="0"/>
        <v/>
      </c>
      <c r="H29" s="1"/>
      <c r="I29" s="2"/>
      <c r="K29" t="str">
        <v>Pathé Ciss</v>
      </c>
      <c r="L29" t="str">
        <v>MED</v>
      </c>
      <c r="M29" s="1">
        <v>45940</v>
      </c>
      <c r="N29" s="2">
        <v>11000010</v>
      </c>
      <c r="O29" s="2">
        <f t="shared" si="3"/>
        <v>11000010</v>
      </c>
      <c r="P29" s="2">
        <f t="shared" si="4"/>
        <v>0</v>
      </c>
    </row>
    <row r="30" spans="1:16" x14ac:dyDescent="0.25">
      <c r="A30" t="str">
        <v>POR</v>
      </c>
      <c r="B30" t="str">
        <v>Pau López</v>
      </c>
      <c r="C30" s="1">
        <v>45894</v>
      </c>
      <c r="D30" s="2">
        <v>14758698</v>
      </c>
      <c r="E30" t="str">
        <f t="shared" si="0"/>
        <v/>
      </c>
      <c r="H30" s="1"/>
      <c r="I30" s="2"/>
      <c r="K30" t="str">
        <v>Iglesias</v>
      </c>
      <c r="L30" t="str">
        <v>DEF</v>
      </c>
      <c r="M30" s="1">
        <v>45945</v>
      </c>
      <c r="N30" s="2">
        <v>2369904</v>
      </c>
      <c r="O30" s="2">
        <f t="shared" si="3"/>
        <v>2100858</v>
      </c>
      <c r="P30" s="2">
        <f t="shared" si="4"/>
        <v>269046</v>
      </c>
    </row>
    <row r="31" spans="1:16" x14ac:dyDescent="0.25">
      <c r="A31" t="str">
        <v>DEF</v>
      </c>
      <c r="B31" t="str">
        <v>El Hilali</v>
      </c>
      <c r="C31" s="1">
        <v>45900</v>
      </c>
      <c r="D31" s="2">
        <v>5110000</v>
      </c>
      <c r="E31" t="str">
        <f t="shared" si="0"/>
        <v/>
      </c>
      <c r="H31" s="1"/>
      <c r="I31" s="2"/>
      <c r="K31" t="str">
        <v>Cabrera</v>
      </c>
      <c r="L31" t="str">
        <v>DEF</v>
      </c>
      <c r="M31" s="1">
        <v>45948</v>
      </c>
      <c r="N31" s="2">
        <v>15010001</v>
      </c>
      <c r="O31" s="2">
        <f t="shared" si="3"/>
        <v>15010001</v>
      </c>
      <c r="P31" s="2">
        <f t="shared" si="4"/>
        <v>0</v>
      </c>
    </row>
    <row r="32" spans="1:16" x14ac:dyDescent="0.25">
      <c r="A32" t="str">
        <v>DEF</v>
      </c>
      <c r="B32" t="str">
        <v>Javi Rodríguez</v>
      </c>
      <c r="C32" s="1">
        <v>45900</v>
      </c>
      <c r="D32" s="2">
        <v>712000</v>
      </c>
      <c r="E32" t="str">
        <f t="shared" si="0"/>
        <v/>
      </c>
      <c r="H32" s="1"/>
      <c r="I32" s="2"/>
      <c r="K32" t="str">
        <v>Radu</v>
      </c>
      <c r="L32" t="str">
        <v>POR</v>
      </c>
      <c r="M32" s="1">
        <v>45952</v>
      </c>
      <c r="N32" s="2">
        <v>12668085</v>
      </c>
      <c r="O32" s="2">
        <f t="shared" si="3"/>
        <v>12668085</v>
      </c>
      <c r="P32" s="2">
        <f t="shared" si="4"/>
        <v>0</v>
      </c>
    </row>
    <row r="33" spans="1:16" x14ac:dyDescent="0.25">
      <c r="A33" t="str">
        <v>DEL</v>
      </c>
      <c r="B33" t="str">
        <v>Mastantuono</v>
      </c>
      <c r="C33" s="1">
        <v>45900</v>
      </c>
      <c r="D33" s="2">
        <v>31686868</v>
      </c>
      <c r="E33" t="str">
        <f t="shared" si="0"/>
        <v/>
      </c>
      <c r="K33" t="str">
        <v>Edu Expósito</v>
      </c>
      <c r="L33" t="str">
        <v>MED</v>
      </c>
      <c r="M33" s="1">
        <v>45958</v>
      </c>
      <c r="N33" s="2">
        <v>26279253</v>
      </c>
      <c r="O33" s="2">
        <f t="shared" si="3"/>
        <v>22875987</v>
      </c>
      <c r="P33" s="2">
        <f t="shared" si="4"/>
        <v>3403266</v>
      </c>
    </row>
    <row r="34" spans="1:16" x14ac:dyDescent="0.25">
      <c r="A34" t="str">
        <v>POR</v>
      </c>
      <c r="B34" t="str">
        <v>Gazzaniga</v>
      </c>
      <c r="C34" s="1">
        <v>45917</v>
      </c>
      <c r="D34" s="2">
        <v>8871008</v>
      </c>
      <c r="E34" t="str">
        <f t="shared" si="0"/>
        <v/>
      </c>
      <c r="K34" t="str">
        <v>Pau López</v>
      </c>
      <c r="L34" t="str">
        <v>POR</v>
      </c>
      <c r="M34" s="1">
        <v>45960</v>
      </c>
      <c r="N34" s="2">
        <v>14758698</v>
      </c>
      <c r="O34" s="2">
        <f t="shared" si="3"/>
        <v>14758698</v>
      </c>
      <c r="P34" s="2">
        <f t="shared" si="4"/>
        <v>0</v>
      </c>
    </row>
    <row r="35" spans="1:16" x14ac:dyDescent="0.25">
      <c r="A35" t="str">
        <v>DEF</v>
      </c>
      <c r="B35" t="str">
        <v>Cabrera</v>
      </c>
      <c r="C35" s="1">
        <v>45918</v>
      </c>
      <c r="D35" s="2">
        <v>15010001</v>
      </c>
      <c r="E35" t="str">
        <f t="shared" si="0"/>
        <v/>
      </c>
      <c r="K35" t="str">
        <v>Sow</v>
      </c>
      <c r="L35" t="str">
        <v>MED</v>
      </c>
      <c r="M35" s="1">
        <v>45960</v>
      </c>
      <c r="N35" s="2">
        <v>2213460</v>
      </c>
      <c r="O35" s="2">
        <f t="shared" si="3"/>
        <v>2213460</v>
      </c>
      <c r="P35" s="2">
        <f t="shared" si="4"/>
        <v>0</v>
      </c>
    </row>
    <row r="36" spans="1:16" x14ac:dyDescent="0.25">
      <c r="A36" t="str">
        <v>DEF</v>
      </c>
      <c r="B36" t="str">
        <v>Iglesias</v>
      </c>
      <c r="C36" s="1">
        <v>45918</v>
      </c>
      <c r="D36" s="2">
        <v>2369904</v>
      </c>
      <c r="E36" t="str">
        <f t="shared" si="0"/>
        <v>X</v>
      </c>
      <c r="K36" t="str">
        <v>Mastantuono</v>
      </c>
      <c r="L36" t="str">
        <v>DEL</v>
      </c>
      <c r="M36" s="1">
        <v>45967</v>
      </c>
      <c r="N36" s="2">
        <v>31035812</v>
      </c>
      <c r="O36" s="2">
        <f t="shared" si="3"/>
        <v>31686868</v>
      </c>
      <c r="P36" s="2">
        <f t="shared" si="4"/>
        <v>-651056</v>
      </c>
    </row>
    <row r="37" spans="1:16" x14ac:dyDescent="0.25">
      <c r="A37" t="str">
        <v>MED</v>
      </c>
      <c r="B37" t="str">
        <v>Oriol Rey</v>
      </c>
      <c r="C37" s="1">
        <v>45920</v>
      </c>
      <c r="D37" s="2">
        <v>1800000</v>
      </c>
      <c r="E37" t="str">
        <f t="shared" si="0"/>
        <v>X</v>
      </c>
      <c r="K37" t="str">
        <v>Raúl García</v>
      </c>
      <c r="L37" t="str">
        <v>DEL</v>
      </c>
      <c r="M37" s="1">
        <v>45967</v>
      </c>
      <c r="N37" s="2">
        <v>4605484</v>
      </c>
      <c r="O37" s="2">
        <f t="shared" si="3"/>
        <v>4605484</v>
      </c>
      <c r="P37" s="2">
        <f t="shared" si="4"/>
        <v>0</v>
      </c>
    </row>
    <row r="38" spans="1:16" x14ac:dyDescent="0.25">
      <c r="A38" t="str">
        <v>MED</v>
      </c>
      <c r="B38" t="str">
        <v>Moriba</v>
      </c>
      <c r="C38" s="1">
        <v>45922</v>
      </c>
      <c r="D38" s="2">
        <v>5284286</v>
      </c>
      <c r="E38" t="str">
        <f t="shared" si="0"/>
        <v>X</v>
      </c>
      <c r="O38" s="2" t="str">
        <f t="shared" si="3"/>
        <v/>
      </c>
      <c r="P38" s="2" t="str">
        <f t="shared" si="4"/>
        <v/>
      </c>
    </row>
    <row r="39" spans="1:16" x14ac:dyDescent="0.25">
      <c r="A39" t="str">
        <v>MED</v>
      </c>
      <c r="B39" t="str">
        <v>Pathé Ciss</v>
      </c>
      <c r="C39" s="1">
        <v>45922</v>
      </c>
      <c r="D39" s="2">
        <v>11000010</v>
      </c>
      <c r="E39" t="str">
        <f t="shared" si="0"/>
        <v/>
      </c>
      <c r="O39" s="2" t="str">
        <f t="shared" si="3"/>
        <v/>
      </c>
      <c r="P39" s="2" t="str">
        <f t="shared" si="4"/>
        <v/>
      </c>
    </row>
    <row r="40" spans="1:16" x14ac:dyDescent="0.25">
      <c r="A40" t="str">
        <v>DEL</v>
      </c>
      <c r="B40" t="str">
        <v>Bryan Gil</v>
      </c>
      <c r="C40" s="1">
        <v>45926</v>
      </c>
      <c r="D40" s="2">
        <v>16680850</v>
      </c>
      <c r="E40" t="str">
        <f t="shared" si="0"/>
        <v>X</v>
      </c>
      <c r="O40" s="2" t="str">
        <f t="shared" si="3"/>
        <v/>
      </c>
      <c r="P40" s="2" t="str">
        <f t="shared" si="4"/>
        <v/>
      </c>
    </row>
    <row r="41" spans="1:16" x14ac:dyDescent="0.25">
      <c r="A41" t="str">
        <v>DEL</v>
      </c>
      <c r="B41" t="str">
        <v>Rodrygo</v>
      </c>
      <c r="C41" s="1">
        <v>45926</v>
      </c>
      <c r="D41" s="2">
        <v>16680750</v>
      </c>
      <c r="E41" t="str">
        <f t="shared" si="0"/>
        <v>X</v>
      </c>
      <c r="O41" s="2" t="str">
        <f t="shared" si="3"/>
        <v/>
      </c>
      <c r="P41" s="2" t="str">
        <f t="shared" si="4"/>
        <v/>
      </c>
    </row>
    <row r="42" spans="1:16" x14ac:dyDescent="0.25">
      <c r="A42" t="str">
        <v>DEF</v>
      </c>
      <c r="B42" t="str">
        <v>Lenglet</v>
      </c>
      <c r="C42" s="1">
        <v>45928</v>
      </c>
      <c r="D42" s="2">
        <v>10185880</v>
      </c>
      <c r="E42" t="str">
        <f t="shared" si="0"/>
        <v>X</v>
      </c>
      <c r="O42" s="2" t="str">
        <f t="shared" si="3"/>
        <v/>
      </c>
      <c r="P42" s="2" t="str">
        <f t="shared" si="4"/>
        <v/>
      </c>
    </row>
    <row r="43" spans="1:16" x14ac:dyDescent="0.25">
      <c r="A43" t="str">
        <v>POR</v>
      </c>
      <c r="B43" t="str">
        <v>Radu</v>
      </c>
      <c r="C43" s="1">
        <v>45928</v>
      </c>
      <c r="D43" s="2">
        <v>12668085</v>
      </c>
      <c r="E43" t="str">
        <f t="shared" si="0"/>
        <v/>
      </c>
      <c r="O43" s="2" t="str">
        <f t="shared" si="3"/>
        <v/>
      </c>
      <c r="P43" s="2" t="str">
        <f t="shared" si="4"/>
        <v/>
      </c>
    </row>
    <row r="44" spans="1:16" x14ac:dyDescent="0.25">
      <c r="A44" t="str">
        <v>DEL</v>
      </c>
      <c r="B44" t="str">
        <v>Morales</v>
      </c>
      <c r="C44" s="1">
        <v>45942</v>
      </c>
      <c r="D44" s="2">
        <v>8396857</v>
      </c>
      <c r="E44" t="str">
        <f t="shared" si="0"/>
        <v>X</v>
      </c>
      <c r="O44" s="2" t="str">
        <f t="shared" si="3"/>
        <v/>
      </c>
      <c r="P44" s="2" t="str">
        <f t="shared" si="4"/>
        <v/>
      </c>
    </row>
    <row r="45" spans="1:16" x14ac:dyDescent="0.25">
      <c r="A45" t="str">
        <v>DEL</v>
      </c>
      <c r="B45" t="str">
        <v>Mastantuono</v>
      </c>
      <c r="C45" s="1">
        <v>45942</v>
      </c>
      <c r="D45" s="2">
        <v>53968850</v>
      </c>
      <c r="E45" t="str">
        <f t="shared" si="0"/>
        <v>X</v>
      </c>
      <c r="O45" s="2" t="str">
        <f t="shared" si="3"/>
        <v/>
      </c>
      <c r="P45" s="2" t="str">
        <f t="shared" si="4"/>
        <v/>
      </c>
    </row>
    <row r="46" spans="1:16" x14ac:dyDescent="0.25">
      <c r="A46" t="str">
        <v>MED</v>
      </c>
      <c r="B46" t="str">
        <v>Sow</v>
      </c>
      <c r="C46" s="1">
        <v>45944</v>
      </c>
      <c r="D46" s="2">
        <v>2213460</v>
      </c>
      <c r="E46" t="str">
        <f t="shared" si="0"/>
        <v/>
      </c>
      <c r="O46" s="2" t="str">
        <f t="shared" si="3"/>
        <v/>
      </c>
      <c r="P46" s="2" t="str">
        <f t="shared" si="4"/>
        <v/>
      </c>
    </row>
    <row r="47" spans="1:16" x14ac:dyDescent="0.25">
      <c r="A47" t="str">
        <v>MED</v>
      </c>
      <c r="B47" t="str">
        <v>Hugo Álvarez</v>
      </c>
      <c r="C47" s="1">
        <v>45944</v>
      </c>
      <c r="D47" s="2">
        <v>6700000</v>
      </c>
      <c r="E47" t="str">
        <f t="shared" si="0"/>
        <v>X</v>
      </c>
      <c r="O47" s="2" t="str">
        <f t="shared" si="3"/>
        <v/>
      </c>
      <c r="P47" s="2" t="str">
        <f t="shared" si="4"/>
        <v/>
      </c>
    </row>
    <row r="48" spans="1:16" x14ac:dyDescent="0.25">
      <c r="A48" t="str">
        <v>MED</v>
      </c>
      <c r="B48" t="str">
        <v>Edu Expósito</v>
      </c>
      <c r="C48" s="1">
        <v>45944</v>
      </c>
      <c r="D48" s="2">
        <v>22875987</v>
      </c>
      <c r="E48" t="str">
        <f t="shared" si="0"/>
        <v/>
      </c>
      <c r="O48" s="2" t="str">
        <f t="shared" si="3"/>
        <v/>
      </c>
      <c r="P48" s="2" t="str">
        <f t="shared" si="4"/>
        <v/>
      </c>
    </row>
    <row r="49" spans="1:4" x14ac:dyDescent="0.25">
      <c r="A49" t="str">
        <v>DEL</v>
      </c>
      <c r="B49" t="str">
        <v>Mikautadze</v>
      </c>
      <c r="C49" s="1">
        <v>45944</v>
      </c>
      <c r="D49" s="2">
        <v>45100000</v>
      </c>
    </row>
    <row r="50" spans="1:4" x14ac:dyDescent="0.25">
      <c r="A50" t="str">
        <v>DEF</v>
      </c>
      <c r="B50" t="str">
        <v>Laporte</v>
      </c>
      <c r="C50" s="1">
        <v>45944</v>
      </c>
      <c r="D50" s="2">
        <v>35533525</v>
      </c>
    </row>
    <row r="51" spans="1:4" x14ac:dyDescent="0.25">
      <c r="A51" t="str">
        <v>DEF</v>
      </c>
      <c r="B51" t="str">
        <v>Iglesias</v>
      </c>
      <c r="C51" s="1">
        <v>45960</v>
      </c>
      <c r="D51" s="2">
        <v>2369904</v>
      </c>
    </row>
    <row r="52" spans="1:4" x14ac:dyDescent="0.25">
      <c r="A52" t="str">
        <v>DEL</v>
      </c>
      <c r="B52" t="str">
        <v>Dolan</v>
      </c>
      <c r="C52" s="1">
        <v>45960</v>
      </c>
      <c r="D52" s="2">
        <v>8465783</v>
      </c>
    </row>
    <row r="53" spans="1:4" x14ac:dyDescent="0.25">
      <c r="A53" t="str">
        <v>POR</v>
      </c>
      <c r="B53" t="str">
        <v>Ryan</v>
      </c>
      <c r="C53" s="1">
        <v>45960</v>
      </c>
      <c r="D53" s="2">
        <v>10000000</v>
      </c>
    </row>
    <row r="54" spans="1:4" x14ac:dyDescent="0.25">
      <c r="A54" t="str">
        <v>DEF</v>
      </c>
      <c r="B54" t="str">
        <v>M. Alonso</v>
      </c>
      <c r="C54" s="1">
        <v>45960</v>
      </c>
      <c r="D54" s="2">
        <v>18644883</v>
      </c>
    </row>
    <row r="55" spans="1:4" x14ac:dyDescent="0.25">
      <c r="A55" t="str">
        <v>DEF</v>
      </c>
      <c r="B55" t="str">
        <v>Ratiu</v>
      </c>
      <c r="C55" s="1">
        <v>45960</v>
      </c>
      <c r="D55" s="2">
        <v>28741587</v>
      </c>
    </row>
    <row r="56" spans="1:4" x14ac:dyDescent="0.25">
      <c r="A56" t="str">
        <v>MED</v>
      </c>
      <c r="B56" t="str">
        <v>Valentín</v>
      </c>
      <c r="C56" s="1">
        <v>45967</v>
      </c>
      <c r="D56" s="2">
        <v>5689088</v>
      </c>
    </row>
    <row r="57" spans="1:4" x14ac:dyDescent="0.25">
      <c r="A57" t="str">
        <v>MED</v>
      </c>
      <c r="B57" t="str">
        <v>Thomas</v>
      </c>
      <c r="C57" s="1">
        <v>45971</v>
      </c>
      <c r="D57" s="2">
        <v>4668380</v>
      </c>
    </row>
  </sheetData>
  <hyperlinks>
    <hyperlink ref="A1" location="Sumario!A1" display="Indice" xr:uid="{F5F9930A-92DC-47BE-BE56-11A2269D5B85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A1996-38B2-4B05-A1BD-C7477EF9FF0E}">
  <dimension ref="A1:R74"/>
  <sheetViews>
    <sheetView topLeftCell="A22" workbookViewId="0">
      <selection activeCell="B1" sqref="B1"/>
    </sheetView>
  </sheetViews>
  <sheetFormatPr baseColWidth="10" defaultRowHeight="15" x14ac:dyDescent="0.25"/>
  <cols>
    <col min="3" max="3" width="11.42578125" style="1"/>
    <col min="4" max="4" width="11.42578125" style="2"/>
    <col min="14" max="14" width="11.42578125" style="1"/>
    <col min="15" max="16" width="14.140625" style="2" bestFit="1" customWidth="1"/>
    <col min="17" max="17" width="12.28515625" bestFit="1" customWidth="1"/>
    <col min="18" max="18" width="11.42578125" style="2"/>
  </cols>
  <sheetData>
    <row r="1" spans="1:18" x14ac:dyDescent="0.25">
      <c r="A1" s="3" t="s">
        <v>94</v>
      </c>
      <c r="B1" t="s">
        <v>768</v>
      </c>
      <c r="H1" s="1"/>
      <c r="I1" s="2"/>
    </row>
    <row r="2" spans="1:18" x14ac:dyDescent="0.25">
      <c r="A2" t="s">
        <v>188</v>
      </c>
      <c r="H2" s="1"/>
      <c r="I2" s="2"/>
      <c r="K2" t="s">
        <v>189</v>
      </c>
    </row>
    <row r="3" spans="1:18" x14ac:dyDescent="0.25">
      <c r="A3" t="s">
        <v>75</v>
      </c>
      <c r="B3" t="s">
        <v>25</v>
      </c>
      <c r="C3" s="1" t="s">
        <v>76</v>
      </c>
      <c r="D3" s="2" t="s">
        <v>95</v>
      </c>
      <c r="E3" t="s">
        <v>190</v>
      </c>
      <c r="H3" s="1"/>
      <c r="I3" s="2"/>
      <c r="K3" t="s">
        <v>75</v>
      </c>
      <c r="L3" t="s">
        <v>25</v>
      </c>
      <c r="N3" s="1" t="s">
        <v>93</v>
      </c>
      <c r="O3" s="2" t="s">
        <v>96</v>
      </c>
      <c r="P3" s="2" t="s">
        <v>95</v>
      </c>
      <c r="Q3" t="s">
        <v>280</v>
      </c>
      <c r="R3" s="2" t="s">
        <v>282</v>
      </c>
    </row>
    <row r="4" spans="1:18" x14ac:dyDescent="0.25">
      <c r="A4" t="str" cm="1">
        <f t="array" ref="A4:A74">_xlfn._xlws.FILTER(Fichajes!C:C,Fichajes!G:G=B1)</f>
        <v>MED</v>
      </c>
      <c r="B4" t="str" cm="1">
        <f t="array" ref="B4:B74">_xlfn._xlws.FILTER(Fichajes!B:B,Fichajes!G:G=B1)</f>
        <v>Almeida</v>
      </c>
      <c r="C4" s="1" cm="1">
        <f t="array" ref="C4:C74">_xlfn._xlws.FILTER(Fichajes!F:F,Fichajes!$G:$G=$B1)</f>
        <v>45872</v>
      </c>
      <c r="D4" s="2" cm="1">
        <f t="array" ref="D4:D74">_xlfn._xlws.FILTER(Fichajes!I:I,Fichajes!$G:$G=$B1)</f>
        <v>0</v>
      </c>
      <c r="E4" t="str">
        <f t="shared" ref="E4:E50" si="0">IF(B4="","",IFERROR(
   IF(
      (VLOOKUP(B4,K:O,3,FALSE)) &lt; C4,
      "X",
      ""
   ),
   "X")
)</f>
        <v/>
      </c>
      <c r="H4" s="1"/>
      <c r="I4" s="2"/>
      <c r="K4" t="str" cm="1">
        <f t="array" ref="K4:K55">_xlfn._xlws.FILTER(Fichajes!B:B,Fichajes!$H:$H=B$1)</f>
        <v>Almeida</v>
      </c>
      <c r="L4" t="str" cm="1">
        <f t="array" ref="L4:L55">_xlfn._xlws.FILTER(Fichajes!C:C,Fichajes!$H:$H=B$1)</f>
        <v>MED</v>
      </c>
      <c r="M4" t="str" cm="1">
        <f t="array" ref="M4:M55">_xlfn._xlws.FILTER(Fichajes!G:G,Fichajes!$H:$H=B$1)</f>
        <v>Liga</v>
      </c>
      <c r="N4" s="1" cm="1">
        <f t="array" ref="N4:N55">_xlfn._xlws.FILTER(Fichajes!F:F,Fichajes!$H:$H=B$1)</f>
        <v>45873</v>
      </c>
      <c r="O4" s="2" cm="1">
        <f t="array" ref="O4:O55">_xlfn._xlws.FILTER(Fichajes!I:I,Fichajes!$H:$H=B$1)</f>
        <v>8942183</v>
      </c>
      <c r="P4" s="2">
        <f t="shared" ref="P4:P14" si="1">IF(ISBLANK(O4),"",VLOOKUP(K4,B:D,3,FALSE))</f>
        <v>0</v>
      </c>
      <c r="Q4" s="2">
        <f t="shared" ref="Q4:Q14" si="2">IF(ISBLANK(O4),"",O4-P4)</f>
        <v>8942183</v>
      </c>
      <c r="R4" s="2">
        <f>IF(P4=0,0,Q4)</f>
        <v>0</v>
      </c>
    </row>
    <row r="5" spans="1:18" x14ac:dyDescent="0.25">
      <c r="A5" t="str">
        <v>DEF</v>
      </c>
      <c r="B5" t="str">
        <v>Bade</v>
      </c>
      <c r="C5" s="1">
        <v>45872</v>
      </c>
      <c r="D5" s="2">
        <v>0</v>
      </c>
      <c r="E5" t="str">
        <f t="shared" si="0"/>
        <v/>
      </c>
      <c r="H5" s="1"/>
      <c r="I5" s="2"/>
      <c r="K5" t="str">
        <v>Parejo</v>
      </c>
      <c r="L5" t="str">
        <v>MED</v>
      </c>
      <c r="M5" t="str">
        <v>Liga</v>
      </c>
      <c r="N5" s="1">
        <v>45873</v>
      </c>
      <c r="O5" s="2">
        <v>16272690</v>
      </c>
      <c r="P5" s="2">
        <f t="shared" si="1"/>
        <v>0</v>
      </c>
      <c r="Q5" s="2">
        <f t="shared" si="2"/>
        <v>16272690</v>
      </c>
      <c r="R5" s="2">
        <f t="shared" ref="R5:R48" si="3">IF(P5=0,0,Q5)</f>
        <v>0</v>
      </c>
    </row>
    <row r="6" spans="1:18" x14ac:dyDescent="0.25">
      <c r="A6" t="str">
        <v>DEF</v>
      </c>
      <c r="B6" t="str">
        <v>Boyomo</v>
      </c>
      <c r="C6" s="1">
        <v>45872</v>
      </c>
      <c r="D6" s="2">
        <v>0</v>
      </c>
      <c r="E6" t="str">
        <f t="shared" si="0"/>
        <v/>
      </c>
      <c r="H6" s="1"/>
      <c r="I6" s="2"/>
      <c r="K6" t="str">
        <v>Bade</v>
      </c>
      <c r="L6" t="str">
        <v>DEF</v>
      </c>
      <c r="M6" t="str">
        <v>Liga</v>
      </c>
      <c r="N6" s="1">
        <v>45885</v>
      </c>
      <c r="O6" s="2">
        <v>11998476</v>
      </c>
      <c r="P6" s="2">
        <f t="shared" si="1"/>
        <v>0</v>
      </c>
      <c r="Q6" s="2">
        <f t="shared" si="2"/>
        <v>11998476</v>
      </c>
      <c r="R6" s="2">
        <f t="shared" si="3"/>
        <v>0</v>
      </c>
    </row>
    <row r="7" spans="1:18" x14ac:dyDescent="0.25">
      <c r="A7" t="str">
        <v>DEL</v>
      </c>
      <c r="B7" t="str">
        <v>De Frutos</v>
      </c>
      <c r="C7" s="1">
        <v>45872</v>
      </c>
      <c r="D7" s="2">
        <v>0</v>
      </c>
      <c r="E7" t="str">
        <f t="shared" si="0"/>
        <v/>
      </c>
      <c r="H7" s="1"/>
      <c r="I7" s="2"/>
      <c r="K7" t="str">
        <v>De Frutos</v>
      </c>
      <c r="L7" t="str">
        <v>DEL</v>
      </c>
      <c r="M7" t="str">
        <v>Desteban19</v>
      </c>
      <c r="N7" s="1">
        <v>45886</v>
      </c>
      <c r="O7" s="2">
        <v>13861683</v>
      </c>
      <c r="P7" s="2">
        <f t="shared" si="1"/>
        <v>0</v>
      </c>
      <c r="Q7" s="2">
        <f t="shared" si="2"/>
        <v>13861683</v>
      </c>
      <c r="R7" s="2">
        <f t="shared" si="3"/>
        <v>0</v>
      </c>
    </row>
    <row r="8" spans="1:18" x14ac:dyDescent="0.25">
      <c r="A8" t="str">
        <v>DEF</v>
      </c>
      <c r="B8" t="str">
        <v>De la Fuente</v>
      </c>
      <c r="C8" s="1">
        <v>45872</v>
      </c>
      <c r="D8" s="2">
        <v>0</v>
      </c>
      <c r="E8" t="str">
        <f t="shared" si="0"/>
        <v/>
      </c>
      <c r="H8" s="1"/>
      <c r="I8" s="2"/>
      <c r="K8" t="str">
        <v>Dmitrovic</v>
      </c>
      <c r="L8" t="str">
        <v>POR</v>
      </c>
      <c r="M8" t="str">
        <v>FC Recreativo de Juerga</v>
      </c>
      <c r="N8" s="1">
        <v>45887</v>
      </c>
      <c r="O8" s="2">
        <v>11146825</v>
      </c>
      <c r="P8" s="2">
        <f t="shared" si="1"/>
        <v>0</v>
      </c>
      <c r="Q8" s="2">
        <f t="shared" si="2"/>
        <v>11146825</v>
      </c>
      <c r="R8" s="2">
        <f t="shared" si="3"/>
        <v>0</v>
      </c>
    </row>
    <row r="9" spans="1:18" x14ac:dyDescent="0.25">
      <c r="A9" t="str">
        <v>POR</v>
      </c>
      <c r="B9" t="str">
        <v>Dmitrovic</v>
      </c>
      <c r="C9" s="1">
        <v>45872</v>
      </c>
      <c r="D9" s="2">
        <v>0</v>
      </c>
      <c r="E9" t="str">
        <f t="shared" si="0"/>
        <v/>
      </c>
      <c r="H9" s="1"/>
      <c r="I9" s="2"/>
      <c r="K9" t="str">
        <v>Boyomo</v>
      </c>
      <c r="L9" t="str">
        <v>DEF</v>
      </c>
      <c r="M9" t="str">
        <v>Desteban19</v>
      </c>
      <c r="N9" s="1">
        <v>45889</v>
      </c>
      <c r="O9" s="2">
        <v>14947178</v>
      </c>
      <c r="P9" s="2">
        <f t="shared" si="1"/>
        <v>0</v>
      </c>
      <c r="Q9" s="2">
        <f t="shared" si="2"/>
        <v>14947178</v>
      </c>
      <c r="R9" s="2">
        <f t="shared" si="3"/>
        <v>0</v>
      </c>
    </row>
    <row r="10" spans="1:18" x14ac:dyDescent="0.25">
      <c r="A10" t="str">
        <v>MED</v>
      </c>
      <c r="B10" t="str">
        <v>Fornals</v>
      </c>
      <c r="C10" s="1">
        <v>45872</v>
      </c>
      <c r="D10" s="2">
        <v>0</v>
      </c>
      <c r="E10" t="str">
        <f t="shared" si="0"/>
        <v/>
      </c>
      <c r="H10" s="1"/>
      <c r="I10" s="2"/>
      <c r="K10" t="str">
        <v>Herrera</v>
      </c>
      <c r="L10" t="str">
        <v>MED</v>
      </c>
      <c r="M10" t="str">
        <v>Liga</v>
      </c>
      <c r="N10" s="1">
        <v>45889</v>
      </c>
      <c r="O10" s="2">
        <v>11992446</v>
      </c>
      <c r="P10" s="2">
        <f t="shared" si="1"/>
        <v>0</v>
      </c>
      <c r="Q10" s="2">
        <f t="shared" si="2"/>
        <v>11992446</v>
      </c>
      <c r="R10" s="2">
        <f t="shared" si="3"/>
        <v>0</v>
      </c>
    </row>
    <row r="11" spans="1:18" x14ac:dyDescent="0.25">
      <c r="A11" t="str">
        <v>MED</v>
      </c>
      <c r="B11" t="str">
        <v>Herrera</v>
      </c>
      <c r="C11" s="1">
        <v>45872</v>
      </c>
      <c r="D11" s="2">
        <v>0</v>
      </c>
      <c r="E11" t="str">
        <f t="shared" si="0"/>
        <v/>
      </c>
      <c r="H11" s="1"/>
      <c r="I11" s="2"/>
      <c r="K11" t="str">
        <v>A. F. Carreras</v>
      </c>
      <c r="L11" t="str">
        <v>DEF</v>
      </c>
      <c r="M11" t="str">
        <v>Desteban19</v>
      </c>
      <c r="N11" s="1">
        <v>45895</v>
      </c>
      <c r="O11" s="2">
        <v>50000000</v>
      </c>
      <c r="P11" s="2">
        <f t="shared" si="1"/>
        <v>38000000</v>
      </c>
      <c r="Q11" s="2">
        <f t="shared" si="2"/>
        <v>12000000</v>
      </c>
      <c r="R11" s="2">
        <f t="shared" si="3"/>
        <v>12000000</v>
      </c>
    </row>
    <row r="12" spans="1:18" x14ac:dyDescent="0.25">
      <c r="A12" t="str">
        <v>DEL</v>
      </c>
      <c r="B12" t="str">
        <v>Isi</v>
      </c>
      <c r="C12" s="1">
        <v>45872</v>
      </c>
      <c r="D12" s="2">
        <v>0</v>
      </c>
      <c r="E12" t="str">
        <f t="shared" si="0"/>
        <v/>
      </c>
      <c r="H12" s="1"/>
      <c r="I12" s="2"/>
      <c r="K12" t="str">
        <v>De la Fuente</v>
      </c>
      <c r="L12" t="str">
        <v>DEF</v>
      </c>
      <c r="M12" t="str">
        <v>Reivaj95</v>
      </c>
      <c r="N12" s="1">
        <v>45896</v>
      </c>
      <c r="O12" s="2">
        <v>1130330</v>
      </c>
      <c r="P12" s="2">
        <f t="shared" si="1"/>
        <v>0</v>
      </c>
      <c r="Q12" s="2">
        <f t="shared" si="2"/>
        <v>1130330</v>
      </c>
      <c r="R12" s="2">
        <f t="shared" si="3"/>
        <v>0</v>
      </c>
    </row>
    <row r="13" spans="1:18" x14ac:dyDescent="0.25">
      <c r="A13" t="str">
        <v>DEL</v>
      </c>
      <c r="B13" t="str">
        <v>Kike García</v>
      </c>
      <c r="C13" s="1">
        <v>45872</v>
      </c>
      <c r="D13" s="2">
        <v>0</v>
      </c>
      <c r="E13" t="str">
        <f t="shared" si="0"/>
        <v/>
      </c>
      <c r="H13" s="1"/>
      <c r="I13" s="2"/>
      <c r="K13" t="str">
        <v>Fornals</v>
      </c>
      <c r="L13" t="str">
        <v>MED</v>
      </c>
      <c r="M13" t="str">
        <v>JMGuti14</v>
      </c>
      <c r="N13" s="1">
        <v>45897</v>
      </c>
      <c r="O13" s="2">
        <v>28680456</v>
      </c>
      <c r="P13" s="2">
        <f t="shared" si="1"/>
        <v>0</v>
      </c>
      <c r="Q13" s="2">
        <f t="shared" si="2"/>
        <v>28680456</v>
      </c>
      <c r="R13" s="2">
        <f t="shared" si="3"/>
        <v>0</v>
      </c>
    </row>
    <row r="14" spans="1:18" x14ac:dyDescent="0.25">
      <c r="A14" t="str">
        <v>DEF</v>
      </c>
      <c r="B14" t="str">
        <v>Natan</v>
      </c>
      <c r="C14" s="1">
        <v>45872</v>
      </c>
      <c r="D14" s="2">
        <v>0</v>
      </c>
      <c r="E14" t="str">
        <f t="shared" si="0"/>
        <v/>
      </c>
      <c r="H14" s="1"/>
      <c r="I14" s="2"/>
      <c r="K14" t="str">
        <v>Kike García</v>
      </c>
      <c r="L14" t="str">
        <v>DEL</v>
      </c>
      <c r="M14" t="str">
        <v>Liga</v>
      </c>
      <c r="N14" s="1">
        <v>45897</v>
      </c>
      <c r="O14" s="2">
        <v>6026468</v>
      </c>
      <c r="P14" s="2">
        <f t="shared" si="1"/>
        <v>0</v>
      </c>
      <c r="Q14" s="2">
        <f t="shared" si="2"/>
        <v>6026468</v>
      </c>
      <c r="R14" s="2">
        <f t="shared" si="3"/>
        <v>0</v>
      </c>
    </row>
    <row r="15" spans="1:18" x14ac:dyDescent="0.25">
      <c r="A15" t="str">
        <v>MED</v>
      </c>
      <c r="B15" t="str">
        <v>Parejo</v>
      </c>
      <c r="C15" s="1">
        <v>45872</v>
      </c>
      <c r="D15" s="2">
        <v>0</v>
      </c>
      <c r="E15" t="str">
        <f t="shared" si="0"/>
        <v/>
      </c>
      <c r="H15" s="1"/>
      <c r="I15" s="2"/>
      <c r="K15" t="str">
        <v>Areso</v>
      </c>
      <c r="L15" t="str">
        <v>DEF</v>
      </c>
      <c r="M15" t="str">
        <v>JMGuti14</v>
      </c>
      <c r="N15" s="1">
        <v>45898</v>
      </c>
      <c r="O15" s="2">
        <v>15500000</v>
      </c>
      <c r="P15" s="2">
        <f>IF(ISBLANK(O15),"",VLOOKUP(K15,B:D,3,FALSE))</f>
        <v>15500000</v>
      </c>
      <c r="Q15" s="2">
        <f>IF(ISBLANK(O15),"",O15-P15)</f>
        <v>0</v>
      </c>
      <c r="R15" s="2">
        <f t="shared" si="3"/>
        <v>0</v>
      </c>
    </row>
    <row r="16" spans="1:18" x14ac:dyDescent="0.25">
      <c r="A16" t="str">
        <v>DEL</v>
      </c>
      <c r="B16" t="str">
        <v>Yeremy Pino</v>
      </c>
      <c r="C16" s="1">
        <v>45872</v>
      </c>
      <c r="D16" s="2">
        <v>0</v>
      </c>
      <c r="E16" t="str">
        <f t="shared" si="0"/>
        <v/>
      </c>
      <c r="H16" s="1"/>
      <c r="I16" s="2"/>
      <c r="K16" t="str">
        <v>Garcés</v>
      </c>
      <c r="L16" t="str">
        <v>DEF</v>
      </c>
      <c r="M16" t="str">
        <v>FC Recreativo de Juerga</v>
      </c>
      <c r="N16" s="1">
        <v>45901</v>
      </c>
      <c r="O16" s="2">
        <v>1705015</v>
      </c>
      <c r="P16" s="2">
        <f t="shared" ref="P16:P48" si="4">IF(ISBLANK(O16),"",VLOOKUP(K16,B:D,3,FALSE))</f>
        <v>1011015</v>
      </c>
      <c r="Q16" s="2">
        <f t="shared" ref="Q16:Q48" si="5">IF(ISBLANK(O16),"",O16-P16)</f>
        <v>694000</v>
      </c>
      <c r="R16" s="2">
        <f t="shared" si="3"/>
        <v>694000</v>
      </c>
    </row>
    <row r="17" spans="1:18" x14ac:dyDescent="0.25">
      <c r="A17" t="str">
        <v>DEF</v>
      </c>
      <c r="B17" t="str">
        <v>Zubeldia</v>
      </c>
      <c r="C17" s="1">
        <v>45872</v>
      </c>
      <c r="D17" s="2">
        <v>0</v>
      </c>
      <c r="E17" t="str">
        <f t="shared" si="0"/>
        <v>X</v>
      </c>
      <c r="H17" s="1"/>
      <c r="I17" s="2"/>
      <c r="K17" t="str">
        <v>Isi</v>
      </c>
      <c r="L17" t="str">
        <v>DEL</v>
      </c>
      <c r="M17" t="str">
        <v>Desteban19</v>
      </c>
      <c r="N17" s="1">
        <v>45901</v>
      </c>
      <c r="O17" s="2">
        <v>32000250</v>
      </c>
      <c r="P17" s="2">
        <f t="shared" si="4"/>
        <v>0</v>
      </c>
      <c r="Q17" s="2">
        <f t="shared" si="5"/>
        <v>32000250</v>
      </c>
      <c r="R17" s="2">
        <f t="shared" si="3"/>
        <v>0</v>
      </c>
    </row>
    <row r="18" spans="1:18" x14ac:dyDescent="0.25">
      <c r="A18" t="str">
        <v>DEF</v>
      </c>
      <c r="B18" t="str">
        <v>Areso</v>
      </c>
      <c r="C18" s="1">
        <v>45873</v>
      </c>
      <c r="D18" s="2">
        <v>15500000</v>
      </c>
      <c r="E18" t="str">
        <f t="shared" si="0"/>
        <v/>
      </c>
      <c r="H18" s="1"/>
      <c r="I18" s="2"/>
      <c r="K18" t="str">
        <v>Sivera</v>
      </c>
      <c r="L18" t="str">
        <v>POR</v>
      </c>
      <c r="M18" t="str">
        <v>FC Recreativo de Juerga</v>
      </c>
      <c r="N18" s="1">
        <v>45901</v>
      </c>
      <c r="O18" s="2">
        <v>15904401</v>
      </c>
      <c r="P18" s="2">
        <f t="shared" si="4"/>
        <v>15904401</v>
      </c>
      <c r="Q18" s="2">
        <f t="shared" si="5"/>
        <v>0</v>
      </c>
      <c r="R18" s="2">
        <f t="shared" si="3"/>
        <v>0</v>
      </c>
    </row>
    <row r="19" spans="1:18" x14ac:dyDescent="0.25">
      <c r="A19" t="str">
        <v>DEF</v>
      </c>
      <c r="B19" t="str">
        <v>A. F. Carreras</v>
      </c>
      <c r="C19" s="1">
        <v>45873</v>
      </c>
      <c r="D19" s="2">
        <v>38000000</v>
      </c>
      <c r="E19" t="str">
        <f t="shared" si="0"/>
        <v/>
      </c>
      <c r="H19" s="1"/>
      <c r="I19" s="2"/>
      <c r="K19" t="str">
        <v>Yeremy Pino</v>
      </c>
      <c r="L19" t="str">
        <v>DEL</v>
      </c>
      <c r="M19" t="str">
        <v>Liga</v>
      </c>
      <c r="N19" s="1">
        <v>45901</v>
      </c>
      <c r="O19" s="2">
        <v>19500000</v>
      </c>
      <c r="P19" s="2">
        <f t="shared" si="4"/>
        <v>0</v>
      </c>
      <c r="Q19" s="2">
        <f t="shared" si="5"/>
        <v>19500000</v>
      </c>
      <c r="R19" s="2">
        <f t="shared" si="3"/>
        <v>0</v>
      </c>
    </row>
    <row r="20" spans="1:18" x14ac:dyDescent="0.25">
      <c r="A20" t="str">
        <v>DEF</v>
      </c>
      <c r="B20" t="str">
        <v>Vivian</v>
      </c>
      <c r="C20" s="1">
        <v>45879</v>
      </c>
      <c r="D20" s="2">
        <v>53000000</v>
      </c>
      <c r="E20" t="str">
        <f t="shared" si="0"/>
        <v/>
      </c>
      <c r="H20" s="1"/>
      <c r="I20" s="2"/>
      <c r="K20" t="str">
        <v>Luis Milla</v>
      </c>
      <c r="L20" t="str">
        <v>MED</v>
      </c>
      <c r="M20" t="str">
        <v>Reivaj95</v>
      </c>
      <c r="N20" s="1">
        <v>45902</v>
      </c>
      <c r="O20" s="2">
        <v>18956233</v>
      </c>
      <c r="P20" s="2">
        <f t="shared" si="4"/>
        <v>16095858</v>
      </c>
      <c r="Q20" s="2">
        <f t="shared" si="5"/>
        <v>2860375</v>
      </c>
      <c r="R20" s="2">
        <f t="shared" si="3"/>
        <v>2860375</v>
      </c>
    </row>
    <row r="21" spans="1:18" x14ac:dyDescent="0.25">
      <c r="A21" t="str">
        <v>MED</v>
      </c>
      <c r="B21" t="str">
        <v>Blanco</v>
      </c>
      <c r="C21" s="1">
        <v>45887</v>
      </c>
      <c r="D21" s="2">
        <v>11636446</v>
      </c>
      <c r="E21" t="str">
        <f t="shared" si="0"/>
        <v>X</v>
      </c>
      <c r="H21" s="1"/>
      <c r="I21" s="2"/>
      <c r="K21" t="str">
        <v>Natan</v>
      </c>
      <c r="L21" t="str">
        <v>DEF</v>
      </c>
      <c r="M21" t="str">
        <v>Liga</v>
      </c>
      <c r="N21" s="1">
        <v>45903</v>
      </c>
      <c r="O21" s="2">
        <v>20731311</v>
      </c>
      <c r="P21" s="2">
        <f t="shared" si="4"/>
        <v>0</v>
      </c>
      <c r="Q21" s="2">
        <f t="shared" si="5"/>
        <v>20731311</v>
      </c>
      <c r="R21" s="2">
        <f t="shared" si="3"/>
        <v>0</v>
      </c>
    </row>
    <row r="22" spans="1:18" x14ac:dyDescent="0.25">
      <c r="A22" t="str">
        <v>DEF</v>
      </c>
      <c r="B22" t="str">
        <v>Garcés</v>
      </c>
      <c r="C22" s="1">
        <v>45887</v>
      </c>
      <c r="D22" s="2">
        <v>1011015</v>
      </c>
      <c r="E22" t="str">
        <f t="shared" si="0"/>
        <v/>
      </c>
      <c r="H22" s="1"/>
      <c r="I22" s="2"/>
      <c r="K22" t="str">
        <v>Vivian</v>
      </c>
      <c r="L22" t="str">
        <v>DEF</v>
      </c>
      <c r="M22" t="str">
        <v>Liga</v>
      </c>
      <c r="N22" s="1">
        <v>45903</v>
      </c>
      <c r="O22" s="2">
        <v>41433383</v>
      </c>
      <c r="P22" s="2">
        <f t="shared" si="4"/>
        <v>53000000</v>
      </c>
      <c r="Q22" s="2">
        <f t="shared" si="5"/>
        <v>-11566617</v>
      </c>
      <c r="R22" s="2">
        <f t="shared" si="3"/>
        <v>-11566617</v>
      </c>
    </row>
    <row r="23" spans="1:18" x14ac:dyDescent="0.25">
      <c r="A23" t="str">
        <v>MED</v>
      </c>
      <c r="B23" t="str">
        <v>Terrats</v>
      </c>
      <c r="C23" s="1">
        <v>45887</v>
      </c>
      <c r="D23" s="2">
        <v>8502173</v>
      </c>
      <c r="E23" t="str">
        <f t="shared" si="0"/>
        <v>X</v>
      </c>
      <c r="H23" s="1"/>
      <c r="I23" s="2"/>
      <c r="K23" t="str">
        <v>Brais</v>
      </c>
      <c r="L23" t="str">
        <v>MED</v>
      </c>
      <c r="M23" t="str">
        <v>Liga</v>
      </c>
      <c r="N23" s="1">
        <v>45906</v>
      </c>
      <c r="O23" s="2">
        <v>15794931</v>
      </c>
      <c r="P23" s="2">
        <f t="shared" si="4"/>
        <v>23947108</v>
      </c>
      <c r="Q23" s="2">
        <f t="shared" si="5"/>
        <v>-8152177</v>
      </c>
      <c r="R23" s="2">
        <f t="shared" si="3"/>
        <v>-8152177</v>
      </c>
    </row>
    <row r="24" spans="1:18" x14ac:dyDescent="0.25">
      <c r="A24" t="str">
        <v>MED</v>
      </c>
      <c r="B24" t="str">
        <v>Luis Milla</v>
      </c>
      <c r="C24" s="1">
        <v>45888</v>
      </c>
      <c r="D24" s="2">
        <v>16095858</v>
      </c>
      <c r="E24" t="str">
        <f t="shared" si="0"/>
        <v/>
      </c>
      <c r="H24" s="1"/>
      <c r="I24" s="2"/>
      <c r="K24" t="str">
        <v>Aleñá</v>
      </c>
      <c r="L24" t="str">
        <v>MED</v>
      </c>
      <c r="M24" t="str">
        <v>JMGuti14</v>
      </c>
      <c r="N24" s="1">
        <v>45909</v>
      </c>
      <c r="O24" s="2">
        <v>9829793</v>
      </c>
      <c r="P24" s="2">
        <f t="shared" si="4"/>
        <v>6100000</v>
      </c>
      <c r="Q24" s="2">
        <f t="shared" si="5"/>
        <v>3729793</v>
      </c>
      <c r="R24" s="2">
        <f t="shared" si="3"/>
        <v>3729793</v>
      </c>
    </row>
    <row r="25" spans="1:18" x14ac:dyDescent="0.25">
      <c r="A25" t="str">
        <v>POR</v>
      </c>
      <c r="B25" t="str">
        <v>Sivera</v>
      </c>
      <c r="C25" s="1">
        <v>45888</v>
      </c>
      <c r="D25" s="2">
        <v>15904401</v>
      </c>
      <c r="E25" t="str">
        <f t="shared" si="0"/>
        <v/>
      </c>
      <c r="H25" s="1"/>
      <c r="I25" s="2"/>
      <c r="K25" t="str">
        <v>Bartra</v>
      </c>
      <c r="L25" t="str">
        <v>DEF</v>
      </c>
      <c r="M25" t="str">
        <v>Reivaj95</v>
      </c>
      <c r="N25" s="1">
        <v>45909</v>
      </c>
      <c r="O25" s="2">
        <v>34151526</v>
      </c>
      <c r="P25" s="2">
        <f t="shared" si="4"/>
        <v>27994786</v>
      </c>
      <c r="Q25" s="2">
        <f t="shared" si="5"/>
        <v>6156740</v>
      </c>
      <c r="R25" s="2">
        <f t="shared" si="3"/>
        <v>6156740</v>
      </c>
    </row>
    <row r="26" spans="1:18" x14ac:dyDescent="0.25">
      <c r="A26" t="str">
        <v>MED</v>
      </c>
      <c r="B26" t="str">
        <v>Brais</v>
      </c>
      <c r="C26" s="1">
        <v>45889</v>
      </c>
      <c r="D26" s="2">
        <v>23947108</v>
      </c>
      <c r="E26" t="str">
        <f t="shared" si="0"/>
        <v/>
      </c>
      <c r="H26" s="1"/>
      <c r="I26" s="2"/>
      <c r="K26" t="str">
        <v>Agoume</v>
      </c>
      <c r="L26" t="str">
        <v>MED</v>
      </c>
      <c r="M26" t="str">
        <v>CrisGC14</v>
      </c>
      <c r="N26" s="1">
        <v>45910</v>
      </c>
      <c r="O26" s="2">
        <v>7541427</v>
      </c>
      <c r="P26" s="2">
        <f t="shared" si="4"/>
        <v>7238909</v>
      </c>
      <c r="Q26" s="2">
        <f t="shared" si="5"/>
        <v>302518</v>
      </c>
      <c r="R26" s="2">
        <f t="shared" si="3"/>
        <v>302518</v>
      </c>
    </row>
    <row r="27" spans="1:18" x14ac:dyDescent="0.25">
      <c r="A27" t="str">
        <v>MED</v>
      </c>
      <c r="B27" t="str">
        <v>Aleñá</v>
      </c>
      <c r="C27" s="1">
        <v>45895</v>
      </c>
      <c r="D27" s="2">
        <v>6100000</v>
      </c>
      <c r="E27" t="str">
        <f t="shared" si="0"/>
        <v/>
      </c>
      <c r="H27" s="1"/>
      <c r="I27" s="2"/>
      <c r="K27" t="str">
        <v>Diego López</v>
      </c>
      <c r="L27" t="str">
        <v>DEL</v>
      </c>
      <c r="M27" t="str">
        <v>CrisGC14</v>
      </c>
      <c r="N27" s="1">
        <v>45910</v>
      </c>
      <c r="O27" s="2">
        <v>27177700</v>
      </c>
      <c r="P27" s="2">
        <f t="shared" si="4"/>
        <v>19978988</v>
      </c>
      <c r="Q27" s="2">
        <f t="shared" si="5"/>
        <v>7198712</v>
      </c>
      <c r="R27" s="2">
        <f t="shared" si="3"/>
        <v>7198712</v>
      </c>
    </row>
    <row r="28" spans="1:18" x14ac:dyDescent="0.25">
      <c r="A28" t="str">
        <v>DEF</v>
      </c>
      <c r="B28" t="str">
        <v>Bartra</v>
      </c>
      <c r="C28" s="1">
        <v>45895</v>
      </c>
      <c r="D28" s="2">
        <v>27994786</v>
      </c>
      <c r="E28" t="str">
        <f t="shared" si="0"/>
        <v/>
      </c>
      <c r="H28" s="1"/>
      <c r="I28" s="2"/>
      <c r="K28" t="str">
        <v>Almada</v>
      </c>
      <c r="L28" t="str">
        <v>MED</v>
      </c>
      <c r="M28" t="str">
        <v>Liga</v>
      </c>
      <c r="N28" s="1">
        <v>45914</v>
      </c>
      <c r="O28" s="2">
        <v>32871309</v>
      </c>
      <c r="P28" s="2">
        <f t="shared" si="4"/>
        <v>28577264</v>
      </c>
      <c r="Q28" s="2">
        <f t="shared" si="5"/>
        <v>4294045</v>
      </c>
      <c r="R28" s="2">
        <f t="shared" si="3"/>
        <v>4294045</v>
      </c>
    </row>
    <row r="29" spans="1:18" x14ac:dyDescent="0.25">
      <c r="A29" t="str">
        <v>DEL</v>
      </c>
      <c r="B29" t="str">
        <v>Diego López</v>
      </c>
      <c r="C29" s="1">
        <v>45896</v>
      </c>
      <c r="D29" s="2">
        <v>19978988</v>
      </c>
      <c r="E29" t="str">
        <f t="shared" si="0"/>
        <v/>
      </c>
      <c r="H29" s="1"/>
      <c r="I29" s="2"/>
      <c r="K29" t="str">
        <v>Boyomo</v>
      </c>
      <c r="L29" t="str">
        <v>DEF</v>
      </c>
      <c r="M29" t="str">
        <v>yandrak</v>
      </c>
      <c r="N29" s="1">
        <v>45917</v>
      </c>
      <c r="O29" s="2">
        <v>19778592</v>
      </c>
      <c r="P29" s="2">
        <f t="shared" si="4"/>
        <v>0</v>
      </c>
      <c r="Q29" s="2">
        <f t="shared" si="5"/>
        <v>19778592</v>
      </c>
      <c r="R29" s="2">
        <f t="shared" si="3"/>
        <v>0</v>
      </c>
    </row>
    <row r="30" spans="1:18" x14ac:dyDescent="0.25">
      <c r="A30" t="str">
        <v>MED</v>
      </c>
      <c r="B30" t="str">
        <v>Agoume</v>
      </c>
      <c r="C30" s="1">
        <v>45897</v>
      </c>
      <c r="D30" s="2">
        <v>7238909</v>
      </c>
      <c r="E30" t="str">
        <f t="shared" si="0"/>
        <v/>
      </c>
      <c r="H30" s="1"/>
      <c r="I30" s="2"/>
      <c r="K30" t="str">
        <v>Carlos Vicente</v>
      </c>
      <c r="L30" t="str">
        <v>DEL</v>
      </c>
      <c r="M30" t="str">
        <v>Liga</v>
      </c>
      <c r="N30" s="1">
        <v>45917</v>
      </c>
      <c r="O30" s="2">
        <v>20943871</v>
      </c>
      <c r="P30" s="2">
        <f t="shared" si="4"/>
        <v>32487271</v>
      </c>
      <c r="Q30" s="2">
        <f t="shared" si="5"/>
        <v>-11543400</v>
      </c>
      <c r="R30" s="2">
        <f t="shared" si="3"/>
        <v>-11543400</v>
      </c>
    </row>
    <row r="31" spans="1:18" x14ac:dyDescent="0.25">
      <c r="A31" t="str">
        <v>DEF</v>
      </c>
      <c r="B31" t="str">
        <v>Hancko</v>
      </c>
      <c r="C31" s="1">
        <v>45897</v>
      </c>
      <c r="D31" s="2">
        <v>34298293</v>
      </c>
      <c r="E31" t="str">
        <f t="shared" si="0"/>
        <v/>
      </c>
      <c r="K31" t="str">
        <v>Hancko</v>
      </c>
      <c r="L31" t="str">
        <v>DEF</v>
      </c>
      <c r="M31" t="str">
        <v>Liga</v>
      </c>
      <c r="N31" s="1">
        <v>45917</v>
      </c>
      <c r="O31" s="2">
        <v>23562781</v>
      </c>
      <c r="P31" s="2">
        <f t="shared" si="4"/>
        <v>34298293</v>
      </c>
      <c r="Q31" s="2">
        <f t="shared" si="5"/>
        <v>-10735512</v>
      </c>
      <c r="R31" s="2">
        <f t="shared" si="3"/>
        <v>-10735512</v>
      </c>
    </row>
    <row r="32" spans="1:18" x14ac:dyDescent="0.25">
      <c r="A32" t="str">
        <v>DEF</v>
      </c>
      <c r="B32" t="str">
        <v>Catena</v>
      </c>
      <c r="C32" s="1">
        <v>45917</v>
      </c>
      <c r="D32" s="2">
        <v>34082326</v>
      </c>
      <c r="E32" t="str">
        <f t="shared" si="0"/>
        <v/>
      </c>
      <c r="K32" t="str">
        <v>D. Duarte</v>
      </c>
      <c r="L32" t="str">
        <v>DEF</v>
      </c>
      <c r="M32" t="str">
        <v>Reivaj95</v>
      </c>
      <c r="N32" s="1">
        <v>45920</v>
      </c>
      <c r="O32" s="2">
        <v>1672958</v>
      </c>
      <c r="P32" s="2">
        <f t="shared" si="4"/>
        <v>1672958</v>
      </c>
      <c r="Q32" s="2">
        <f t="shared" si="5"/>
        <v>0</v>
      </c>
      <c r="R32" s="2">
        <f t="shared" si="3"/>
        <v>0</v>
      </c>
    </row>
    <row r="33" spans="1:18" x14ac:dyDescent="0.25">
      <c r="A33" t="str">
        <v>DEL</v>
      </c>
      <c r="B33" t="str">
        <v>Danjuma</v>
      </c>
      <c r="C33" s="1">
        <v>45929</v>
      </c>
      <c r="D33" s="2">
        <v>20055695</v>
      </c>
      <c r="E33" t="str">
        <f t="shared" si="0"/>
        <v/>
      </c>
      <c r="K33" t="str">
        <v>Durán</v>
      </c>
      <c r="L33" t="str">
        <v>DEL</v>
      </c>
      <c r="M33" t="str">
        <v>yandrak</v>
      </c>
      <c r="N33" s="1">
        <v>45922</v>
      </c>
      <c r="O33" s="2">
        <v>1600000</v>
      </c>
      <c r="P33" s="2">
        <f t="shared" si="4"/>
        <v>1600000</v>
      </c>
      <c r="Q33" s="2">
        <f t="shared" si="5"/>
        <v>0</v>
      </c>
      <c r="R33" s="2">
        <f t="shared" si="3"/>
        <v>0</v>
      </c>
    </row>
    <row r="34" spans="1:18" x14ac:dyDescent="0.25">
      <c r="A34" t="str">
        <v>POR</v>
      </c>
      <c r="B34" t="str">
        <v>Dmitrovic</v>
      </c>
      <c r="C34" s="1">
        <v>45901</v>
      </c>
      <c r="D34" s="2">
        <v>14107143</v>
      </c>
      <c r="E34" t="str">
        <f t="shared" si="0"/>
        <v/>
      </c>
      <c r="K34" t="str">
        <v>Barrenetxea</v>
      </c>
      <c r="L34" t="str">
        <v>MED</v>
      </c>
      <c r="M34" t="str">
        <v>FC Recreativo de Juerga</v>
      </c>
      <c r="N34" s="1">
        <v>45924</v>
      </c>
      <c r="O34" s="2">
        <v>19369067</v>
      </c>
      <c r="P34" s="2">
        <f t="shared" si="4"/>
        <v>17498557</v>
      </c>
      <c r="Q34" s="2">
        <f t="shared" si="5"/>
        <v>1870510</v>
      </c>
      <c r="R34" s="2">
        <f t="shared" si="3"/>
        <v>1870510</v>
      </c>
    </row>
    <row r="35" spans="1:18" x14ac:dyDescent="0.25">
      <c r="A35" t="str">
        <v>MED</v>
      </c>
      <c r="B35" t="str">
        <v>Almada</v>
      </c>
      <c r="C35" s="1">
        <v>45903</v>
      </c>
      <c r="D35" s="2">
        <v>28577264</v>
      </c>
      <c r="E35" t="str">
        <f t="shared" si="0"/>
        <v/>
      </c>
      <c r="K35" t="str">
        <v>P. Gueye</v>
      </c>
      <c r="L35" t="str">
        <v>MED</v>
      </c>
      <c r="M35" t="str">
        <v>Reivaj95</v>
      </c>
      <c r="N35" s="1">
        <v>45924</v>
      </c>
      <c r="O35" s="2">
        <v>36878878</v>
      </c>
      <c r="P35" s="2">
        <f t="shared" si="4"/>
        <v>36878878</v>
      </c>
      <c r="Q35" s="2">
        <f t="shared" si="5"/>
        <v>0</v>
      </c>
      <c r="R35" s="2">
        <f t="shared" si="3"/>
        <v>0</v>
      </c>
    </row>
    <row r="36" spans="1:18" x14ac:dyDescent="0.25">
      <c r="A36" t="str">
        <v>DEF</v>
      </c>
      <c r="B36" t="str">
        <v>Boyomo</v>
      </c>
      <c r="C36" s="1">
        <v>45903</v>
      </c>
      <c r="D36" s="2">
        <v>14947178</v>
      </c>
      <c r="E36" t="str">
        <f t="shared" si="0"/>
        <v/>
      </c>
      <c r="K36" t="str">
        <v>Joan Garcia</v>
      </c>
      <c r="L36" t="str">
        <v>POR</v>
      </c>
      <c r="M36" t="str">
        <v>Liga</v>
      </c>
      <c r="N36" s="1">
        <v>45926</v>
      </c>
      <c r="O36" s="2">
        <v>71924749</v>
      </c>
      <c r="P36" s="2">
        <f t="shared" si="4"/>
        <v>76000000</v>
      </c>
      <c r="Q36" s="2">
        <f t="shared" si="5"/>
        <v>-4075251</v>
      </c>
      <c r="R36" s="2">
        <f t="shared" si="3"/>
        <v>-4075251</v>
      </c>
    </row>
    <row r="37" spans="1:18" x14ac:dyDescent="0.25">
      <c r="A37" t="str">
        <v>POR</v>
      </c>
      <c r="B37" t="str">
        <v>Joan Garcia</v>
      </c>
      <c r="C37" s="1">
        <v>45905</v>
      </c>
      <c r="D37" s="2">
        <v>76000000</v>
      </c>
      <c r="E37" t="str">
        <f t="shared" si="0"/>
        <v/>
      </c>
      <c r="K37" t="str">
        <v>Luis Milla</v>
      </c>
      <c r="L37" t="str">
        <v>MED</v>
      </c>
      <c r="M37" t="str">
        <v>FC Recreativo de Juerga</v>
      </c>
      <c r="N37" s="1">
        <v>45930</v>
      </c>
      <c r="O37" s="2">
        <v>45988103</v>
      </c>
      <c r="P37" s="2">
        <f t="shared" si="4"/>
        <v>16095858</v>
      </c>
      <c r="Q37" s="2">
        <f t="shared" si="5"/>
        <v>29892245</v>
      </c>
      <c r="R37" s="2">
        <f t="shared" si="3"/>
        <v>29892245</v>
      </c>
    </row>
    <row r="38" spans="1:18" x14ac:dyDescent="0.25">
      <c r="A38" t="str">
        <v>DEF</v>
      </c>
      <c r="B38" t="str">
        <v>D. Duarte</v>
      </c>
      <c r="C38" s="1">
        <v>45906</v>
      </c>
      <c r="D38" s="2">
        <v>1672958</v>
      </c>
      <c r="E38" t="str">
        <f t="shared" si="0"/>
        <v/>
      </c>
      <c r="K38" t="str">
        <v>Fornals</v>
      </c>
      <c r="L38" t="str">
        <v>MED</v>
      </c>
      <c r="M38" t="str">
        <v>FC Capitan</v>
      </c>
      <c r="N38" s="1">
        <v>45931</v>
      </c>
      <c r="O38" s="2">
        <v>34462038</v>
      </c>
      <c r="P38" s="2">
        <f t="shared" si="4"/>
        <v>0</v>
      </c>
      <c r="Q38" s="2">
        <f t="shared" si="5"/>
        <v>34462038</v>
      </c>
      <c r="R38" s="2">
        <f t="shared" si="3"/>
        <v>0</v>
      </c>
    </row>
    <row r="39" spans="1:18" x14ac:dyDescent="0.25">
      <c r="A39" t="str">
        <v>MED</v>
      </c>
      <c r="B39" t="str">
        <v>Barrenetxea</v>
      </c>
      <c r="C39" s="1">
        <v>45908</v>
      </c>
      <c r="D39" s="2">
        <v>17498557</v>
      </c>
      <c r="E39" t="str">
        <f t="shared" si="0"/>
        <v/>
      </c>
      <c r="K39" t="str">
        <v>Mastantuono</v>
      </c>
      <c r="L39" t="str">
        <v>DEL</v>
      </c>
      <c r="M39" t="str">
        <v>Liga</v>
      </c>
      <c r="N39" s="1">
        <v>45931</v>
      </c>
      <c r="O39" s="2">
        <v>46731008</v>
      </c>
      <c r="P39" s="2">
        <f t="shared" si="4"/>
        <v>41978791</v>
      </c>
      <c r="Q39" s="2">
        <f t="shared" si="5"/>
        <v>4752217</v>
      </c>
      <c r="R39" s="2">
        <f t="shared" si="3"/>
        <v>4752217</v>
      </c>
    </row>
    <row r="40" spans="1:18" x14ac:dyDescent="0.25">
      <c r="A40" t="str">
        <v>DEF</v>
      </c>
      <c r="B40" t="str">
        <v>Domínguez</v>
      </c>
      <c r="C40" s="1">
        <v>45908</v>
      </c>
      <c r="D40" s="2">
        <v>1805368</v>
      </c>
      <c r="E40" t="str">
        <f t="shared" si="0"/>
        <v>X</v>
      </c>
      <c r="K40" t="str">
        <v>Catena</v>
      </c>
      <c r="L40" t="str">
        <v>DEF</v>
      </c>
      <c r="M40" t="str">
        <v>Reivaj95</v>
      </c>
      <c r="N40" s="1">
        <v>45931</v>
      </c>
      <c r="O40" s="2">
        <v>34082326</v>
      </c>
      <c r="P40" s="2">
        <f t="shared" si="4"/>
        <v>34082326</v>
      </c>
      <c r="Q40" s="2">
        <f t="shared" si="5"/>
        <v>0</v>
      </c>
      <c r="R40" s="2">
        <f t="shared" si="3"/>
        <v>0</v>
      </c>
    </row>
    <row r="41" spans="1:18" x14ac:dyDescent="0.25">
      <c r="A41" t="str">
        <v>DEF</v>
      </c>
      <c r="B41" t="str">
        <v>Nacho Vidal</v>
      </c>
      <c r="C41" s="1">
        <v>45908</v>
      </c>
      <c r="D41" s="2">
        <v>3100011</v>
      </c>
      <c r="E41" t="str">
        <f t="shared" si="0"/>
        <v>X</v>
      </c>
      <c r="K41" t="str">
        <v>Pablo Torre</v>
      </c>
      <c r="L41" t="str">
        <v>MED</v>
      </c>
      <c r="M41" t="str">
        <v>Liga</v>
      </c>
      <c r="N41" s="1">
        <v>45937</v>
      </c>
      <c r="O41" s="2">
        <v>8474525</v>
      </c>
      <c r="P41" s="2">
        <f t="shared" si="4"/>
        <v>10000000</v>
      </c>
      <c r="Q41" s="2">
        <f t="shared" si="5"/>
        <v>-1525475</v>
      </c>
      <c r="R41" s="2">
        <f t="shared" si="3"/>
        <v>-1525475</v>
      </c>
    </row>
    <row r="42" spans="1:18" x14ac:dyDescent="0.25">
      <c r="A42" t="str">
        <v>MED</v>
      </c>
      <c r="B42" t="str">
        <v>Pablo Torre</v>
      </c>
      <c r="C42" s="1">
        <v>45908</v>
      </c>
      <c r="D42" s="2">
        <v>10000000</v>
      </c>
      <c r="E42" t="str">
        <f t="shared" si="0"/>
        <v/>
      </c>
      <c r="K42" t="str">
        <v>Dolan</v>
      </c>
      <c r="L42" t="str">
        <v>DEL</v>
      </c>
      <c r="M42" t="str">
        <v>JMGuti14</v>
      </c>
      <c r="N42" s="1">
        <v>45938</v>
      </c>
      <c r="O42" s="2">
        <v>6529830</v>
      </c>
      <c r="P42" s="2">
        <f t="shared" si="4"/>
        <v>5100000</v>
      </c>
      <c r="Q42" s="2">
        <f t="shared" si="5"/>
        <v>1429830</v>
      </c>
      <c r="R42" s="2">
        <f t="shared" si="3"/>
        <v>1429830</v>
      </c>
    </row>
    <row r="43" spans="1:18" x14ac:dyDescent="0.25">
      <c r="A43" t="str">
        <v>DEL</v>
      </c>
      <c r="B43" t="str">
        <v>Carlos Vicente</v>
      </c>
      <c r="C43" s="1">
        <v>45910</v>
      </c>
      <c r="D43" s="2">
        <v>32487271</v>
      </c>
      <c r="E43" t="str">
        <f t="shared" si="0"/>
        <v/>
      </c>
      <c r="K43" t="str">
        <v>Danjuma</v>
      </c>
      <c r="L43" t="str">
        <v>DEL</v>
      </c>
      <c r="M43" t="str">
        <v>AdolfitoFlick</v>
      </c>
      <c r="N43" s="1">
        <v>45943</v>
      </c>
      <c r="O43" s="2">
        <v>23115355</v>
      </c>
      <c r="P43" s="2">
        <f t="shared" si="4"/>
        <v>20055695</v>
      </c>
      <c r="Q43" s="2">
        <f t="shared" si="5"/>
        <v>3059660</v>
      </c>
      <c r="R43" s="2">
        <f t="shared" si="3"/>
        <v>3059660</v>
      </c>
    </row>
    <row r="44" spans="1:18" x14ac:dyDescent="0.25">
      <c r="A44" t="str">
        <v>MED</v>
      </c>
      <c r="B44" t="str">
        <v>P. Gueye</v>
      </c>
      <c r="C44" s="1">
        <v>45910</v>
      </c>
      <c r="D44" s="2">
        <v>36878878</v>
      </c>
      <c r="E44" t="str">
        <f t="shared" si="0"/>
        <v/>
      </c>
      <c r="K44" t="str">
        <v>Sow</v>
      </c>
      <c r="L44" t="str">
        <v>MED</v>
      </c>
      <c r="M44" t="str">
        <v>Shiquetito 9</v>
      </c>
      <c r="N44" s="1">
        <v>45944</v>
      </c>
      <c r="O44" s="2">
        <v>2213460</v>
      </c>
      <c r="P44" s="2">
        <f t="shared" si="4"/>
        <v>2213460</v>
      </c>
      <c r="Q44" s="2">
        <f t="shared" si="5"/>
        <v>0</v>
      </c>
      <c r="R44" s="2">
        <f t="shared" si="3"/>
        <v>0</v>
      </c>
    </row>
    <row r="45" spans="1:18" x14ac:dyDescent="0.25">
      <c r="A45" t="str">
        <v>DEL</v>
      </c>
      <c r="B45" t="str">
        <v>Durán</v>
      </c>
      <c r="C45" s="1">
        <v>45897</v>
      </c>
      <c r="D45" s="2">
        <v>1600000</v>
      </c>
      <c r="E45" t="str">
        <f t="shared" si="0"/>
        <v/>
      </c>
      <c r="K45" t="str">
        <v>Hugo Álvarez</v>
      </c>
      <c r="L45" t="str">
        <v>MED</v>
      </c>
      <c r="M45" t="str">
        <v>Shiquetito 9</v>
      </c>
      <c r="N45" s="1">
        <v>45944</v>
      </c>
      <c r="O45" s="2">
        <v>6700000</v>
      </c>
      <c r="P45" s="2">
        <f t="shared" si="4"/>
        <v>6700000</v>
      </c>
      <c r="Q45" s="2">
        <f t="shared" si="5"/>
        <v>0</v>
      </c>
      <c r="R45" s="2">
        <f t="shared" si="3"/>
        <v>0</v>
      </c>
    </row>
    <row r="46" spans="1:18" x14ac:dyDescent="0.25">
      <c r="A46" t="str">
        <v>MED</v>
      </c>
      <c r="B46" t="str">
        <v>Pablo Martínez</v>
      </c>
      <c r="C46" s="1">
        <v>45911</v>
      </c>
      <c r="D46" s="2">
        <v>3000010</v>
      </c>
      <c r="E46" t="str">
        <f t="shared" si="0"/>
        <v>X</v>
      </c>
      <c r="K46" t="str">
        <v>Sergio Gómez</v>
      </c>
      <c r="L46" t="str">
        <v>DEF</v>
      </c>
      <c r="M46" t="str">
        <v>yandrak</v>
      </c>
      <c r="N46" s="1">
        <v>45944</v>
      </c>
      <c r="O46" s="2">
        <v>6195456</v>
      </c>
      <c r="P46" s="2">
        <f t="shared" si="4"/>
        <v>5829874</v>
      </c>
      <c r="Q46" s="2">
        <f t="shared" si="5"/>
        <v>365582</v>
      </c>
      <c r="R46" s="2">
        <f t="shared" si="3"/>
        <v>365582</v>
      </c>
    </row>
    <row r="47" spans="1:18" x14ac:dyDescent="0.25">
      <c r="A47" t="str">
        <v>DEF</v>
      </c>
      <c r="B47" t="str">
        <v>El Hilali</v>
      </c>
      <c r="C47" s="1">
        <v>45914</v>
      </c>
      <c r="D47" s="2">
        <v>5110000</v>
      </c>
      <c r="E47" t="str">
        <f t="shared" si="0"/>
        <v>X</v>
      </c>
      <c r="K47" t="str">
        <v>Güler</v>
      </c>
      <c r="L47" t="str">
        <v>MED</v>
      </c>
      <c r="M47" t="str">
        <v>yandrak</v>
      </c>
      <c r="N47" s="1">
        <v>45945</v>
      </c>
      <c r="O47" s="2">
        <v>122854925</v>
      </c>
      <c r="P47" s="2">
        <f t="shared" si="4"/>
        <v>122854925</v>
      </c>
      <c r="Q47" s="2">
        <f t="shared" si="5"/>
        <v>0</v>
      </c>
      <c r="R47" s="2">
        <f t="shared" si="3"/>
        <v>0</v>
      </c>
    </row>
    <row r="48" spans="1:18" x14ac:dyDescent="0.25">
      <c r="A48" t="str">
        <v>MED</v>
      </c>
      <c r="B48" t="str">
        <v>Luis Milla</v>
      </c>
      <c r="C48" s="1">
        <v>45916</v>
      </c>
      <c r="D48" s="2">
        <v>40232141</v>
      </c>
      <c r="E48" t="str">
        <f t="shared" si="0"/>
        <v/>
      </c>
      <c r="K48" t="str">
        <v>Bretones</v>
      </c>
      <c r="L48" t="str">
        <v>DEF</v>
      </c>
      <c r="M48" t="str">
        <v>AdolfitoFlick</v>
      </c>
      <c r="N48" s="1">
        <v>45951</v>
      </c>
      <c r="O48" s="2">
        <v>3373737</v>
      </c>
      <c r="P48" s="2">
        <f t="shared" si="4"/>
        <v>3373737</v>
      </c>
      <c r="Q48" s="2">
        <f t="shared" si="5"/>
        <v>0</v>
      </c>
      <c r="R48" s="2">
        <f t="shared" si="3"/>
        <v>0</v>
      </c>
    </row>
    <row r="49" spans="1:15" x14ac:dyDescent="0.25">
      <c r="A49" t="str">
        <v>MED</v>
      </c>
      <c r="B49" t="str">
        <v>Fornals</v>
      </c>
      <c r="C49" s="1">
        <v>45917</v>
      </c>
      <c r="D49" s="2">
        <v>33880456</v>
      </c>
      <c r="E49" t="str">
        <f t="shared" si="0"/>
        <v/>
      </c>
      <c r="K49" t="str">
        <v>Pep Chavarría</v>
      </c>
      <c r="L49" t="str">
        <v>DEF</v>
      </c>
      <c r="M49" t="str">
        <v>JMGuti14</v>
      </c>
      <c r="N49" s="1">
        <v>45952</v>
      </c>
      <c r="O49" s="2">
        <v>14035574</v>
      </c>
    </row>
    <row r="50" spans="1:15" x14ac:dyDescent="0.25">
      <c r="A50" t="str">
        <v>DEL</v>
      </c>
      <c r="B50" t="str">
        <v>Dolan</v>
      </c>
      <c r="C50" s="1">
        <v>45922</v>
      </c>
      <c r="D50" s="2">
        <v>5100000</v>
      </c>
      <c r="E50" t="str">
        <f t="shared" si="0"/>
        <v/>
      </c>
      <c r="K50" t="str">
        <v>Alexis</v>
      </c>
      <c r="L50" t="str">
        <v>DEL</v>
      </c>
      <c r="M50" t="str">
        <v>Liga</v>
      </c>
      <c r="N50" s="1">
        <v>45957</v>
      </c>
      <c r="O50" s="2">
        <v>8373185</v>
      </c>
    </row>
    <row r="51" spans="1:15" x14ac:dyDescent="0.25">
      <c r="A51" t="str">
        <v>DEF</v>
      </c>
      <c r="B51" t="str">
        <v>Pep Chavarría</v>
      </c>
      <c r="C51" s="1">
        <v>45924</v>
      </c>
      <c r="D51" s="2">
        <v>5100010</v>
      </c>
      <c r="K51" t="str">
        <v>M. Llorente</v>
      </c>
      <c r="L51" t="str">
        <v>DEF</v>
      </c>
      <c r="M51" t="str">
        <v>Desteban19</v>
      </c>
      <c r="N51" s="1">
        <v>45959</v>
      </c>
      <c r="O51" s="2">
        <v>70081501</v>
      </c>
    </row>
    <row r="52" spans="1:15" x14ac:dyDescent="0.25">
      <c r="A52" t="str">
        <v>DEL</v>
      </c>
      <c r="B52" t="str">
        <v>Mastantuono</v>
      </c>
      <c r="C52" s="1">
        <v>45925</v>
      </c>
      <c r="D52" s="2">
        <v>41978791</v>
      </c>
      <c r="K52" t="str">
        <v>Etta Eyong</v>
      </c>
      <c r="L52" t="str">
        <v>DEL</v>
      </c>
      <c r="M52" t="str">
        <v>Desteban19</v>
      </c>
      <c r="N52" s="1">
        <v>45959</v>
      </c>
      <c r="O52" s="2">
        <v>110031134</v>
      </c>
    </row>
    <row r="53" spans="1:15" x14ac:dyDescent="0.25">
      <c r="A53" t="str">
        <v>MED</v>
      </c>
      <c r="B53" t="str">
        <v>Hugo Álvarez</v>
      </c>
      <c r="C53" s="1">
        <v>45926</v>
      </c>
      <c r="D53" s="2">
        <v>6700000</v>
      </c>
      <c r="K53" t="str">
        <v>Ryan</v>
      </c>
      <c r="L53" t="str">
        <v>POR</v>
      </c>
      <c r="M53" t="str">
        <v>Shiquetito 9</v>
      </c>
      <c r="N53" s="1">
        <v>45960</v>
      </c>
      <c r="O53" s="2">
        <v>10000000</v>
      </c>
    </row>
    <row r="54" spans="1:15" x14ac:dyDescent="0.25">
      <c r="A54" t="str">
        <v>MED</v>
      </c>
      <c r="B54" t="str">
        <v>Sow</v>
      </c>
      <c r="C54" s="1">
        <v>45926</v>
      </c>
      <c r="D54" s="2">
        <v>2213460</v>
      </c>
      <c r="K54" t="str">
        <v>Jauregizar</v>
      </c>
      <c r="L54" t="str">
        <v>MED</v>
      </c>
      <c r="M54" t="str">
        <v>yandrak</v>
      </c>
      <c r="N54" s="1">
        <v>45966</v>
      </c>
      <c r="O54" s="2">
        <v>29725093</v>
      </c>
    </row>
    <row r="55" spans="1:15" x14ac:dyDescent="0.25">
      <c r="A55" t="str">
        <v>DEF</v>
      </c>
      <c r="B55" t="str">
        <v>Abqar</v>
      </c>
      <c r="C55" s="1">
        <v>45929</v>
      </c>
      <c r="D55" s="2">
        <v>18100000</v>
      </c>
      <c r="K55" t="str">
        <v>Danjuma</v>
      </c>
      <c r="L55" t="str">
        <v>DEL</v>
      </c>
      <c r="M55" t="str">
        <v>AdolfitoFlick</v>
      </c>
      <c r="N55" s="1">
        <v>45972</v>
      </c>
      <c r="O55" s="2">
        <v>27500000</v>
      </c>
    </row>
    <row r="56" spans="1:15" x14ac:dyDescent="0.25">
      <c r="A56" t="str">
        <v>DEF</v>
      </c>
      <c r="B56" t="str">
        <v>Sergio Gómez</v>
      </c>
      <c r="C56" s="1">
        <v>45929</v>
      </c>
      <c r="D56" s="2">
        <v>5829874</v>
      </c>
    </row>
    <row r="57" spans="1:15" x14ac:dyDescent="0.25">
      <c r="A57" t="str">
        <v>DEF</v>
      </c>
      <c r="B57" t="str">
        <v>Suazo</v>
      </c>
      <c r="C57" s="1">
        <v>45929</v>
      </c>
      <c r="D57" s="2">
        <v>8975124</v>
      </c>
    </row>
    <row r="58" spans="1:15" x14ac:dyDescent="0.25">
      <c r="A58" t="str">
        <v>MED</v>
      </c>
      <c r="B58" t="str">
        <v>Güler</v>
      </c>
      <c r="C58" s="1">
        <v>45931</v>
      </c>
      <c r="D58" s="2">
        <v>122854925</v>
      </c>
    </row>
    <row r="59" spans="1:15" x14ac:dyDescent="0.25">
      <c r="A59" t="str">
        <v>POR</v>
      </c>
      <c r="B59" t="str">
        <v>Ryan</v>
      </c>
      <c r="C59" s="1">
        <v>45934</v>
      </c>
      <c r="D59" s="2">
        <v>10000000</v>
      </c>
    </row>
    <row r="60" spans="1:15" x14ac:dyDescent="0.25">
      <c r="A60" t="str">
        <v>DEF</v>
      </c>
      <c r="B60" t="str">
        <v>Rincón</v>
      </c>
      <c r="C60" s="1">
        <v>45934</v>
      </c>
      <c r="D60" s="2">
        <v>3500000</v>
      </c>
    </row>
    <row r="61" spans="1:15" x14ac:dyDescent="0.25">
      <c r="A61" t="str">
        <v>DEF</v>
      </c>
      <c r="B61" t="str">
        <v>Bretones</v>
      </c>
      <c r="C61" s="1">
        <v>45934</v>
      </c>
      <c r="D61" s="2">
        <v>3373737</v>
      </c>
    </row>
    <row r="62" spans="1:15" x14ac:dyDescent="0.25">
      <c r="A62" t="str">
        <v>DEF</v>
      </c>
      <c r="B62" t="str">
        <v>M. Llorente</v>
      </c>
      <c r="C62" s="1">
        <v>45935</v>
      </c>
      <c r="D62" s="2">
        <v>48000000</v>
      </c>
    </row>
    <row r="63" spans="1:15" x14ac:dyDescent="0.25">
      <c r="A63" t="str">
        <v>MED</v>
      </c>
      <c r="B63" t="str">
        <v>Morlanes</v>
      </c>
      <c r="C63" s="1">
        <v>45944</v>
      </c>
      <c r="D63" s="2">
        <v>1610010</v>
      </c>
    </row>
    <row r="64" spans="1:15" x14ac:dyDescent="0.25">
      <c r="A64" t="str">
        <v>DEL</v>
      </c>
      <c r="B64" t="str">
        <v>Alexis</v>
      </c>
      <c r="C64" s="1">
        <v>45944</v>
      </c>
      <c r="D64" s="2">
        <v>20677441</v>
      </c>
    </row>
    <row r="65" spans="1:4" x14ac:dyDescent="0.25">
      <c r="A65" t="str">
        <v>MED</v>
      </c>
      <c r="B65" t="str">
        <v>Urko</v>
      </c>
      <c r="C65" s="1">
        <v>45944</v>
      </c>
      <c r="D65" s="2">
        <v>1427461</v>
      </c>
    </row>
    <row r="66" spans="1:4" x14ac:dyDescent="0.25">
      <c r="A66" t="str">
        <v>DEL</v>
      </c>
      <c r="B66" t="str">
        <v>Etta Eyong</v>
      </c>
      <c r="C66" s="1">
        <v>45945</v>
      </c>
      <c r="D66" s="2">
        <v>110031134</v>
      </c>
    </row>
    <row r="67" spans="1:4" x14ac:dyDescent="0.25">
      <c r="A67" t="str">
        <v>MED</v>
      </c>
      <c r="B67" t="str">
        <v>Jauregizar</v>
      </c>
      <c r="C67" s="1">
        <v>45949</v>
      </c>
      <c r="D67" s="2">
        <v>24476604</v>
      </c>
    </row>
    <row r="68" spans="1:4" x14ac:dyDescent="0.25">
      <c r="A68" t="str">
        <v>DEL</v>
      </c>
      <c r="B68" t="str">
        <v>Danjuma</v>
      </c>
      <c r="C68" s="1">
        <v>45958</v>
      </c>
      <c r="D68" s="2">
        <v>27500000</v>
      </c>
    </row>
    <row r="69" spans="1:4" x14ac:dyDescent="0.25">
      <c r="A69" t="str">
        <v>DEL</v>
      </c>
      <c r="B69" t="str">
        <v>Alvarez</v>
      </c>
      <c r="C69" s="1">
        <v>45959</v>
      </c>
      <c r="D69" s="2">
        <v>162334907</v>
      </c>
    </row>
    <row r="70" spans="1:4" x14ac:dyDescent="0.25">
      <c r="A70" t="str">
        <v>DEL</v>
      </c>
      <c r="B70" t="str">
        <v>Alemão</v>
      </c>
      <c r="C70" s="1">
        <v>45959</v>
      </c>
      <c r="D70" s="2">
        <v>5000000</v>
      </c>
    </row>
    <row r="71" spans="1:4" x14ac:dyDescent="0.25">
      <c r="A71" t="str">
        <v>MED</v>
      </c>
      <c r="B71" t="str">
        <v>Moncayola</v>
      </c>
      <c r="C71" s="1">
        <v>45959</v>
      </c>
      <c r="D71" s="2">
        <v>14007810</v>
      </c>
    </row>
    <row r="72" spans="1:4" x14ac:dyDescent="0.25">
      <c r="A72" t="str">
        <v>DEF</v>
      </c>
      <c r="B72" t="str">
        <v>Manu Sánchez</v>
      </c>
      <c r="C72" s="1">
        <v>45960</v>
      </c>
      <c r="D72" s="2">
        <v>2160657</v>
      </c>
    </row>
    <row r="73" spans="1:4" x14ac:dyDescent="0.25">
      <c r="A73" t="str">
        <v>MED</v>
      </c>
      <c r="B73" t="str">
        <v>Rubén G.</v>
      </c>
      <c r="C73" s="1">
        <v>45960</v>
      </c>
      <c r="D73" s="2">
        <v>5875421</v>
      </c>
    </row>
    <row r="74" spans="1:4" x14ac:dyDescent="0.25">
      <c r="A74" t="str">
        <v>MED</v>
      </c>
      <c r="B74" t="str">
        <v>Sow</v>
      </c>
      <c r="C74" s="1">
        <v>45960</v>
      </c>
      <c r="D74" s="2">
        <v>2213460</v>
      </c>
    </row>
  </sheetData>
  <hyperlinks>
    <hyperlink ref="A1" location="Sumario!A1" display="Indice" xr:uid="{FAAC0CAA-D8A4-4492-8695-A522A693FF52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FC59D-30C2-4B45-972B-4EE8DA322F8D}">
  <dimension ref="A1:P67"/>
  <sheetViews>
    <sheetView workbookViewId="0">
      <selection activeCell="E14" sqref="E14:E50"/>
    </sheetView>
  </sheetViews>
  <sheetFormatPr baseColWidth="10" defaultRowHeight="15" x14ac:dyDescent="0.25"/>
  <cols>
    <col min="3" max="3" width="11.42578125" style="1"/>
    <col min="4" max="4" width="11.42578125" style="2"/>
    <col min="13" max="13" width="11.42578125" style="1"/>
    <col min="14" max="15" width="14.140625" style="2" bestFit="1" customWidth="1"/>
    <col min="16" max="16" width="12.28515625" bestFit="1" customWidth="1"/>
  </cols>
  <sheetData>
    <row r="1" spans="1:16" x14ac:dyDescent="0.25">
      <c r="A1" s="3" t="s">
        <v>94</v>
      </c>
      <c r="B1" t="s">
        <v>9</v>
      </c>
      <c r="H1" s="1"/>
      <c r="I1" s="2"/>
    </row>
    <row r="2" spans="1:16" x14ac:dyDescent="0.25">
      <c r="A2" t="s">
        <v>188</v>
      </c>
      <c r="H2" s="1"/>
      <c r="I2" s="2"/>
      <c r="K2" t="s">
        <v>189</v>
      </c>
    </row>
    <row r="3" spans="1:16" x14ac:dyDescent="0.25">
      <c r="A3" t="s">
        <v>75</v>
      </c>
      <c r="B3" t="s">
        <v>25</v>
      </c>
      <c r="C3" s="1" t="s">
        <v>76</v>
      </c>
      <c r="D3" s="2" t="s">
        <v>95</v>
      </c>
      <c r="E3" t="s">
        <v>190</v>
      </c>
      <c r="H3" s="1"/>
      <c r="I3" s="2"/>
      <c r="K3" t="s">
        <v>75</v>
      </c>
      <c r="L3" t="s">
        <v>25</v>
      </c>
      <c r="M3" s="1" t="s">
        <v>93</v>
      </c>
      <c r="N3" s="2" t="s">
        <v>96</v>
      </c>
      <c r="O3" s="2" t="s">
        <v>95</v>
      </c>
      <c r="P3" t="s">
        <v>280</v>
      </c>
    </row>
    <row r="4" spans="1:16" x14ac:dyDescent="0.25">
      <c r="A4" t="str" cm="1">
        <f t="array" ref="A4:A67">_xlfn._xlws.FILTER(Fichajes!C:C,Fichajes!G:G=B1)</f>
        <v>MED</v>
      </c>
      <c r="B4" t="str" cm="1">
        <f t="array" ref="B4:B67">_xlfn._xlws.FILTER(Fichajes!B:B,Fichajes!G:G=B1)</f>
        <v>Arambarri</v>
      </c>
      <c r="C4" s="1" cm="1">
        <f t="array" ref="C4:C67">_xlfn._xlws.FILTER(Fichajes!F:F,Fichajes!$G:$G=$B1)</f>
        <v>45872</v>
      </c>
      <c r="D4" s="2" cm="1">
        <f t="array" ref="D4:D67">_xlfn._xlws.FILTER(Fichajes!I:I,Fichajes!$G:$G=$B1)</f>
        <v>0</v>
      </c>
      <c r="E4" t="str">
        <f t="shared" ref="E4:E50" si="0">IF(B4="","",IFERROR(
   IF(
      (VLOOKUP(B4,K:N,3,FALSE)) &lt; C4,
      "X",
      ""
   ),
   "X")
)</f>
        <v/>
      </c>
      <c r="H4" s="1"/>
      <c r="I4" s="2"/>
      <c r="K4" t="str" cm="1">
        <f t="array" ref="K4:K49">_xlfn._xlws.FILTER(Fichajes!B:B,Fichajes!$H:$H=B$1)</f>
        <v>Mendy</v>
      </c>
      <c r="L4" t="str" cm="1">
        <f t="array" ref="L4:L49">_xlfn._xlws.FILTER(Fichajes!C:C,Fichajes!$H:$H=B$1)</f>
        <v>DEF</v>
      </c>
      <c r="M4" s="1" cm="1">
        <f t="array" ref="M4:M49">_xlfn._xlws.FILTER(Fichajes!F:F,Fichajes!$H:$H=B$1)</f>
        <v>45874</v>
      </c>
      <c r="N4" s="2" cm="1">
        <f t="array" ref="N4:N49">_xlfn._xlws.FILTER(Fichajes!I:I,Fichajes!$H:$H=B$1)</f>
        <v>10606370</v>
      </c>
      <c r="O4" s="2">
        <f t="shared" ref="O4:O14" si="1">IF(ISBLANK(N4),"",VLOOKUP(K4,B:D,3,FALSE))</f>
        <v>0</v>
      </c>
      <c r="P4" s="2">
        <f t="shared" ref="P4:P14" si="2">IF(ISBLANK(N4),"",N4-O4)</f>
        <v>10606370</v>
      </c>
    </row>
    <row r="5" spans="1:16" x14ac:dyDescent="0.25">
      <c r="A5" t="str">
        <v>MED</v>
      </c>
      <c r="B5" t="str">
        <v>Camavinga</v>
      </c>
      <c r="C5" s="1">
        <v>45872</v>
      </c>
      <c r="D5" s="2">
        <v>0</v>
      </c>
      <c r="E5" t="str">
        <f t="shared" si="0"/>
        <v/>
      </c>
      <c r="H5" s="1"/>
      <c r="I5" s="2"/>
      <c r="K5" t="str">
        <v>Arambarri</v>
      </c>
      <c r="L5" t="str">
        <v>MED</v>
      </c>
      <c r="M5" s="1">
        <v>45877</v>
      </c>
      <c r="N5" s="2">
        <v>12000000</v>
      </c>
      <c r="O5" s="2">
        <f t="shared" si="1"/>
        <v>0</v>
      </c>
      <c r="P5" s="2">
        <f t="shared" si="2"/>
        <v>12000000</v>
      </c>
    </row>
    <row r="6" spans="1:16" x14ac:dyDescent="0.25">
      <c r="A6" t="str">
        <v>DEL</v>
      </c>
      <c r="B6" t="str">
        <v>Camello</v>
      </c>
      <c r="C6" s="1">
        <v>45872</v>
      </c>
      <c r="D6" s="2">
        <v>0</v>
      </c>
      <c r="E6" t="str">
        <f t="shared" si="0"/>
        <v/>
      </c>
      <c r="H6" s="1"/>
      <c r="I6" s="2"/>
      <c r="K6" t="str">
        <v>Trejo</v>
      </c>
      <c r="L6" t="str">
        <v>MED</v>
      </c>
      <c r="M6" s="1">
        <v>45877</v>
      </c>
      <c r="N6" s="2">
        <v>5811350</v>
      </c>
      <c r="O6" s="2">
        <f t="shared" si="1"/>
        <v>0</v>
      </c>
      <c r="P6" s="2">
        <f t="shared" si="2"/>
        <v>5811350</v>
      </c>
    </row>
    <row r="7" spans="1:16" x14ac:dyDescent="0.25">
      <c r="A7" t="str">
        <v>MED</v>
      </c>
      <c r="B7" t="str">
        <v>Guevara</v>
      </c>
      <c r="C7" s="1">
        <v>45872</v>
      </c>
      <c r="D7" s="2">
        <v>0</v>
      </c>
      <c r="E7" t="str">
        <f t="shared" si="0"/>
        <v/>
      </c>
      <c r="H7" s="1"/>
      <c r="I7" s="2"/>
      <c r="K7" t="str">
        <v>Camavinga</v>
      </c>
      <c r="L7" t="str">
        <v>MED</v>
      </c>
      <c r="M7" s="1">
        <v>45881</v>
      </c>
      <c r="N7" s="2">
        <v>20024014</v>
      </c>
      <c r="O7" s="2">
        <f t="shared" si="1"/>
        <v>0</v>
      </c>
      <c r="P7" s="2">
        <f t="shared" si="2"/>
        <v>20024014</v>
      </c>
    </row>
    <row r="8" spans="1:16" x14ac:dyDescent="0.25">
      <c r="A8" t="str">
        <v>DEL</v>
      </c>
      <c r="B8" t="str">
        <v>Duro</v>
      </c>
      <c r="C8" s="1">
        <v>45872</v>
      </c>
      <c r="D8" s="2">
        <v>0</v>
      </c>
      <c r="E8" t="str">
        <f t="shared" si="0"/>
        <v/>
      </c>
      <c r="H8" s="1"/>
      <c r="I8" s="2"/>
      <c r="K8" t="str">
        <v>Guevara</v>
      </c>
      <c r="L8" t="str">
        <v>MED</v>
      </c>
      <c r="M8" s="1">
        <v>45883</v>
      </c>
      <c r="N8" s="2">
        <v>3374524</v>
      </c>
      <c r="O8" s="2">
        <f t="shared" si="1"/>
        <v>0</v>
      </c>
      <c r="P8" s="2">
        <f t="shared" si="2"/>
        <v>3374524</v>
      </c>
    </row>
    <row r="9" spans="1:16" x14ac:dyDescent="0.25">
      <c r="A9" t="str">
        <v>POR</v>
      </c>
      <c r="B9" t="str">
        <v>Luiz Junior</v>
      </c>
      <c r="C9" s="1">
        <v>45872</v>
      </c>
      <c r="D9" s="2">
        <v>0</v>
      </c>
      <c r="E9" t="str">
        <f t="shared" si="0"/>
        <v/>
      </c>
      <c r="H9" s="1"/>
      <c r="I9" s="2"/>
      <c r="K9" t="str">
        <v>Sow</v>
      </c>
      <c r="L9" t="str">
        <v>MED</v>
      </c>
      <c r="M9" s="1">
        <v>45883</v>
      </c>
      <c r="N9" s="2">
        <v>3744184</v>
      </c>
      <c r="O9" s="2">
        <f t="shared" si="1"/>
        <v>0</v>
      </c>
      <c r="P9" s="2">
        <f t="shared" si="2"/>
        <v>3744184</v>
      </c>
    </row>
    <row r="10" spans="1:16" x14ac:dyDescent="0.25">
      <c r="A10" t="str">
        <v>DEF</v>
      </c>
      <c r="B10" t="str">
        <v>Lejeune</v>
      </c>
      <c r="C10" s="1">
        <v>45872</v>
      </c>
      <c r="D10" s="2">
        <v>0</v>
      </c>
      <c r="E10" t="str">
        <f t="shared" si="0"/>
        <v/>
      </c>
      <c r="H10" s="1"/>
      <c r="I10" s="2"/>
      <c r="K10" t="str">
        <v>Luiz Junior</v>
      </c>
      <c r="L10" t="str">
        <v>POR</v>
      </c>
      <c r="M10" s="1">
        <v>45886</v>
      </c>
      <c r="N10" s="2">
        <v>9184563</v>
      </c>
      <c r="O10" s="2">
        <f t="shared" si="1"/>
        <v>0</v>
      </c>
      <c r="P10" s="2">
        <f t="shared" si="2"/>
        <v>9184563</v>
      </c>
    </row>
    <row r="11" spans="1:16" x14ac:dyDescent="0.25">
      <c r="A11" t="str">
        <v>DEF</v>
      </c>
      <c r="B11" t="str">
        <v>Marcão</v>
      </c>
      <c r="C11" s="1">
        <v>45872</v>
      </c>
      <c r="D11" s="2">
        <v>0</v>
      </c>
      <c r="E11" t="str">
        <f t="shared" si="0"/>
        <v/>
      </c>
      <c r="H11" s="1"/>
      <c r="I11" s="2"/>
      <c r="K11" t="str">
        <v>Camello</v>
      </c>
      <c r="L11" t="str">
        <v>DEL</v>
      </c>
      <c r="M11" s="1">
        <v>45887</v>
      </c>
      <c r="N11" s="2">
        <v>3814911</v>
      </c>
      <c r="O11" s="2">
        <f t="shared" si="1"/>
        <v>0</v>
      </c>
      <c r="P11" s="2">
        <f t="shared" si="2"/>
        <v>3814911</v>
      </c>
    </row>
    <row r="12" spans="1:16" x14ac:dyDescent="0.25">
      <c r="A12" t="str">
        <v>DEF</v>
      </c>
      <c r="B12" t="str">
        <v>Mendy</v>
      </c>
      <c r="C12" s="1">
        <v>45872</v>
      </c>
      <c r="D12" s="2">
        <v>0</v>
      </c>
      <c r="E12" t="str">
        <f t="shared" si="0"/>
        <v/>
      </c>
      <c r="H12" s="1"/>
      <c r="I12" s="2"/>
      <c r="K12" t="str">
        <v>Moldovan</v>
      </c>
      <c r="L12" t="str">
        <v>POR</v>
      </c>
      <c r="M12" s="1">
        <v>45892</v>
      </c>
      <c r="N12" s="2">
        <v>1594158</v>
      </c>
      <c r="O12" s="2">
        <f t="shared" si="1"/>
        <v>1780021</v>
      </c>
      <c r="P12" s="2">
        <f t="shared" si="2"/>
        <v>-185863</v>
      </c>
    </row>
    <row r="13" spans="1:16" x14ac:dyDescent="0.25">
      <c r="A13" t="str">
        <v>DEF</v>
      </c>
      <c r="B13" t="str">
        <v>Mingueza</v>
      </c>
      <c r="C13" s="1">
        <v>45872</v>
      </c>
      <c r="D13" s="2">
        <v>0</v>
      </c>
      <c r="E13" t="str">
        <f t="shared" si="0"/>
        <v/>
      </c>
      <c r="H13" s="1"/>
      <c r="I13" s="2"/>
      <c r="K13" t="str">
        <v>Tchouaméni</v>
      </c>
      <c r="L13" t="str">
        <v>MED</v>
      </c>
      <c r="M13" s="1">
        <v>45897</v>
      </c>
      <c r="N13" s="2">
        <v>51913530</v>
      </c>
      <c r="O13" s="2">
        <f t="shared" si="1"/>
        <v>41882338</v>
      </c>
      <c r="P13" s="2">
        <f t="shared" si="2"/>
        <v>10031192</v>
      </c>
    </row>
    <row r="14" spans="1:16" x14ac:dyDescent="0.25">
      <c r="A14" t="str">
        <v>DEL</v>
      </c>
      <c r="B14" t="str">
        <v>Oyarzabal</v>
      </c>
      <c r="C14" s="1">
        <v>45872</v>
      </c>
      <c r="D14" s="2">
        <v>0</v>
      </c>
      <c r="E14" t="str">
        <f t="shared" si="0"/>
        <v/>
      </c>
      <c r="H14" s="1"/>
      <c r="I14" s="2"/>
      <c r="K14" t="str">
        <v>Mingueza</v>
      </c>
      <c r="L14" t="str">
        <v>DEF</v>
      </c>
      <c r="M14" s="1">
        <v>45898</v>
      </c>
      <c r="N14" s="2">
        <v>26541798</v>
      </c>
      <c r="O14" s="2">
        <f t="shared" si="1"/>
        <v>0</v>
      </c>
      <c r="P14" s="2">
        <f t="shared" si="2"/>
        <v>26541798</v>
      </c>
    </row>
    <row r="15" spans="1:16" x14ac:dyDescent="0.25">
      <c r="A15" t="str">
        <v>MED</v>
      </c>
      <c r="B15" t="str">
        <v>Sow</v>
      </c>
      <c r="C15" s="1">
        <v>45872</v>
      </c>
      <c r="D15" s="2">
        <v>0</v>
      </c>
      <c r="E15" t="str">
        <f t="shared" si="0"/>
        <v/>
      </c>
      <c r="H15" s="1"/>
      <c r="I15" s="2"/>
      <c r="K15" t="str">
        <v>Pablo García</v>
      </c>
      <c r="L15" t="str">
        <v>DEL</v>
      </c>
      <c r="M15" s="1">
        <v>45903</v>
      </c>
      <c r="N15" s="2">
        <v>3735836</v>
      </c>
      <c r="O15" s="2">
        <f>IF(ISBLANK(N15),"",VLOOKUP(K15,B:D,3,FALSE))</f>
        <v>4021000</v>
      </c>
      <c r="P15" s="2">
        <f>IF(ISBLANK(N15),"",N15-O15)</f>
        <v>-285164</v>
      </c>
    </row>
    <row r="16" spans="1:16" x14ac:dyDescent="0.25">
      <c r="A16" t="str">
        <v>MED</v>
      </c>
      <c r="B16" t="str">
        <v>Trejo</v>
      </c>
      <c r="C16" s="1">
        <v>45872</v>
      </c>
      <c r="D16" s="2">
        <v>0</v>
      </c>
      <c r="E16" t="str">
        <f t="shared" si="0"/>
        <v/>
      </c>
      <c r="H16" s="1"/>
      <c r="I16" s="2"/>
      <c r="K16" t="str">
        <v>Lejeune</v>
      </c>
      <c r="L16" t="str">
        <v>DEF</v>
      </c>
      <c r="M16" s="1">
        <v>45905</v>
      </c>
      <c r="N16" s="2">
        <v>16501453</v>
      </c>
      <c r="O16" s="2">
        <f t="shared" ref="O16:O48" si="3">IF(ISBLANK(N16),"",VLOOKUP(K16,B:D,3,FALSE))</f>
        <v>0</v>
      </c>
      <c r="P16" s="2">
        <f t="shared" ref="P16:P48" si="4">IF(ISBLANK(N16),"",N16-O16)</f>
        <v>16501453</v>
      </c>
    </row>
    <row r="17" spans="1:16" x14ac:dyDescent="0.25">
      <c r="A17" t="str">
        <v>DEF</v>
      </c>
      <c r="B17" t="str">
        <v>Yuri</v>
      </c>
      <c r="C17" s="1">
        <v>45872</v>
      </c>
      <c r="D17" s="2">
        <v>0</v>
      </c>
      <c r="E17" t="str">
        <f t="shared" si="0"/>
        <v/>
      </c>
      <c r="H17" s="1"/>
      <c r="I17" s="2"/>
      <c r="K17" t="str">
        <v>Pablo Torre</v>
      </c>
      <c r="L17" t="str">
        <v>MED</v>
      </c>
      <c r="M17" s="1">
        <v>45908</v>
      </c>
      <c r="N17" s="2">
        <v>10000000</v>
      </c>
      <c r="O17" s="2">
        <f t="shared" si="3"/>
        <v>10000000</v>
      </c>
      <c r="P17" s="2">
        <f t="shared" si="4"/>
        <v>0</v>
      </c>
    </row>
    <row r="18" spans="1:16" x14ac:dyDescent="0.25">
      <c r="A18" t="str">
        <v>DEL</v>
      </c>
      <c r="B18" t="str">
        <v>Sannadi</v>
      </c>
      <c r="C18" s="1">
        <v>45877</v>
      </c>
      <c r="D18" s="2">
        <v>5000000</v>
      </c>
      <c r="E18" t="str">
        <f t="shared" si="0"/>
        <v/>
      </c>
      <c r="H18" s="1"/>
      <c r="I18" s="2"/>
      <c r="K18" t="str">
        <v>Foyth</v>
      </c>
      <c r="L18" t="str">
        <v>DEF</v>
      </c>
      <c r="M18" s="1">
        <v>45911</v>
      </c>
      <c r="N18" s="2">
        <v>31796533</v>
      </c>
      <c r="O18" s="2">
        <f t="shared" si="3"/>
        <v>27796533</v>
      </c>
      <c r="P18" s="2">
        <f t="shared" si="4"/>
        <v>4000000</v>
      </c>
    </row>
    <row r="19" spans="1:16" x14ac:dyDescent="0.25">
      <c r="A19" t="str">
        <v>MED</v>
      </c>
      <c r="B19" t="str">
        <v>Pablo Torre</v>
      </c>
      <c r="C19" s="1">
        <v>45877</v>
      </c>
      <c r="D19" s="2">
        <v>10000000</v>
      </c>
      <c r="E19" t="str">
        <f t="shared" si="0"/>
        <v/>
      </c>
      <c r="H19" s="1"/>
      <c r="I19" s="2"/>
      <c r="K19" t="str">
        <v>Yuri</v>
      </c>
      <c r="L19" t="str">
        <v>DEF</v>
      </c>
      <c r="M19" s="1">
        <v>45911</v>
      </c>
      <c r="N19" s="2">
        <v>18734306</v>
      </c>
      <c r="O19" s="2">
        <f t="shared" si="3"/>
        <v>0</v>
      </c>
      <c r="P19" s="2">
        <f t="shared" si="4"/>
        <v>18734306</v>
      </c>
    </row>
    <row r="20" spans="1:16" x14ac:dyDescent="0.25">
      <c r="A20" t="str">
        <v>MED</v>
      </c>
      <c r="B20" t="str">
        <v>Tchouaméni</v>
      </c>
      <c r="C20" s="1">
        <v>45877</v>
      </c>
      <c r="D20" s="2">
        <v>41882338</v>
      </c>
      <c r="E20" t="str">
        <f t="shared" si="0"/>
        <v/>
      </c>
      <c r="H20" s="1"/>
      <c r="I20" s="2"/>
      <c r="K20" t="str">
        <v>Duro</v>
      </c>
      <c r="L20" t="str">
        <v>DEL</v>
      </c>
      <c r="M20" s="1">
        <v>45916</v>
      </c>
      <c r="N20" s="2">
        <v>17006883</v>
      </c>
      <c r="O20" s="2">
        <f t="shared" si="3"/>
        <v>0</v>
      </c>
      <c r="P20" s="2">
        <f t="shared" si="4"/>
        <v>17006883</v>
      </c>
    </row>
    <row r="21" spans="1:16" x14ac:dyDescent="0.25">
      <c r="A21" t="str">
        <v>DEF</v>
      </c>
      <c r="B21" t="str">
        <v>Rincón</v>
      </c>
      <c r="C21" s="1">
        <v>45880</v>
      </c>
      <c r="D21" s="2">
        <v>2500000</v>
      </c>
      <c r="E21" t="str">
        <f t="shared" si="0"/>
        <v/>
      </c>
      <c r="H21" s="1"/>
      <c r="I21" s="2"/>
      <c r="K21" t="str">
        <v>Sannadi</v>
      </c>
      <c r="L21" t="str">
        <v>DEL</v>
      </c>
      <c r="M21" s="1">
        <v>45916</v>
      </c>
      <c r="N21" s="2">
        <v>5552631</v>
      </c>
      <c r="O21" s="2">
        <f t="shared" si="3"/>
        <v>5000000</v>
      </c>
      <c r="P21" s="2">
        <f t="shared" si="4"/>
        <v>552631</v>
      </c>
    </row>
    <row r="22" spans="1:16" x14ac:dyDescent="0.25">
      <c r="A22" t="str">
        <v>MED</v>
      </c>
      <c r="B22" t="str">
        <v>Barrios</v>
      </c>
      <c r="C22" s="1">
        <v>45881</v>
      </c>
      <c r="D22" s="2">
        <v>44211971</v>
      </c>
      <c r="E22" t="str">
        <f t="shared" si="0"/>
        <v/>
      </c>
      <c r="H22" s="1"/>
      <c r="I22" s="2"/>
      <c r="K22" t="str">
        <v>Fornals</v>
      </c>
      <c r="L22" t="str">
        <v>MED</v>
      </c>
      <c r="M22" s="1">
        <v>45917</v>
      </c>
      <c r="N22" s="2">
        <v>33880456</v>
      </c>
      <c r="O22" s="2">
        <f t="shared" si="3"/>
        <v>28680456</v>
      </c>
      <c r="P22" s="2">
        <f t="shared" si="4"/>
        <v>5200000</v>
      </c>
    </row>
    <row r="23" spans="1:16" x14ac:dyDescent="0.25">
      <c r="A23" t="str">
        <v>MED</v>
      </c>
      <c r="B23" t="str">
        <v>Kubo</v>
      </c>
      <c r="C23" s="1">
        <v>45883</v>
      </c>
      <c r="D23" s="2">
        <v>48600000</v>
      </c>
      <c r="E23" t="str">
        <f t="shared" si="0"/>
        <v/>
      </c>
      <c r="H23" s="1"/>
      <c r="I23" s="2"/>
      <c r="K23" t="str">
        <v>Bryan Gil</v>
      </c>
      <c r="L23" t="str">
        <v>DEL</v>
      </c>
      <c r="M23" s="1">
        <v>45920</v>
      </c>
      <c r="N23" s="2">
        <v>11345690</v>
      </c>
      <c r="O23" s="2">
        <f t="shared" si="3"/>
        <v>17000000</v>
      </c>
      <c r="P23" s="2">
        <f t="shared" si="4"/>
        <v>-5654310</v>
      </c>
    </row>
    <row r="24" spans="1:16" x14ac:dyDescent="0.25">
      <c r="A24" t="str">
        <v>MED</v>
      </c>
      <c r="B24" t="str">
        <v>Carlos Martín</v>
      </c>
      <c r="C24" s="1">
        <v>45884</v>
      </c>
      <c r="D24" s="2">
        <v>1218635</v>
      </c>
      <c r="E24" t="str">
        <f t="shared" si="0"/>
        <v>X</v>
      </c>
      <c r="H24" s="1"/>
      <c r="I24" s="2"/>
      <c r="K24" t="str">
        <v>Virgili</v>
      </c>
      <c r="L24" t="str">
        <v>DEL</v>
      </c>
      <c r="M24" s="1">
        <v>45920</v>
      </c>
      <c r="N24" s="2">
        <v>1840256</v>
      </c>
      <c r="O24" s="2">
        <f t="shared" si="3"/>
        <v>2531963</v>
      </c>
      <c r="P24" s="2">
        <f t="shared" si="4"/>
        <v>-691707</v>
      </c>
    </row>
    <row r="25" spans="1:16" x14ac:dyDescent="0.25">
      <c r="A25" t="str">
        <v>MED</v>
      </c>
      <c r="B25" t="str">
        <v>Oriol Rey</v>
      </c>
      <c r="C25" s="1">
        <v>45884</v>
      </c>
      <c r="D25" s="2">
        <v>1800000</v>
      </c>
      <c r="E25" t="str">
        <f t="shared" si="0"/>
        <v/>
      </c>
      <c r="K25" t="str">
        <v>Kubo</v>
      </c>
      <c r="L25" t="str">
        <v>MED</v>
      </c>
      <c r="M25" s="1">
        <v>45920</v>
      </c>
      <c r="N25" s="2">
        <v>45697007</v>
      </c>
      <c r="O25" s="2">
        <f t="shared" si="3"/>
        <v>48600000</v>
      </c>
      <c r="P25" s="2">
        <f t="shared" si="4"/>
        <v>-2902993</v>
      </c>
    </row>
    <row r="26" spans="1:16" x14ac:dyDescent="0.25">
      <c r="A26" t="str">
        <v>POR</v>
      </c>
      <c r="B26" t="str">
        <v>Moldovan</v>
      </c>
      <c r="C26" s="1">
        <v>45888</v>
      </c>
      <c r="D26" s="2">
        <v>1780021</v>
      </c>
      <c r="E26" t="str">
        <f t="shared" si="0"/>
        <v/>
      </c>
      <c r="K26" t="str">
        <v>Oriol Rey</v>
      </c>
      <c r="L26" t="str">
        <v>MED</v>
      </c>
      <c r="M26" s="1">
        <v>45920</v>
      </c>
      <c r="N26" s="2">
        <v>1800000</v>
      </c>
      <c r="O26" s="2">
        <f t="shared" si="3"/>
        <v>1800000</v>
      </c>
      <c r="P26" s="2">
        <f t="shared" si="4"/>
        <v>0</v>
      </c>
    </row>
    <row r="27" spans="1:16" x14ac:dyDescent="0.25">
      <c r="A27" t="str">
        <v>MED</v>
      </c>
      <c r="B27" t="str">
        <v>Solís</v>
      </c>
      <c r="C27" s="1">
        <v>45890</v>
      </c>
      <c r="D27" s="2">
        <v>535070</v>
      </c>
      <c r="E27" t="str">
        <f t="shared" si="0"/>
        <v>X</v>
      </c>
      <c r="K27" t="str">
        <v>Vitor Reis</v>
      </c>
      <c r="L27" t="str">
        <v>DEF</v>
      </c>
      <c r="M27" s="1">
        <v>45920</v>
      </c>
      <c r="N27" s="2">
        <v>8946839</v>
      </c>
      <c r="O27" s="2">
        <f t="shared" si="3"/>
        <v>10085577</v>
      </c>
      <c r="P27" s="2">
        <f t="shared" si="4"/>
        <v>-1138738</v>
      </c>
    </row>
    <row r="28" spans="1:16" x14ac:dyDescent="0.25">
      <c r="A28" t="str">
        <v>POR</v>
      </c>
      <c r="B28" t="str">
        <v>Nyland</v>
      </c>
      <c r="C28" s="1">
        <v>45892</v>
      </c>
      <c r="D28" s="2">
        <v>6235250</v>
      </c>
      <c r="E28" t="str">
        <f t="shared" si="0"/>
        <v/>
      </c>
      <c r="K28" t="str">
        <v>Barrios</v>
      </c>
      <c r="L28" t="str">
        <v>MED</v>
      </c>
      <c r="M28" s="1">
        <v>45921</v>
      </c>
      <c r="N28" s="2">
        <v>44211971</v>
      </c>
      <c r="O28" s="2">
        <f t="shared" si="3"/>
        <v>44211971</v>
      </c>
      <c r="P28" s="2">
        <f t="shared" si="4"/>
        <v>0</v>
      </c>
    </row>
    <row r="29" spans="1:16" x14ac:dyDescent="0.25">
      <c r="A29" t="str">
        <v>DEL</v>
      </c>
      <c r="B29" t="str">
        <v>Pablo García</v>
      </c>
      <c r="C29" s="1">
        <v>45894</v>
      </c>
      <c r="D29" s="2">
        <v>4021000</v>
      </c>
      <c r="E29" t="str">
        <f t="shared" si="0"/>
        <v/>
      </c>
      <c r="K29" t="str">
        <v>Aleñá</v>
      </c>
      <c r="L29" t="str">
        <v>MED</v>
      </c>
      <c r="M29" s="1">
        <v>45925</v>
      </c>
      <c r="N29" s="2">
        <v>13434659</v>
      </c>
      <c r="O29" s="2">
        <f t="shared" si="3"/>
        <v>9829793</v>
      </c>
      <c r="P29" s="2">
        <f t="shared" si="4"/>
        <v>3604866</v>
      </c>
    </row>
    <row r="30" spans="1:16" x14ac:dyDescent="0.25">
      <c r="A30" t="str">
        <v>MED</v>
      </c>
      <c r="B30" t="str">
        <v>Fornals</v>
      </c>
      <c r="C30" s="1">
        <v>45897</v>
      </c>
      <c r="D30" s="2">
        <v>28680456</v>
      </c>
      <c r="E30" t="str">
        <f t="shared" si="0"/>
        <v/>
      </c>
      <c r="K30" t="str">
        <v>Romero</v>
      </c>
      <c r="L30" t="str">
        <v>DEF</v>
      </c>
      <c r="M30" s="1">
        <v>45928</v>
      </c>
      <c r="N30" s="2">
        <v>15623192</v>
      </c>
      <c r="O30" s="2">
        <f t="shared" si="3"/>
        <v>8500000</v>
      </c>
      <c r="P30" s="2">
        <f t="shared" si="4"/>
        <v>7123192</v>
      </c>
    </row>
    <row r="31" spans="1:16" x14ac:dyDescent="0.25">
      <c r="A31" t="str">
        <v>DEF</v>
      </c>
      <c r="B31" t="str">
        <v>Foyth</v>
      </c>
      <c r="C31" s="1">
        <v>45897</v>
      </c>
      <c r="D31" s="2">
        <v>27796533</v>
      </c>
      <c r="E31" t="str">
        <f t="shared" si="0"/>
        <v/>
      </c>
      <c r="K31" t="str">
        <v>Nyland</v>
      </c>
      <c r="L31" t="str">
        <v>POR</v>
      </c>
      <c r="M31" s="1">
        <v>45928</v>
      </c>
      <c r="N31" s="2">
        <v>5316371</v>
      </c>
      <c r="O31" s="2">
        <f t="shared" si="3"/>
        <v>6235250</v>
      </c>
      <c r="P31" s="2">
        <f t="shared" si="4"/>
        <v>-918879</v>
      </c>
    </row>
    <row r="32" spans="1:16" x14ac:dyDescent="0.25">
      <c r="A32" t="str">
        <v>DEF</v>
      </c>
      <c r="B32" t="str">
        <v>Á. Núñez</v>
      </c>
      <c r="C32" s="1">
        <v>45903</v>
      </c>
      <c r="D32" s="2">
        <v>6869728</v>
      </c>
      <c r="E32" t="str">
        <f t="shared" si="0"/>
        <v>X</v>
      </c>
      <c r="K32" t="str">
        <v>Oyarzabal</v>
      </c>
      <c r="L32" t="str">
        <v>DEL</v>
      </c>
      <c r="M32" s="1">
        <v>45929</v>
      </c>
      <c r="N32" s="2">
        <v>44354180</v>
      </c>
      <c r="O32" s="2">
        <f t="shared" si="3"/>
        <v>0</v>
      </c>
      <c r="P32" s="2">
        <f t="shared" si="4"/>
        <v>44354180</v>
      </c>
    </row>
    <row r="33" spans="1:16" x14ac:dyDescent="0.25">
      <c r="A33" t="str">
        <v>DEF</v>
      </c>
      <c r="B33" t="str">
        <v>Areso</v>
      </c>
      <c r="C33" s="1">
        <v>45898</v>
      </c>
      <c r="D33" s="2">
        <v>15500000</v>
      </c>
      <c r="E33" t="str">
        <f t="shared" si="0"/>
        <v/>
      </c>
      <c r="K33" t="str">
        <v>Areso</v>
      </c>
      <c r="L33" t="str">
        <v>DEF</v>
      </c>
      <c r="M33" s="1">
        <v>45930</v>
      </c>
      <c r="N33" s="2">
        <v>15500000</v>
      </c>
      <c r="O33" s="2">
        <f t="shared" si="3"/>
        <v>15500000</v>
      </c>
      <c r="P33" s="2">
        <f t="shared" si="4"/>
        <v>0</v>
      </c>
    </row>
    <row r="34" spans="1:16" x14ac:dyDescent="0.25">
      <c r="A34" t="str">
        <v>MED</v>
      </c>
      <c r="B34" t="str">
        <v>Carlos Soler</v>
      </c>
      <c r="C34" s="1">
        <v>45903</v>
      </c>
      <c r="D34" s="2">
        <v>18392778</v>
      </c>
      <c r="E34" t="str">
        <f t="shared" si="0"/>
        <v>X</v>
      </c>
      <c r="K34" t="str">
        <v>Griezmann</v>
      </c>
      <c r="L34" t="str">
        <v>DEL</v>
      </c>
      <c r="M34" s="1">
        <v>45930</v>
      </c>
      <c r="N34" s="2">
        <v>23879223</v>
      </c>
      <c r="O34" s="2">
        <f t="shared" si="3"/>
        <v>26000000</v>
      </c>
      <c r="P34" s="2">
        <f t="shared" si="4"/>
        <v>-2120777</v>
      </c>
    </row>
    <row r="35" spans="1:16" x14ac:dyDescent="0.25">
      <c r="A35" t="str">
        <v>DEL</v>
      </c>
      <c r="B35" t="str">
        <v>Virgili</v>
      </c>
      <c r="C35" s="1">
        <v>45904</v>
      </c>
      <c r="D35" s="2">
        <v>2531963</v>
      </c>
      <c r="E35" t="str">
        <f t="shared" si="0"/>
        <v/>
      </c>
      <c r="K35" t="str">
        <v>Lo Celso</v>
      </c>
      <c r="L35" t="str">
        <v>MED</v>
      </c>
      <c r="M35" s="1">
        <v>45930</v>
      </c>
      <c r="N35" s="2">
        <v>76756602</v>
      </c>
      <c r="O35" s="2">
        <f t="shared" si="3"/>
        <v>75609428</v>
      </c>
      <c r="P35" s="2">
        <f t="shared" si="4"/>
        <v>1147174</v>
      </c>
    </row>
    <row r="36" spans="1:16" x14ac:dyDescent="0.25">
      <c r="A36" t="str">
        <v>MED</v>
      </c>
      <c r="B36" t="str">
        <v>C. Álvarez</v>
      </c>
      <c r="C36" s="1">
        <v>45920</v>
      </c>
      <c r="D36" s="2">
        <v>7411401</v>
      </c>
      <c r="E36" t="str">
        <f t="shared" si="0"/>
        <v/>
      </c>
      <c r="K36" t="str">
        <v>C. Álvarez</v>
      </c>
      <c r="L36" t="str">
        <v>MED</v>
      </c>
      <c r="M36" s="1">
        <v>45934</v>
      </c>
      <c r="N36" s="2">
        <v>15411401</v>
      </c>
      <c r="O36" s="2">
        <f t="shared" si="3"/>
        <v>7411401</v>
      </c>
      <c r="P36" s="2">
        <f t="shared" si="4"/>
        <v>8000000</v>
      </c>
    </row>
    <row r="37" spans="1:16" x14ac:dyDescent="0.25">
      <c r="A37" t="str">
        <v>MED</v>
      </c>
      <c r="B37" t="str">
        <v>Aleñá</v>
      </c>
      <c r="C37" s="1">
        <v>45909</v>
      </c>
      <c r="D37" s="2">
        <v>9829793</v>
      </c>
      <c r="E37" t="str">
        <f t="shared" si="0"/>
        <v/>
      </c>
      <c r="K37" t="str">
        <v>Rincón</v>
      </c>
      <c r="L37" t="str">
        <v>DEF</v>
      </c>
      <c r="M37" s="1">
        <v>45934</v>
      </c>
      <c r="N37" s="2">
        <v>3500000</v>
      </c>
      <c r="O37" s="2">
        <f t="shared" si="3"/>
        <v>2500000</v>
      </c>
      <c r="P37" s="2">
        <f t="shared" si="4"/>
        <v>1000000</v>
      </c>
    </row>
    <row r="38" spans="1:16" x14ac:dyDescent="0.25">
      <c r="A38" t="str">
        <v>DEL</v>
      </c>
      <c r="B38" t="str">
        <v>Bryan Gil</v>
      </c>
      <c r="C38" s="1">
        <v>45911</v>
      </c>
      <c r="D38" s="2">
        <v>17000000</v>
      </c>
      <c r="E38" t="str">
        <f t="shared" si="0"/>
        <v/>
      </c>
      <c r="K38" t="str">
        <v>Marcão</v>
      </c>
      <c r="L38" t="str">
        <v>DEF</v>
      </c>
      <c r="M38" s="1">
        <v>45938</v>
      </c>
      <c r="N38" s="2">
        <v>1834561</v>
      </c>
      <c r="O38" s="2">
        <f t="shared" si="3"/>
        <v>0</v>
      </c>
      <c r="P38" s="2">
        <f t="shared" si="4"/>
        <v>1834561</v>
      </c>
    </row>
    <row r="39" spans="1:16" x14ac:dyDescent="0.25">
      <c r="A39" t="str">
        <v>POR</v>
      </c>
      <c r="B39" t="str">
        <v>Manu González</v>
      </c>
      <c r="C39" s="1">
        <v>45912</v>
      </c>
      <c r="D39" s="2">
        <v>336318</v>
      </c>
      <c r="E39" t="str">
        <f t="shared" si="0"/>
        <v>X</v>
      </c>
      <c r="K39" t="str">
        <v>Rafa Mir</v>
      </c>
      <c r="L39" t="str">
        <v>DEL</v>
      </c>
      <c r="M39" s="1">
        <v>45938</v>
      </c>
      <c r="N39" s="2">
        <v>21110640</v>
      </c>
      <c r="O39" s="2">
        <f t="shared" si="3"/>
        <v>20225343</v>
      </c>
      <c r="P39" s="2">
        <f t="shared" si="4"/>
        <v>885297</v>
      </c>
    </row>
    <row r="40" spans="1:16" x14ac:dyDescent="0.25">
      <c r="A40" t="str">
        <v>DEF</v>
      </c>
      <c r="B40" t="str">
        <v>Vitor Reis</v>
      </c>
      <c r="C40" s="1">
        <v>45912</v>
      </c>
      <c r="D40" s="2">
        <v>10085577</v>
      </c>
      <c r="E40" t="str">
        <f t="shared" si="0"/>
        <v/>
      </c>
      <c r="K40" t="str">
        <v>Martín</v>
      </c>
      <c r="L40" t="str">
        <v>DEF</v>
      </c>
      <c r="M40" s="1">
        <v>45940</v>
      </c>
      <c r="N40" s="2">
        <v>9544151</v>
      </c>
      <c r="O40" s="2">
        <f t="shared" si="3"/>
        <v>16875421</v>
      </c>
      <c r="P40" s="2">
        <f t="shared" si="4"/>
        <v>-7331270</v>
      </c>
    </row>
    <row r="41" spans="1:16" x14ac:dyDescent="0.25">
      <c r="A41" t="str">
        <v>DEF</v>
      </c>
      <c r="B41" t="str">
        <v>Romero</v>
      </c>
      <c r="C41" s="1">
        <v>45914</v>
      </c>
      <c r="D41" s="2">
        <v>8500000</v>
      </c>
      <c r="E41" t="str">
        <f t="shared" si="0"/>
        <v/>
      </c>
      <c r="K41" t="str">
        <v>Román</v>
      </c>
      <c r="L41" t="str">
        <v>MED</v>
      </c>
      <c r="M41" s="1">
        <v>45944</v>
      </c>
      <c r="N41" s="2">
        <v>420382</v>
      </c>
      <c r="O41" s="2">
        <f t="shared" si="3"/>
        <v>406633</v>
      </c>
      <c r="P41" s="2">
        <f t="shared" si="4"/>
        <v>13749</v>
      </c>
    </row>
    <row r="42" spans="1:16" x14ac:dyDescent="0.25">
      <c r="A42" t="str">
        <v>MED</v>
      </c>
      <c r="B42" t="str">
        <v>Lo Celso</v>
      </c>
      <c r="C42" s="1">
        <v>45920</v>
      </c>
      <c r="D42" s="2">
        <v>75609428</v>
      </c>
      <c r="E42" t="str">
        <f t="shared" si="0"/>
        <v/>
      </c>
      <c r="K42" t="str">
        <v>Boyé</v>
      </c>
      <c r="L42" t="str">
        <v>DEL</v>
      </c>
      <c r="M42" s="1">
        <v>45945</v>
      </c>
      <c r="N42" s="2">
        <v>2506689</v>
      </c>
      <c r="O42" s="2">
        <f t="shared" si="3"/>
        <v>2506689</v>
      </c>
      <c r="P42" s="2">
        <f t="shared" si="4"/>
        <v>0</v>
      </c>
    </row>
    <row r="43" spans="1:16" x14ac:dyDescent="0.25">
      <c r="A43" t="str">
        <v>DEL</v>
      </c>
      <c r="B43" t="str">
        <v>Mbappé</v>
      </c>
      <c r="C43" s="1">
        <v>45930</v>
      </c>
      <c r="D43" s="2">
        <v>172998122</v>
      </c>
      <c r="E43" t="str">
        <f t="shared" si="0"/>
        <v>X</v>
      </c>
      <c r="K43" t="str">
        <v>Moleiro</v>
      </c>
      <c r="L43" t="str">
        <v>MED</v>
      </c>
      <c r="M43" s="1">
        <v>45952</v>
      </c>
      <c r="N43" s="2">
        <v>24794268</v>
      </c>
      <c r="O43" s="2">
        <f t="shared" si="3"/>
        <v>20794268</v>
      </c>
      <c r="P43" s="2">
        <f t="shared" si="4"/>
        <v>4000000</v>
      </c>
    </row>
    <row r="44" spans="1:16" x14ac:dyDescent="0.25">
      <c r="A44" t="str">
        <v>DEL</v>
      </c>
      <c r="B44" t="str">
        <v>Griezmann</v>
      </c>
      <c r="C44" s="1">
        <v>45920</v>
      </c>
      <c r="D44" s="2">
        <v>26000000</v>
      </c>
      <c r="E44" t="str">
        <f t="shared" si="0"/>
        <v/>
      </c>
      <c r="K44" t="str">
        <v>Maffeo</v>
      </c>
      <c r="L44" t="str">
        <v>DEF</v>
      </c>
      <c r="M44" s="1">
        <v>45952</v>
      </c>
      <c r="N44" s="2">
        <v>9932929</v>
      </c>
      <c r="O44" s="2">
        <f t="shared" si="3"/>
        <v>1532830</v>
      </c>
      <c r="P44" s="2">
        <f t="shared" si="4"/>
        <v>8400099</v>
      </c>
    </row>
    <row r="45" spans="1:16" x14ac:dyDescent="0.25">
      <c r="A45" t="str">
        <v>DEL</v>
      </c>
      <c r="B45" t="str">
        <v>Rafa Mir</v>
      </c>
      <c r="C45" s="1">
        <v>45916</v>
      </c>
      <c r="D45" s="2">
        <v>20225343</v>
      </c>
      <c r="E45" t="str">
        <f t="shared" si="0"/>
        <v/>
      </c>
      <c r="K45" t="str">
        <v>Bernal</v>
      </c>
      <c r="L45" t="str">
        <v>MED</v>
      </c>
      <c r="M45" s="1">
        <v>45956</v>
      </c>
      <c r="N45" s="2">
        <v>1483300</v>
      </c>
      <c r="O45" s="2">
        <f t="shared" si="3"/>
        <v>2324209</v>
      </c>
      <c r="P45" s="2">
        <f t="shared" si="4"/>
        <v>-840909</v>
      </c>
    </row>
    <row r="46" spans="1:16" x14ac:dyDescent="0.25">
      <c r="A46" t="str">
        <v>POR</v>
      </c>
      <c r="B46" t="str">
        <v>Agirrezabala</v>
      </c>
      <c r="C46" s="1">
        <v>45921</v>
      </c>
      <c r="D46" s="2">
        <v>22878987</v>
      </c>
      <c r="E46" t="str">
        <f t="shared" si="0"/>
        <v>X</v>
      </c>
      <c r="K46" t="str">
        <v>Sotelo</v>
      </c>
      <c r="L46" t="str">
        <v>MED</v>
      </c>
      <c r="M46" s="1">
        <v>45957</v>
      </c>
      <c r="N46" s="2">
        <v>12016075</v>
      </c>
      <c r="O46" s="2">
        <f t="shared" si="3"/>
        <v>15000000</v>
      </c>
      <c r="P46" s="2">
        <f t="shared" si="4"/>
        <v>-2983925</v>
      </c>
    </row>
    <row r="47" spans="1:16" x14ac:dyDescent="0.25">
      <c r="A47" t="str">
        <v>MED</v>
      </c>
      <c r="B47" t="str">
        <v>Ounahi</v>
      </c>
      <c r="C47" s="1">
        <v>45927</v>
      </c>
      <c r="D47" s="2">
        <v>12000000</v>
      </c>
      <c r="E47" t="str">
        <f t="shared" si="0"/>
        <v>X</v>
      </c>
      <c r="K47" t="str">
        <v>Pathé Ciss</v>
      </c>
      <c r="L47" t="str">
        <v>MED</v>
      </c>
      <c r="M47" s="1">
        <v>45957</v>
      </c>
      <c r="N47" s="2">
        <v>12481047</v>
      </c>
      <c r="O47" s="2">
        <f t="shared" si="3"/>
        <v>11000010</v>
      </c>
      <c r="P47" s="2">
        <f t="shared" si="4"/>
        <v>1481037</v>
      </c>
    </row>
    <row r="48" spans="1:16" x14ac:dyDescent="0.25">
      <c r="A48" t="str">
        <v>DEF</v>
      </c>
      <c r="B48" t="str">
        <v>Martín</v>
      </c>
      <c r="C48" s="1">
        <v>45929</v>
      </c>
      <c r="D48" s="2">
        <v>16875421</v>
      </c>
      <c r="E48" t="str">
        <f t="shared" si="0"/>
        <v/>
      </c>
      <c r="K48" t="str">
        <v>Iglesias</v>
      </c>
      <c r="L48" t="str">
        <v>DEF</v>
      </c>
      <c r="M48" s="1">
        <v>45960</v>
      </c>
      <c r="N48" s="2">
        <v>2369904</v>
      </c>
      <c r="O48" s="2">
        <f t="shared" si="3"/>
        <v>2369904</v>
      </c>
      <c r="P48" s="2">
        <f t="shared" si="4"/>
        <v>0</v>
      </c>
    </row>
    <row r="49" spans="1:14" x14ac:dyDescent="0.25">
      <c r="A49" t="str">
        <v>DEL</v>
      </c>
      <c r="B49" t="str">
        <v>Boyé</v>
      </c>
      <c r="C49" s="1">
        <v>45931</v>
      </c>
      <c r="D49" s="2">
        <v>2506689</v>
      </c>
      <c r="E49" t="str">
        <f t="shared" si="0"/>
        <v/>
      </c>
      <c r="K49" t="str">
        <v>Dolan</v>
      </c>
      <c r="L49" t="str">
        <v>DEL</v>
      </c>
      <c r="M49" s="1">
        <v>45960</v>
      </c>
      <c r="N49" s="2">
        <v>8465783</v>
      </c>
    </row>
    <row r="50" spans="1:14" x14ac:dyDescent="0.25">
      <c r="A50" t="str">
        <v>MED</v>
      </c>
      <c r="B50" t="str">
        <v>Lemar</v>
      </c>
      <c r="C50" s="1">
        <v>45931</v>
      </c>
      <c r="D50" s="2">
        <v>1764566</v>
      </c>
      <c r="E50" t="str">
        <f t="shared" si="0"/>
        <v>X</v>
      </c>
    </row>
    <row r="51" spans="1:14" x14ac:dyDescent="0.25">
      <c r="A51" t="str">
        <v>MED</v>
      </c>
      <c r="B51" t="str">
        <v>Bernal</v>
      </c>
      <c r="C51" s="1">
        <v>45931</v>
      </c>
      <c r="D51" s="2">
        <v>2324209</v>
      </c>
    </row>
    <row r="52" spans="1:14" x14ac:dyDescent="0.25">
      <c r="A52" t="str">
        <v>MED</v>
      </c>
      <c r="B52" t="str">
        <v>Moleiro</v>
      </c>
      <c r="C52" s="1">
        <v>45934</v>
      </c>
      <c r="D52" s="2">
        <v>20794268</v>
      </c>
    </row>
    <row r="53" spans="1:14" x14ac:dyDescent="0.25">
      <c r="A53" t="str">
        <v>MED</v>
      </c>
      <c r="B53" t="str">
        <v>Sotelo</v>
      </c>
      <c r="C53" s="1">
        <v>45937</v>
      </c>
      <c r="D53" s="2">
        <v>15000000</v>
      </c>
    </row>
    <row r="54" spans="1:14" x14ac:dyDescent="0.25">
      <c r="A54" t="str">
        <v>DEF</v>
      </c>
      <c r="B54" t="str">
        <v>Maffeo</v>
      </c>
      <c r="C54" s="1">
        <v>45938</v>
      </c>
      <c r="D54" s="2">
        <v>1532830</v>
      </c>
    </row>
    <row r="55" spans="1:14" x14ac:dyDescent="0.25">
      <c r="A55" t="str">
        <v>DEL</v>
      </c>
      <c r="B55" t="str">
        <v>Dolan</v>
      </c>
      <c r="C55" s="1">
        <v>45938</v>
      </c>
      <c r="D55" s="2">
        <v>6529830</v>
      </c>
    </row>
    <row r="56" spans="1:14" x14ac:dyDescent="0.25">
      <c r="A56" t="str">
        <v>DEF</v>
      </c>
      <c r="B56" t="str">
        <v>Javi Rodríguez</v>
      </c>
      <c r="C56" s="1">
        <v>45938</v>
      </c>
      <c r="D56" s="2">
        <v>1000000</v>
      </c>
    </row>
    <row r="57" spans="1:14" x14ac:dyDescent="0.25">
      <c r="A57" t="str">
        <v>MED</v>
      </c>
      <c r="B57" t="str">
        <v>Pathé Ciss</v>
      </c>
      <c r="C57" s="1">
        <v>45940</v>
      </c>
      <c r="D57" s="2">
        <v>11000010</v>
      </c>
    </row>
    <row r="58" spans="1:14" x14ac:dyDescent="0.25">
      <c r="A58" t="str">
        <v>MED</v>
      </c>
      <c r="B58" t="str">
        <v>Román</v>
      </c>
      <c r="C58" s="1">
        <v>45942</v>
      </c>
      <c r="D58" s="2">
        <v>406633</v>
      </c>
    </row>
    <row r="59" spans="1:14" x14ac:dyDescent="0.25">
      <c r="A59" t="str">
        <v>DEF</v>
      </c>
      <c r="B59" t="str">
        <v>Iglesias</v>
      </c>
      <c r="C59" s="1">
        <v>45945</v>
      </c>
      <c r="D59" s="2">
        <v>2369904</v>
      </c>
    </row>
    <row r="60" spans="1:14" x14ac:dyDescent="0.25">
      <c r="A60" t="str">
        <v>MED</v>
      </c>
      <c r="B60" t="str">
        <v>Unai López</v>
      </c>
      <c r="C60" s="1">
        <v>45952</v>
      </c>
      <c r="D60" s="2">
        <v>8785214</v>
      </c>
    </row>
    <row r="61" spans="1:14" x14ac:dyDescent="0.25">
      <c r="A61" t="str">
        <v>MED</v>
      </c>
      <c r="B61" t="str">
        <v>Pedro Díaz</v>
      </c>
      <c r="C61" s="1">
        <v>45952</v>
      </c>
      <c r="D61" s="2">
        <v>3201101</v>
      </c>
    </row>
    <row r="62" spans="1:14" x14ac:dyDescent="0.25">
      <c r="A62" t="str">
        <v>DEL</v>
      </c>
      <c r="B62" t="str">
        <v>Durán</v>
      </c>
      <c r="C62" s="1">
        <v>45952</v>
      </c>
      <c r="D62" s="2">
        <v>1600000</v>
      </c>
    </row>
    <row r="63" spans="1:14" x14ac:dyDescent="0.25">
      <c r="A63" t="str">
        <v>DEF</v>
      </c>
      <c r="B63" t="str">
        <v>Pep Chavarría</v>
      </c>
      <c r="C63" s="1">
        <v>45952</v>
      </c>
      <c r="D63" s="2">
        <v>14035574</v>
      </c>
    </row>
    <row r="64" spans="1:14" x14ac:dyDescent="0.25">
      <c r="A64" t="str">
        <v>DEF</v>
      </c>
      <c r="B64" t="str">
        <v>Vitor Reis</v>
      </c>
      <c r="C64" s="1">
        <v>45955</v>
      </c>
      <c r="D64" s="2">
        <v>4744716</v>
      </c>
    </row>
    <row r="65" spans="1:4" x14ac:dyDescent="0.25">
      <c r="A65" t="str">
        <v>DEF</v>
      </c>
      <c r="B65" t="str">
        <v>Carmo</v>
      </c>
      <c r="C65" s="1">
        <v>45971</v>
      </c>
      <c r="D65" s="2">
        <v>10000000</v>
      </c>
    </row>
    <row r="66" spans="1:4" x14ac:dyDescent="0.25">
      <c r="A66" t="str">
        <v>DEF</v>
      </c>
      <c r="B66" t="str">
        <v>Bretones</v>
      </c>
      <c r="C66" s="1">
        <v>45971</v>
      </c>
      <c r="D66" s="2">
        <v>3373737</v>
      </c>
    </row>
    <row r="67" spans="1:4" x14ac:dyDescent="0.25">
      <c r="A67" t="str">
        <v>DEL</v>
      </c>
      <c r="B67" t="str">
        <v>Benito</v>
      </c>
      <c r="C67" s="1">
        <v>45972</v>
      </c>
      <c r="D67" s="2">
        <v>520604</v>
      </c>
    </row>
  </sheetData>
  <hyperlinks>
    <hyperlink ref="A1" location="Sumario!A1" display="Indice" xr:uid="{5ACD65E1-5ECB-4625-BDB4-8390EAE0F1DE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D73A8F-129E-4B8F-AFA7-44BC94163E30}">
  <dimension ref="A1:P85"/>
  <sheetViews>
    <sheetView topLeftCell="A16" workbookViewId="0">
      <selection activeCell="C16" sqref="C1:C1048576"/>
    </sheetView>
  </sheetViews>
  <sheetFormatPr baseColWidth="10" defaultRowHeight="15" x14ac:dyDescent="0.25"/>
  <cols>
    <col min="3" max="3" width="11.42578125" style="1"/>
    <col min="4" max="4" width="11.42578125" style="2"/>
    <col min="13" max="13" width="11.42578125" style="1"/>
    <col min="14" max="15" width="14.140625" style="2" bestFit="1" customWidth="1"/>
    <col min="16" max="16" width="12.28515625" bestFit="1" customWidth="1"/>
  </cols>
  <sheetData>
    <row r="1" spans="1:16" x14ac:dyDescent="0.25">
      <c r="A1" s="3" t="s">
        <v>94</v>
      </c>
      <c r="B1" t="s">
        <v>10</v>
      </c>
      <c r="H1" s="1"/>
      <c r="I1" s="2"/>
    </row>
    <row r="2" spans="1:16" x14ac:dyDescent="0.25">
      <c r="A2" t="s">
        <v>188</v>
      </c>
      <c r="H2" s="1"/>
      <c r="I2" s="2"/>
      <c r="K2" t="s">
        <v>189</v>
      </c>
    </row>
    <row r="3" spans="1:16" x14ac:dyDescent="0.25">
      <c r="A3" t="s">
        <v>75</v>
      </c>
      <c r="B3" t="s">
        <v>25</v>
      </c>
      <c r="C3" s="1" t="s">
        <v>76</v>
      </c>
      <c r="D3" s="2" t="s">
        <v>95</v>
      </c>
      <c r="E3" t="s">
        <v>190</v>
      </c>
      <c r="H3" s="1"/>
      <c r="I3" s="2"/>
      <c r="K3" t="s">
        <v>75</v>
      </c>
      <c r="L3" t="s">
        <v>25</v>
      </c>
      <c r="M3" s="1" t="s">
        <v>93</v>
      </c>
      <c r="N3" s="2" t="s">
        <v>96</v>
      </c>
      <c r="O3" s="2" t="s">
        <v>95</v>
      </c>
      <c r="P3" t="s">
        <v>280</v>
      </c>
    </row>
    <row r="4" spans="1:16" x14ac:dyDescent="0.25">
      <c r="A4" t="str" cm="1">
        <f t="array" ref="A4:A85">_xlfn._xlws.FILTER(Fichajes!C:C,Fichajes!G:G=B1)</f>
        <v>MED</v>
      </c>
      <c r="B4" t="str" cm="1">
        <f t="array" ref="B4:B85">_xlfn._xlws.FILTER(Fichajes!B:B,Fichajes!G:G=B1)</f>
        <v>Oroz</v>
      </c>
      <c r="C4" s="1" cm="1">
        <f t="array" ref="C4:C85">_xlfn._xlws.FILTER(Fichajes!F:F,Fichajes!$G:$G=$B1)</f>
        <v>45872</v>
      </c>
      <c r="D4" s="2" cm="1">
        <f t="array" ref="D4:D85">_xlfn._xlws.FILTER(Fichajes!I:I,Fichajes!$G:$G=$B1)</f>
        <v>0</v>
      </c>
      <c r="E4" t="str">
        <f t="shared" ref="E4:E39" si="0">IF(B4="","",IFERROR(
   IF(
      (VLOOKUP(B4,K:N,3,FALSE)) &lt; C4,
      "X",
      ""
   ),
   "X")
)</f>
        <v/>
      </c>
      <c r="H4" s="1"/>
      <c r="I4" s="2"/>
      <c r="K4" t="str" cm="1">
        <f t="array" ref="K4:K69">_xlfn._xlws.FILTER(Fichajes!B:B,Fichajes!$H:$H=B$1)</f>
        <v>Thierry</v>
      </c>
      <c r="L4" t="str" cm="1">
        <f t="array" ref="L4:L69">_xlfn._xlws.FILTER(Fichajes!C:C,Fichajes!$H:$H=B$1)</f>
        <v>DEF</v>
      </c>
      <c r="M4" s="1" cm="1">
        <f t="array" ref="M4:M69">_xlfn._xlws.FILTER(Fichajes!F:F,Fichajes!$H:$H=B$1)</f>
        <v>45874</v>
      </c>
      <c r="N4" s="2" cm="1">
        <f t="array" ref="N4:N69">_xlfn._xlws.FILTER(Fichajes!I:I,Fichajes!$H:$H=B$1)</f>
        <v>7913098</v>
      </c>
      <c r="O4" s="2">
        <f t="shared" ref="O4:O14" si="1">IF(ISBLANK(N4),"",VLOOKUP(K4,B:D,3,FALSE))</f>
        <v>0</v>
      </c>
      <c r="P4" s="2">
        <f t="shared" ref="P4:P14" si="2">IF(ISBLANK(N4),"",N4-O4)</f>
        <v>7913098</v>
      </c>
    </row>
    <row r="5" spans="1:16" x14ac:dyDescent="0.25">
      <c r="A5" t="str">
        <v>DEF</v>
      </c>
      <c r="B5" t="str">
        <v>Á. Núñez</v>
      </c>
      <c r="C5" s="1">
        <v>45872</v>
      </c>
      <c r="D5" s="2">
        <v>0</v>
      </c>
      <c r="E5" t="str">
        <f t="shared" si="0"/>
        <v/>
      </c>
      <c r="H5" s="1"/>
      <c r="I5" s="2"/>
      <c r="K5" t="str">
        <v>Juanlu</v>
      </c>
      <c r="L5" t="str">
        <v>MED</v>
      </c>
      <c r="M5" s="1">
        <v>45877</v>
      </c>
      <c r="N5" s="2">
        <v>1250129</v>
      </c>
      <c r="O5" s="2">
        <f t="shared" si="1"/>
        <v>0</v>
      </c>
      <c r="P5" s="2">
        <f t="shared" si="2"/>
        <v>1250129</v>
      </c>
    </row>
    <row r="6" spans="1:16" x14ac:dyDescent="0.25">
      <c r="A6" t="str">
        <v>MED</v>
      </c>
      <c r="B6" t="str">
        <v>Comesaña</v>
      </c>
      <c r="C6" s="1">
        <v>45872</v>
      </c>
      <c r="D6" s="2">
        <v>0</v>
      </c>
      <c r="E6" t="str">
        <f t="shared" si="0"/>
        <v/>
      </c>
      <c r="H6" s="1"/>
      <c r="I6" s="2"/>
      <c r="K6" t="str">
        <v>Olmo</v>
      </c>
      <c r="L6" t="str">
        <v>MED</v>
      </c>
      <c r="M6" s="1">
        <v>45880</v>
      </c>
      <c r="N6" s="2">
        <v>57538379</v>
      </c>
      <c r="O6" s="2">
        <f t="shared" si="1"/>
        <v>53310169</v>
      </c>
      <c r="P6" s="2">
        <f t="shared" si="2"/>
        <v>4228210</v>
      </c>
    </row>
    <row r="7" spans="1:16" x14ac:dyDescent="0.25">
      <c r="A7" t="str">
        <v>DEF</v>
      </c>
      <c r="B7" t="str">
        <v>Thierry</v>
      </c>
      <c r="C7" s="1">
        <v>45872</v>
      </c>
      <c r="D7" s="2">
        <v>0</v>
      </c>
      <c r="E7" t="str">
        <f t="shared" si="0"/>
        <v/>
      </c>
      <c r="H7" s="1"/>
      <c r="I7" s="2"/>
      <c r="K7" t="str">
        <v>Comesaña</v>
      </c>
      <c r="L7" t="str">
        <v>MED</v>
      </c>
      <c r="M7" s="1">
        <v>45883</v>
      </c>
      <c r="N7" s="2">
        <v>6865726</v>
      </c>
      <c r="O7" s="2">
        <f t="shared" si="1"/>
        <v>0</v>
      </c>
      <c r="P7" s="2">
        <f t="shared" si="2"/>
        <v>6865726</v>
      </c>
    </row>
    <row r="8" spans="1:16" x14ac:dyDescent="0.25">
      <c r="A8" t="str">
        <v>DEF</v>
      </c>
      <c r="B8" t="str">
        <v>Blind</v>
      </c>
      <c r="C8" s="1">
        <v>45872</v>
      </c>
      <c r="D8" s="2">
        <v>0</v>
      </c>
      <c r="E8" t="str">
        <f t="shared" si="0"/>
        <v/>
      </c>
      <c r="H8" s="1"/>
      <c r="I8" s="2"/>
      <c r="K8" t="str">
        <v>Pedraza</v>
      </c>
      <c r="L8" t="str">
        <v>DEF</v>
      </c>
      <c r="M8" s="1">
        <v>45885</v>
      </c>
      <c r="N8" s="2">
        <v>4790298</v>
      </c>
      <c r="O8" s="2">
        <f t="shared" si="1"/>
        <v>0</v>
      </c>
      <c r="P8" s="2">
        <f t="shared" si="2"/>
        <v>4790298</v>
      </c>
    </row>
    <row r="9" spans="1:16" x14ac:dyDescent="0.25">
      <c r="A9" t="str">
        <v>MED</v>
      </c>
      <c r="B9" t="str">
        <v>Dani Rodríguez</v>
      </c>
      <c r="C9" s="1">
        <v>45872</v>
      </c>
      <c r="D9" s="2">
        <v>0</v>
      </c>
      <c r="E9" t="str">
        <f t="shared" si="0"/>
        <v/>
      </c>
      <c r="H9" s="1"/>
      <c r="I9" s="2"/>
      <c r="K9" t="str">
        <v>Gerard</v>
      </c>
      <c r="L9" t="str">
        <v>DEL</v>
      </c>
      <c r="M9" s="1">
        <v>45887</v>
      </c>
      <c r="N9" s="2">
        <v>19301382</v>
      </c>
      <c r="O9" s="2">
        <f t="shared" si="1"/>
        <v>0</v>
      </c>
      <c r="P9" s="2">
        <f t="shared" si="2"/>
        <v>19301382</v>
      </c>
    </row>
    <row r="10" spans="1:16" x14ac:dyDescent="0.25">
      <c r="A10" t="str">
        <v>MED</v>
      </c>
      <c r="B10" t="str">
        <v>Darder</v>
      </c>
      <c r="C10" s="1">
        <v>45872</v>
      </c>
      <c r="D10" s="2">
        <v>0</v>
      </c>
      <c r="E10" t="str">
        <f t="shared" si="0"/>
        <v/>
      </c>
      <c r="H10" s="1"/>
      <c r="I10" s="2"/>
      <c r="K10" t="str">
        <v>Sivera</v>
      </c>
      <c r="L10" t="str">
        <v>POR</v>
      </c>
      <c r="M10" s="1">
        <v>45888</v>
      </c>
      <c r="N10" s="2">
        <v>15904401</v>
      </c>
      <c r="O10" s="2">
        <f t="shared" si="1"/>
        <v>0</v>
      </c>
      <c r="P10" s="2">
        <f t="shared" si="2"/>
        <v>15904401</v>
      </c>
    </row>
    <row r="11" spans="1:16" x14ac:dyDescent="0.25">
      <c r="A11" t="str">
        <v>DEL</v>
      </c>
      <c r="B11" t="str">
        <v>Abde</v>
      </c>
      <c r="C11" s="1">
        <v>45872</v>
      </c>
      <c r="D11" s="2">
        <v>0</v>
      </c>
      <c r="E11" t="str">
        <f t="shared" si="0"/>
        <v/>
      </c>
      <c r="H11" s="1"/>
      <c r="I11" s="2"/>
      <c r="K11" t="str">
        <v>Á. Núñez</v>
      </c>
      <c r="L11" t="str">
        <v>DEF</v>
      </c>
      <c r="M11" s="1">
        <v>45889</v>
      </c>
      <c r="N11" s="2">
        <v>1749728</v>
      </c>
      <c r="O11" s="2">
        <f t="shared" si="1"/>
        <v>0</v>
      </c>
      <c r="P11" s="2">
        <f t="shared" si="2"/>
        <v>1749728</v>
      </c>
    </row>
    <row r="12" spans="1:16" x14ac:dyDescent="0.25">
      <c r="A12" t="str">
        <v>DEL</v>
      </c>
      <c r="B12" t="str">
        <v>Gerard</v>
      </c>
      <c r="C12" s="1">
        <v>45872</v>
      </c>
      <c r="D12" s="2">
        <v>0</v>
      </c>
      <c r="E12" t="str">
        <f t="shared" si="0"/>
        <v/>
      </c>
      <c r="H12" s="1"/>
      <c r="I12" s="2"/>
      <c r="K12" t="str">
        <v>Balde</v>
      </c>
      <c r="L12" t="str">
        <v>DEF</v>
      </c>
      <c r="M12" s="1">
        <v>45893</v>
      </c>
      <c r="N12" s="2">
        <v>68490133</v>
      </c>
      <c r="O12" s="2">
        <f t="shared" si="1"/>
        <v>64987987</v>
      </c>
      <c r="P12" s="2">
        <f t="shared" si="2"/>
        <v>3502146</v>
      </c>
    </row>
    <row r="13" spans="1:16" x14ac:dyDescent="0.25">
      <c r="A13" t="str">
        <v>DEL</v>
      </c>
      <c r="B13" t="str">
        <v>Guruzeta</v>
      </c>
      <c r="C13" s="1">
        <v>45872</v>
      </c>
      <c r="D13" s="2">
        <v>0</v>
      </c>
      <c r="E13" t="str">
        <f t="shared" si="0"/>
        <v/>
      </c>
      <c r="H13" s="1"/>
      <c r="I13" s="2"/>
      <c r="K13" t="str">
        <v>Blind</v>
      </c>
      <c r="L13" t="str">
        <v>DEF</v>
      </c>
      <c r="M13" s="1">
        <v>45895</v>
      </c>
      <c r="N13" s="2">
        <v>9506639</v>
      </c>
      <c r="O13" s="2">
        <f t="shared" si="1"/>
        <v>0</v>
      </c>
      <c r="P13" s="2">
        <f t="shared" si="2"/>
        <v>9506639</v>
      </c>
    </row>
    <row r="14" spans="1:16" x14ac:dyDescent="0.25">
      <c r="A14" t="str">
        <v>MED</v>
      </c>
      <c r="B14" t="str">
        <v>Iván Martín</v>
      </c>
      <c r="C14" s="1">
        <v>45872</v>
      </c>
      <c r="D14" s="2">
        <v>0</v>
      </c>
      <c r="E14" t="str">
        <f t="shared" si="0"/>
        <v/>
      </c>
      <c r="H14" s="1"/>
      <c r="I14" s="2"/>
      <c r="K14" t="str">
        <v>Diakhaby</v>
      </c>
      <c r="L14" t="str">
        <v>DEF</v>
      </c>
      <c r="M14" s="1">
        <v>45895</v>
      </c>
      <c r="N14" s="2">
        <v>3463499</v>
      </c>
      <c r="O14" s="2">
        <f t="shared" si="1"/>
        <v>4127854</v>
      </c>
      <c r="P14" s="2">
        <f t="shared" si="2"/>
        <v>-664355</v>
      </c>
    </row>
    <row r="15" spans="1:16" x14ac:dyDescent="0.25">
      <c r="A15" t="str">
        <v>MED</v>
      </c>
      <c r="B15" t="str">
        <v>Juanlu</v>
      </c>
      <c r="C15" s="1">
        <v>45872</v>
      </c>
      <c r="D15" s="2">
        <v>0</v>
      </c>
      <c r="E15" t="str">
        <f t="shared" si="0"/>
        <v/>
      </c>
      <c r="H15" s="1"/>
      <c r="I15" s="2"/>
      <c r="K15" t="str">
        <v>Dani Rodríguez</v>
      </c>
      <c r="L15" t="str">
        <v>MED</v>
      </c>
      <c r="M15" s="1">
        <v>45896</v>
      </c>
      <c r="N15" s="2">
        <v>4585029</v>
      </c>
      <c r="O15" s="2">
        <f>IF(ISBLANK(N15),"",VLOOKUP(K15,B:D,3,FALSE))</f>
        <v>0</v>
      </c>
      <c r="P15" s="2">
        <f>IF(ISBLANK(N15),"",N15-O15)</f>
        <v>4585029</v>
      </c>
    </row>
    <row r="16" spans="1:16" x14ac:dyDescent="0.25">
      <c r="A16" t="str">
        <v>DEF</v>
      </c>
      <c r="B16" t="str">
        <v>Pedraza</v>
      </c>
      <c r="C16" s="1">
        <v>45872</v>
      </c>
      <c r="D16" s="2">
        <v>0</v>
      </c>
      <c r="E16" t="str">
        <f t="shared" si="0"/>
        <v/>
      </c>
      <c r="H16" s="1"/>
      <c r="I16" s="2"/>
      <c r="K16" t="str">
        <v>Guruzeta</v>
      </c>
      <c r="L16" t="str">
        <v>DEL</v>
      </c>
      <c r="M16" s="1">
        <v>45896</v>
      </c>
      <c r="N16" s="2">
        <v>8485556</v>
      </c>
      <c r="O16" s="2">
        <f t="shared" ref="O16:O48" si="3">IF(ISBLANK(N16),"",VLOOKUP(K16,B:D,3,FALSE))</f>
        <v>0</v>
      </c>
      <c r="P16" s="2">
        <f t="shared" ref="P16:P48" si="4">IF(ISBLANK(N16),"",N16-O16)</f>
        <v>8485556</v>
      </c>
    </row>
    <row r="17" spans="1:16" x14ac:dyDescent="0.25">
      <c r="A17" t="str">
        <v>DEF</v>
      </c>
      <c r="B17" t="str">
        <v>Raíllo</v>
      </c>
      <c r="C17" s="1">
        <v>45872</v>
      </c>
      <c r="D17" s="2">
        <v>0</v>
      </c>
      <c r="E17" t="str">
        <f t="shared" si="0"/>
        <v/>
      </c>
      <c r="H17" s="1"/>
      <c r="I17" s="2"/>
      <c r="K17" t="str">
        <v>Darder</v>
      </c>
      <c r="L17" t="str">
        <v>MED</v>
      </c>
      <c r="M17" s="1">
        <v>45897</v>
      </c>
      <c r="N17" s="2">
        <v>31560995</v>
      </c>
      <c r="O17" s="2">
        <f t="shared" si="3"/>
        <v>0</v>
      </c>
      <c r="P17" s="2">
        <f t="shared" si="4"/>
        <v>31560995</v>
      </c>
    </row>
    <row r="18" spans="1:16" x14ac:dyDescent="0.25">
      <c r="A18" t="str">
        <v>POR</v>
      </c>
      <c r="B18" t="str">
        <v>Sivera</v>
      </c>
      <c r="C18" s="1">
        <v>45872</v>
      </c>
      <c r="D18" s="2">
        <v>0</v>
      </c>
      <c r="E18" t="str">
        <f t="shared" si="0"/>
        <v/>
      </c>
      <c r="H18" s="1"/>
      <c r="I18" s="2"/>
      <c r="K18" t="str">
        <v>Navarro</v>
      </c>
      <c r="L18" t="str">
        <v>MED</v>
      </c>
      <c r="M18" s="1">
        <v>45897</v>
      </c>
      <c r="N18" s="2">
        <v>4814940</v>
      </c>
      <c r="O18" s="2">
        <f t="shared" si="3"/>
        <v>4723653</v>
      </c>
      <c r="P18" s="2">
        <f t="shared" si="4"/>
        <v>91287</v>
      </c>
    </row>
    <row r="19" spans="1:16" x14ac:dyDescent="0.25">
      <c r="A19" t="str">
        <v>MED</v>
      </c>
      <c r="B19" t="str">
        <v>Juanlu</v>
      </c>
      <c r="C19" s="1">
        <v>45873</v>
      </c>
      <c r="D19" s="2">
        <v>1301279</v>
      </c>
      <c r="E19" t="str">
        <f t="shared" si="0"/>
        <v/>
      </c>
      <c r="H19" s="1"/>
      <c r="I19" s="2"/>
      <c r="K19" t="str">
        <v>Affengruber</v>
      </c>
      <c r="L19" t="str">
        <v>DEF</v>
      </c>
      <c r="M19" s="1">
        <v>45898</v>
      </c>
      <c r="N19" s="2">
        <v>6879879</v>
      </c>
      <c r="O19" s="2">
        <f t="shared" si="3"/>
        <v>6879879</v>
      </c>
      <c r="P19" s="2">
        <f t="shared" si="4"/>
        <v>0</v>
      </c>
    </row>
    <row r="20" spans="1:16" x14ac:dyDescent="0.25">
      <c r="A20" t="str">
        <v>MED</v>
      </c>
      <c r="B20" t="str">
        <v>P. Gueye</v>
      </c>
      <c r="C20" s="1">
        <v>45874</v>
      </c>
      <c r="D20" s="2">
        <v>8878878</v>
      </c>
      <c r="E20" t="str">
        <f t="shared" si="0"/>
        <v/>
      </c>
      <c r="H20" s="1"/>
      <c r="I20" s="2"/>
      <c r="K20" t="str">
        <v>Iván Martín</v>
      </c>
      <c r="L20" t="str">
        <v>MED</v>
      </c>
      <c r="M20" s="1">
        <v>45901</v>
      </c>
      <c r="N20" s="2">
        <v>5954882</v>
      </c>
      <c r="O20" s="2">
        <f t="shared" si="3"/>
        <v>0</v>
      </c>
      <c r="P20" s="2">
        <f t="shared" si="4"/>
        <v>5954882</v>
      </c>
    </row>
    <row r="21" spans="1:16" x14ac:dyDescent="0.25">
      <c r="A21" t="str">
        <v>DEF</v>
      </c>
      <c r="B21" t="str">
        <v>Luiz Felipe</v>
      </c>
      <c r="C21" s="1">
        <v>45877</v>
      </c>
      <c r="D21" s="2">
        <v>10878878</v>
      </c>
      <c r="E21" t="str">
        <f t="shared" si="0"/>
        <v/>
      </c>
      <c r="H21" s="1"/>
      <c r="I21" s="2"/>
      <c r="K21" t="str">
        <v>Oroz</v>
      </c>
      <c r="L21" t="str">
        <v>MED</v>
      </c>
      <c r="M21" s="1">
        <v>45902</v>
      </c>
      <c r="N21" s="2">
        <v>16138404</v>
      </c>
      <c r="O21" s="2">
        <f t="shared" si="3"/>
        <v>0</v>
      </c>
      <c r="P21" s="2">
        <f t="shared" si="4"/>
        <v>16138404</v>
      </c>
    </row>
    <row r="22" spans="1:16" x14ac:dyDescent="0.25">
      <c r="A22" t="str">
        <v>MED</v>
      </c>
      <c r="B22" t="str">
        <v>Olmo</v>
      </c>
      <c r="C22" s="1">
        <v>45878</v>
      </c>
      <c r="D22" s="2">
        <v>53310169</v>
      </c>
      <c r="E22" t="str">
        <f t="shared" si="0"/>
        <v/>
      </c>
      <c r="H22" s="1"/>
      <c r="I22" s="2"/>
      <c r="K22" t="str">
        <v>Güler</v>
      </c>
      <c r="L22" t="str">
        <v>MED</v>
      </c>
      <c r="M22" s="1">
        <v>45909</v>
      </c>
      <c r="N22" s="2">
        <v>92986881</v>
      </c>
      <c r="O22" s="2">
        <f t="shared" si="3"/>
        <v>78717481</v>
      </c>
      <c r="P22" s="2">
        <f t="shared" si="4"/>
        <v>14269400</v>
      </c>
    </row>
    <row r="23" spans="1:16" x14ac:dyDescent="0.25">
      <c r="A23" t="str">
        <v>DEF</v>
      </c>
      <c r="B23" t="str">
        <v>Balde</v>
      </c>
      <c r="C23" s="1">
        <v>45881</v>
      </c>
      <c r="D23" s="2">
        <v>64987987</v>
      </c>
      <c r="E23" t="str">
        <f t="shared" si="0"/>
        <v/>
      </c>
      <c r="H23" s="1"/>
      <c r="I23" s="2"/>
      <c r="K23" t="str">
        <v>Moi Gómez</v>
      </c>
      <c r="L23" t="str">
        <v>MED</v>
      </c>
      <c r="M23" s="1">
        <v>45909</v>
      </c>
      <c r="N23" s="2">
        <v>5282841</v>
      </c>
      <c r="O23" s="2">
        <f t="shared" si="3"/>
        <v>7879787</v>
      </c>
      <c r="P23" s="2">
        <f t="shared" si="4"/>
        <v>-2596946</v>
      </c>
    </row>
    <row r="24" spans="1:16" x14ac:dyDescent="0.25">
      <c r="A24" t="str">
        <v>MED</v>
      </c>
      <c r="B24" t="str">
        <v>Navarro</v>
      </c>
      <c r="C24" s="1">
        <v>45882</v>
      </c>
      <c r="D24" s="2">
        <v>4723653</v>
      </c>
      <c r="E24" t="str">
        <f t="shared" si="0"/>
        <v/>
      </c>
      <c r="K24" t="str">
        <v>Eric García</v>
      </c>
      <c r="L24" t="str">
        <v>DEF</v>
      </c>
      <c r="M24" s="1">
        <v>45910</v>
      </c>
      <c r="N24" s="2">
        <v>18083316</v>
      </c>
      <c r="O24" s="2">
        <f t="shared" si="3"/>
        <v>16879878</v>
      </c>
      <c r="P24" s="2">
        <f t="shared" si="4"/>
        <v>1203438</v>
      </c>
    </row>
    <row r="25" spans="1:16" x14ac:dyDescent="0.25">
      <c r="A25" t="str">
        <v>POR</v>
      </c>
      <c r="B25" t="str">
        <v>Valles</v>
      </c>
      <c r="C25" s="1">
        <v>45882</v>
      </c>
      <c r="D25" s="2">
        <v>17987875</v>
      </c>
      <c r="E25" t="str">
        <f t="shared" si="0"/>
        <v/>
      </c>
      <c r="K25" t="str">
        <v>P. Gueye</v>
      </c>
      <c r="L25" t="str">
        <v>MED</v>
      </c>
      <c r="M25" s="1">
        <v>45910</v>
      </c>
      <c r="N25" s="2">
        <v>36878878</v>
      </c>
      <c r="O25" s="2">
        <f t="shared" si="3"/>
        <v>8878878</v>
      </c>
      <c r="P25" s="2">
        <f t="shared" si="4"/>
        <v>28000000</v>
      </c>
    </row>
    <row r="26" spans="1:16" x14ac:dyDescent="0.25">
      <c r="A26" t="str">
        <v>DEF</v>
      </c>
      <c r="B26" t="str">
        <v>Affengruber</v>
      </c>
      <c r="C26" s="1">
        <v>45883</v>
      </c>
      <c r="D26" s="2">
        <v>6879879</v>
      </c>
      <c r="E26" t="str">
        <f t="shared" si="0"/>
        <v/>
      </c>
      <c r="K26" t="str">
        <v>Iván Romero</v>
      </c>
      <c r="L26" t="str">
        <v>DEL</v>
      </c>
      <c r="M26" s="1">
        <v>45911</v>
      </c>
      <c r="N26" s="2">
        <v>5987878</v>
      </c>
      <c r="O26" s="2">
        <f t="shared" si="3"/>
        <v>5987878</v>
      </c>
      <c r="P26" s="2">
        <f t="shared" si="4"/>
        <v>0</v>
      </c>
    </row>
    <row r="27" spans="1:16" x14ac:dyDescent="0.25">
      <c r="A27" t="str">
        <v>DEF</v>
      </c>
      <c r="B27" t="str">
        <v>Diakhaby</v>
      </c>
      <c r="C27" s="1">
        <v>45885</v>
      </c>
      <c r="D27" s="2">
        <v>4127854</v>
      </c>
      <c r="E27" t="str">
        <f t="shared" si="0"/>
        <v/>
      </c>
      <c r="K27" t="str">
        <v>Tchouaméni</v>
      </c>
      <c r="L27" t="str">
        <v>MED</v>
      </c>
      <c r="M27" s="1">
        <v>45913</v>
      </c>
      <c r="N27" s="2">
        <v>61760477</v>
      </c>
      <c r="O27" s="2">
        <f t="shared" si="3"/>
        <v>56259306</v>
      </c>
      <c r="P27" s="2">
        <f t="shared" si="4"/>
        <v>5501171</v>
      </c>
    </row>
    <row r="28" spans="1:16" x14ac:dyDescent="0.25">
      <c r="A28" t="str">
        <v>POR</v>
      </c>
      <c r="B28" t="str">
        <v>Agirrezabala</v>
      </c>
      <c r="C28" s="1">
        <v>45889</v>
      </c>
      <c r="D28" s="2">
        <v>15878987</v>
      </c>
      <c r="E28" t="str">
        <f t="shared" si="0"/>
        <v/>
      </c>
      <c r="K28" t="str">
        <v>Luiz Felipe</v>
      </c>
      <c r="L28" t="str">
        <v>DEF</v>
      </c>
      <c r="M28" s="1">
        <v>45914</v>
      </c>
      <c r="N28" s="2">
        <v>5028925</v>
      </c>
      <c r="O28" s="2">
        <f t="shared" si="3"/>
        <v>10878878</v>
      </c>
      <c r="P28" s="2">
        <f t="shared" si="4"/>
        <v>-5849953</v>
      </c>
    </row>
    <row r="29" spans="1:16" x14ac:dyDescent="0.25">
      <c r="A29" t="str">
        <v>DEL</v>
      </c>
      <c r="B29" t="str">
        <v>Iván Romero</v>
      </c>
      <c r="C29" s="1">
        <v>45894</v>
      </c>
      <c r="D29" s="2">
        <v>5987878</v>
      </c>
      <c r="E29" t="str">
        <f t="shared" si="0"/>
        <v/>
      </c>
      <c r="K29" t="str">
        <v>Raíllo</v>
      </c>
      <c r="L29" t="str">
        <v>DEF</v>
      </c>
      <c r="M29" s="1">
        <v>45916</v>
      </c>
      <c r="N29" s="2">
        <v>14859139</v>
      </c>
      <c r="O29" s="2">
        <f t="shared" si="3"/>
        <v>0</v>
      </c>
      <c r="P29" s="2">
        <f t="shared" si="4"/>
        <v>14859139</v>
      </c>
    </row>
    <row r="30" spans="1:16" x14ac:dyDescent="0.25">
      <c r="A30" t="str">
        <v>MED</v>
      </c>
      <c r="B30" t="str">
        <v>Güler</v>
      </c>
      <c r="C30" s="1">
        <v>45895</v>
      </c>
      <c r="D30" s="2">
        <v>78717481</v>
      </c>
      <c r="E30" t="str">
        <f t="shared" si="0"/>
        <v/>
      </c>
      <c r="K30" t="str">
        <v>Ramazani</v>
      </c>
      <c r="L30" t="str">
        <v>DEL</v>
      </c>
      <c r="M30" s="1">
        <v>45917</v>
      </c>
      <c r="N30" s="2">
        <v>6757788</v>
      </c>
      <c r="O30" s="2">
        <f t="shared" si="3"/>
        <v>12878752</v>
      </c>
      <c r="P30" s="2">
        <f t="shared" si="4"/>
        <v>-6120964</v>
      </c>
    </row>
    <row r="31" spans="1:16" x14ac:dyDescent="0.25">
      <c r="A31" t="str">
        <v>DEF</v>
      </c>
      <c r="B31" t="str">
        <v>Kumbulla</v>
      </c>
      <c r="C31" s="1">
        <v>45895</v>
      </c>
      <c r="D31" s="2">
        <v>2359479</v>
      </c>
      <c r="E31" t="str">
        <f t="shared" si="0"/>
        <v/>
      </c>
      <c r="K31" t="str">
        <v>Víctor Muñoz</v>
      </c>
      <c r="L31" t="str">
        <v>DEL</v>
      </c>
      <c r="M31" s="1">
        <v>45918</v>
      </c>
      <c r="N31" s="2">
        <v>3987785</v>
      </c>
      <c r="O31" s="2">
        <f t="shared" si="3"/>
        <v>3987785</v>
      </c>
      <c r="P31" s="2">
        <f t="shared" si="4"/>
        <v>0</v>
      </c>
    </row>
    <row r="32" spans="1:16" x14ac:dyDescent="0.25">
      <c r="A32" t="str">
        <v>MED</v>
      </c>
      <c r="B32" t="str">
        <v>Moi Gómez</v>
      </c>
      <c r="C32" s="1">
        <v>45895</v>
      </c>
      <c r="D32" s="2">
        <v>7879787</v>
      </c>
      <c r="E32" t="str">
        <f t="shared" si="0"/>
        <v/>
      </c>
      <c r="K32" t="str">
        <v>Agirrezabala</v>
      </c>
      <c r="L32" t="str">
        <v>POR</v>
      </c>
      <c r="M32" s="1">
        <v>45921</v>
      </c>
      <c r="N32" s="2">
        <v>22878987</v>
      </c>
      <c r="O32" s="2">
        <f t="shared" si="3"/>
        <v>15878987</v>
      </c>
      <c r="P32" s="2">
        <f t="shared" si="4"/>
        <v>7000000</v>
      </c>
    </row>
    <row r="33" spans="1:16" x14ac:dyDescent="0.25">
      <c r="A33" t="str">
        <v>MED</v>
      </c>
      <c r="B33" t="str">
        <v>Edu Expósito</v>
      </c>
      <c r="C33" s="1">
        <v>45896</v>
      </c>
      <c r="D33" s="2">
        <v>12875987</v>
      </c>
      <c r="E33" t="str">
        <f t="shared" si="0"/>
        <v/>
      </c>
      <c r="K33" t="str">
        <v>Antony</v>
      </c>
      <c r="L33" t="str">
        <v>DEL</v>
      </c>
      <c r="M33" s="1">
        <v>45921</v>
      </c>
      <c r="N33" s="2">
        <v>114131423</v>
      </c>
      <c r="O33" s="2">
        <f t="shared" si="3"/>
        <v>105511535</v>
      </c>
      <c r="P33" s="2">
        <f t="shared" si="4"/>
        <v>8619888</v>
      </c>
    </row>
    <row r="34" spans="1:16" x14ac:dyDescent="0.25">
      <c r="A34" t="str">
        <v>DEF</v>
      </c>
      <c r="B34" t="str">
        <v>Eric García</v>
      </c>
      <c r="C34" s="1">
        <v>45896</v>
      </c>
      <c r="D34" s="2">
        <v>16879878</v>
      </c>
      <c r="E34" t="str">
        <f t="shared" si="0"/>
        <v/>
      </c>
      <c r="K34" t="str">
        <v>Romero</v>
      </c>
      <c r="L34" t="str">
        <v>DEL</v>
      </c>
      <c r="M34" s="1">
        <v>45922</v>
      </c>
      <c r="N34" s="2">
        <v>13987987</v>
      </c>
      <c r="O34" s="2">
        <f t="shared" si="3"/>
        <v>7987987</v>
      </c>
      <c r="P34" s="2">
        <f t="shared" si="4"/>
        <v>6000000</v>
      </c>
    </row>
    <row r="35" spans="1:16" x14ac:dyDescent="0.25">
      <c r="A35" t="str">
        <v>DEL</v>
      </c>
      <c r="B35" t="str">
        <v>Víctor Muñoz</v>
      </c>
      <c r="C35" s="1">
        <v>45896</v>
      </c>
      <c r="D35" s="2">
        <v>3987785</v>
      </c>
      <c r="E35" t="str">
        <f t="shared" si="0"/>
        <v/>
      </c>
      <c r="K35" t="str">
        <v>Kumbulla</v>
      </c>
      <c r="L35" t="str">
        <v>DEF</v>
      </c>
      <c r="M35" s="1">
        <v>45923</v>
      </c>
      <c r="N35" s="2">
        <v>1642900</v>
      </c>
      <c r="O35" s="2">
        <f t="shared" si="3"/>
        <v>2359479</v>
      </c>
      <c r="P35" s="2">
        <f t="shared" si="4"/>
        <v>-716579</v>
      </c>
    </row>
    <row r="36" spans="1:16" x14ac:dyDescent="0.25">
      <c r="A36" t="str">
        <v>MED</v>
      </c>
      <c r="B36" t="str">
        <v>Dendoncker</v>
      </c>
      <c r="C36" s="1">
        <v>45901</v>
      </c>
      <c r="D36" s="2">
        <v>8987987</v>
      </c>
      <c r="E36" t="str">
        <f t="shared" si="0"/>
        <v/>
      </c>
      <c r="K36" t="str">
        <v>Etta Eyong</v>
      </c>
      <c r="L36" t="str">
        <v>DEL</v>
      </c>
      <c r="M36" s="1">
        <v>45928</v>
      </c>
      <c r="N36" s="2">
        <v>65117539</v>
      </c>
      <c r="O36" s="2">
        <f t="shared" si="3"/>
        <v>45041480</v>
      </c>
      <c r="P36" s="2">
        <f t="shared" si="4"/>
        <v>20076059</v>
      </c>
    </row>
    <row r="37" spans="1:16" x14ac:dyDescent="0.25">
      <c r="A37" t="str">
        <v>DEL</v>
      </c>
      <c r="B37" t="str">
        <v>Ramazani</v>
      </c>
      <c r="C37" s="1">
        <v>45902</v>
      </c>
      <c r="D37" s="2">
        <v>12878752</v>
      </c>
      <c r="E37" t="str">
        <f t="shared" si="0"/>
        <v/>
      </c>
      <c r="K37" t="str">
        <v>Huijsen</v>
      </c>
      <c r="L37" t="str">
        <v>DEF</v>
      </c>
      <c r="M37" s="1">
        <v>45928</v>
      </c>
      <c r="N37" s="2">
        <v>93542329</v>
      </c>
      <c r="O37" s="2">
        <f t="shared" si="3"/>
        <v>86545402</v>
      </c>
      <c r="P37" s="2">
        <f t="shared" si="4"/>
        <v>6996927</v>
      </c>
    </row>
    <row r="38" spans="1:16" x14ac:dyDescent="0.25">
      <c r="A38" t="str">
        <v>DEL</v>
      </c>
      <c r="B38" t="str">
        <v>Romero</v>
      </c>
      <c r="C38" s="1">
        <v>45905</v>
      </c>
      <c r="D38" s="2">
        <v>7987987</v>
      </c>
      <c r="E38" t="str">
        <f t="shared" si="0"/>
        <v/>
      </c>
      <c r="K38" t="str">
        <v>Edu Expósito</v>
      </c>
      <c r="L38" t="str">
        <v>MED</v>
      </c>
      <c r="M38" s="1">
        <v>45929</v>
      </c>
      <c r="N38" s="2">
        <v>22875987</v>
      </c>
      <c r="O38" s="2">
        <f t="shared" si="3"/>
        <v>12875987</v>
      </c>
      <c r="P38" s="2">
        <f t="shared" si="4"/>
        <v>10000000</v>
      </c>
    </row>
    <row r="39" spans="1:16" x14ac:dyDescent="0.25">
      <c r="A39" t="str">
        <v>DEF</v>
      </c>
      <c r="B39" t="str">
        <v>Suazo</v>
      </c>
      <c r="C39" s="1">
        <v>45905</v>
      </c>
      <c r="D39" s="2">
        <v>8975124</v>
      </c>
      <c r="E39" t="str">
        <f t="shared" si="0"/>
        <v/>
      </c>
      <c r="K39" t="str">
        <v>Martín</v>
      </c>
      <c r="L39" t="str">
        <v>DEF</v>
      </c>
      <c r="M39" s="1">
        <v>45929</v>
      </c>
      <c r="N39" s="2">
        <v>16875421</v>
      </c>
      <c r="O39" s="2">
        <f t="shared" si="3"/>
        <v>16875421</v>
      </c>
      <c r="P39" s="2">
        <f t="shared" si="4"/>
        <v>0</v>
      </c>
    </row>
    <row r="40" spans="1:16" x14ac:dyDescent="0.25">
      <c r="A40" t="str">
        <v>MED</v>
      </c>
      <c r="B40" t="str">
        <v>Bernal</v>
      </c>
      <c r="C40" s="1">
        <v>45908</v>
      </c>
      <c r="D40" s="2">
        <v>2313366</v>
      </c>
      <c r="K40" t="str">
        <v>Suazo</v>
      </c>
      <c r="L40" t="str">
        <v>DEF</v>
      </c>
      <c r="M40" s="1">
        <v>45929</v>
      </c>
      <c r="N40" s="2">
        <v>8975124</v>
      </c>
      <c r="O40" s="2">
        <f t="shared" si="3"/>
        <v>8975124</v>
      </c>
      <c r="P40" s="2">
        <f t="shared" si="4"/>
        <v>0</v>
      </c>
    </row>
    <row r="41" spans="1:16" x14ac:dyDescent="0.25">
      <c r="A41" t="str">
        <v>DEF</v>
      </c>
      <c r="B41" t="str">
        <v>Ratiu</v>
      </c>
      <c r="C41" s="1">
        <v>45910</v>
      </c>
      <c r="D41" s="2">
        <v>21741587</v>
      </c>
      <c r="K41" t="str">
        <v>Boyé</v>
      </c>
      <c r="L41" t="str">
        <v>DEL</v>
      </c>
      <c r="M41" s="1">
        <v>45931</v>
      </c>
      <c r="N41" s="2">
        <v>2506689</v>
      </c>
      <c r="O41" s="2">
        <f t="shared" si="3"/>
        <v>2506689</v>
      </c>
      <c r="P41" s="2">
        <f t="shared" si="4"/>
        <v>0</v>
      </c>
    </row>
    <row r="42" spans="1:16" x14ac:dyDescent="0.25">
      <c r="A42" t="str">
        <v>DEF</v>
      </c>
      <c r="B42" t="str">
        <v>Martín</v>
      </c>
      <c r="C42" s="1">
        <v>45911</v>
      </c>
      <c r="D42" s="2">
        <v>16875421</v>
      </c>
      <c r="K42" t="str">
        <v>Dendoncker</v>
      </c>
      <c r="L42" t="str">
        <v>MED</v>
      </c>
      <c r="M42" s="1">
        <v>45931</v>
      </c>
      <c r="N42" s="2">
        <v>8987987</v>
      </c>
      <c r="O42" s="2">
        <f t="shared" si="3"/>
        <v>8987987</v>
      </c>
      <c r="P42" s="2">
        <f t="shared" si="4"/>
        <v>0</v>
      </c>
    </row>
    <row r="43" spans="1:16" x14ac:dyDescent="0.25">
      <c r="A43" t="str">
        <v>DEL</v>
      </c>
      <c r="B43" t="str">
        <v>Boyé</v>
      </c>
      <c r="C43" s="1">
        <v>45911</v>
      </c>
      <c r="D43" s="2">
        <v>2506689</v>
      </c>
      <c r="K43" t="str">
        <v>Bernal</v>
      </c>
      <c r="L43" t="str">
        <v>MED</v>
      </c>
      <c r="M43" s="1">
        <v>45931</v>
      </c>
      <c r="N43" s="2">
        <v>2324209</v>
      </c>
      <c r="O43" s="2">
        <f t="shared" si="3"/>
        <v>2313366</v>
      </c>
      <c r="P43" s="2">
        <f t="shared" si="4"/>
        <v>10843</v>
      </c>
    </row>
    <row r="44" spans="1:16" x14ac:dyDescent="0.25">
      <c r="A44" t="str">
        <v>MED</v>
      </c>
      <c r="B44" t="str">
        <v>Tchouaméni</v>
      </c>
      <c r="C44" s="1">
        <v>45911</v>
      </c>
      <c r="D44" s="2">
        <v>56259306</v>
      </c>
      <c r="K44" t="str">
        <v>Valles</v>
      </c>
      <c r="L44" t="str">
        <v>POR</v>
      </c>
      <c r="M44" s="1">
        <v>45937</v>
      </c>
      <c r="N44" s="2">
        <v>8157372</v>
      </c>
      <c r="O44" s="2">
        <f t="shared" si="3"/>
        <v>17987875</v>
      </c>
      <c r="P44" s="2">
        <f t="shared" si="4"/>
        <v>-9830503</v>
      </c>
    </row>
    <row r="45" spans="1:16" x14ac:dyDescent="0.25">
      <c r="A45" t="str">
        <v>DEL</v>
      </c>
      <c r="B45" t="str">
        <v>Etta Eyong</v>
      </c>
      <c r="C45" s="1">
        <v>45914</v>
      </c>
      <c r="D45" s="2">
        <v>45041480</v>
      </c>
      <c r="K45" t="str">
        <v>Vargas</v>
      </c>
      <c r="L45" t="str">
        <v>DEL</v>
      </c>
      <c r="M45" s="1">
        <v>45937</v>
      </c>
      <c r="N45" s="2">
        <v>34085836</v>
      </c>
      <c r="O45" s="2">
        <f t="shared" si="3"/>
        <v>30085836</v>
      </c>
      <c r="P45" s="2">
        <f t="shared" si="4"/>
        <v>4000000</v>
      </c>
    </row>
    <row r="46" spans="1:16" x14ac:dyDescent="0.25">
      <c r="A46" t="str">
        <v>DEL</v>
      </c>
      <c r="B46" t="str">
        <v>Antony</v>
      </c>
      <c r="C46" s="1">
        <v>45915</v>
      </c>
      <c r="D46" s="2">
        <v>105511535</v>
      </c>
      <c r="K46" t="str">
        <v>Pere Milla</v>
      </c>
      <c r="L46" t="str">
        <v>DEL</v>
      </c>
      <c r="M46" s="1">
        <v>45938</v>
      </c>
      <c r="N46" s="2">
        <v>10928095</v>
      </c>
      <c r="O46" s="2">
        <f t="shared" si="3"/>
        <v>10022080</v>
      </c>
      <c r="P46" s="2">
        <f t="shared" si="4"/>
        <v>906015</v>
      </c>
    </row>
    <row r="47" spans="1:16" x14ac:dyDescent="0.25">
      <c r="A47" t="str">
        <v>DEF</v>
      </c>
      <c r="B47" t="str">
        <v>Javi Rodríguez</v>
      </c>
      <c r="C47" s="1">
        <v>45918</v>
      </c>
      <c r="D47" s="2">
        <v>1000000</v>
      </c>
      <c r="K47" t="str">
        <v>Javi Rodríguez</v>
      </c>
      <c r="L47" t="str">
        <v>DEF</v>
      </c>
      <c r="M47" s="1">
        <v>45938</v>
      </c>
      <c r="N47" s="2">
        <v>1000000</v>
      </c>
      <c r="O47" s="2">
        <f t="shared" si="3"/>
        <v>1000000</v>
      </c>
      <c r="P47" s="2">
        <f t="shared" si="4"/>
        <v>0</v>
      </c>
    </row>
    <row r="48" spans="1:16" x14ac:dyDescent="0.25">
      <c r="A48" t="str">
        <v>MED</v>
      </c>
      <c r="B48" t="str">
        <v>Denis Suárez</v>
      </c>
      <c r="C48" s="1">
        <v>45919</v>
      </c>
      <c r="D48" s="2">
        <v>6958742</v>
      </c>
      <c r="K48" t="str">
        <v>Denis Suárez</v>
      </c>
      <c r="L48" t="str">
        <v>MED</v>
      </c>
      <c r="M48" s="1">
        <v>45942</v>
      </c>
      <c r="N48" s="2">
        <v>705614</v>
      </c>
      <c r="O48" s="2">
        <f t="shared" si="3"/>
        <v>6958742</v>
      </c>
      <c r="P48" s="2">
        <f t="shared" si="4"/>
        <v>-6253128</v>
      </c>
    </row>
    <row r="49" spans="1:14" x14ac:dyDescent="0.25">
      <c r="A49" t="str">
        <v>MED</v>
      </c>
      <c r="B49" t="str">
        <v>Moncayola</v>
      </c>
      <c r="C49" s="1">
        <v>45922</v>
      </c>
      <c r="D49" s="2">
        <v>12007810</v>
      </c>
      <c r="K49" t="str">
        <v>Abde</v>
      </c>
      <c r="L49" t="str">
        <v>DEL</v>
      </c>
      <c r="M49" s="1">
        <v>45945</v>
      </c>
      <c r="N49" s="2">
        <v>32239613</v>
      </c>
    </row>
    <row r="50" spans="1:14" x14ac:dyDescent="0.25">
      <c r="A50" t="str">
        <v>DEL</v>
      </c>
      <c r="B50" t="str">
        <v>Pere Milla</v>
      </c>
      <c r="C50" s="1">
        <v>45923</v>
      </c>
      <c r="D50" s="2">
        <v>10022080</v>
      </c>
      <c r="K50" t="str">
        <v>Areso</v>
      </c>
      <c r="L50" t="str">
        <v>DEF</v>
      </c>
      <c r="M50" s="1">
        <v>45945</v>
      </c>
      <c r="N50" s="2">
        <v>15500000</v>
      </c>
    </row>
    <row r="51" spans="1:14" x14ac:dyDescent="0.25">
      <c r="A51" t="str">
        <v>POR</v>
      </c>
      <c r="B51" t="str">
        <v>Aarón</v>
      </c>
      <c r="C51" s="1">
        <v>45924</v>
      </c>
      <c r="D51" s="2">
        <v>22874548</v>
      </c>
      <c r="K51" t="str">
        <v>Ratiu</v>
      </c>
      <c r="L51" t="str">
        <v>DEF</v>
      </c>
      <c r="M51" s="1">
        <v>45946</v>
      </c>
      <c r="N51" s="2">
        <v>21741587</v>
      </c>
    </row>
    <row r="52" spans="1:14" x14ac:dyDescent="0.25">
      <c r="A52" t="str">
        <v>DEF</v>
      </c>
      <c r="B52" t="str">
        <v>Huijsen</v>
      </c>
      <c r="C52" s="1">
        <v>45924</v>
      </c>
      <c r="D52" s="2">
        <v>86545402</v>
      </c>
      <c r="K52" t="str">
        <v>Aarón</v>
      </c>
      <c r="L52" t="str">
        <v>POR</v>
      </c>
      <c r="M52" s="1">
        <v>45952</v>
      </c>
      <c r="N52" s="2">
        <v>34874548</v>
      </c>
    </row>
    <row r="53" spans="1:14" x14ac:dyDescent="0.25">
      <c r="A53" t="str">
        <v>DEL</v>
      </c>
      <c r="B53" t="str">
        <v>Yamal</v>
      </c>
      <c r="C53" s="1">
        <v>45928</v>
      </c>
      <c r="D53" s="2">
        <v>156888888</v>
      </c>
      <c r="K53" t="str">
        <v>Samú</v>
      </c>
      <c r="L53" t="str">
        <v>MED</v>
      </c>
      <c r="M53" s="1">
        <v>45952</v>
      </c>
      <c r="N53" s="2">
        <v>7874521</v>
      </c>
    </row>
    <row r="54" spans="1:14" x14ac:dyDescent="0.25">
      <c r="A54" t="str">
        <v>MED</v>
      </c>
      <c r="B54" t="str">
        <v>Valera</v>
      </c>
      <c r="C54" s="1">
        <v>45929</v>
      </c>
      <c r="D54" s="2">
        <v>12098300</v>
      </c>
      <c r="K54" t="str">
        <v>Unai López</v>
      </c>
      <c r="L54" t="str">
        <v>MED</v>
      </c>
      <c r="M54" s="1">
        <v>45952</v>
      </c>
      <c r="N54" s="2">
        <v>8785214</v>
      </c>
    </row>
    <row r="55" spans="1:14" x14ac:dyDescent="0.25">
      <c r="A55" t="str">
        <v>DEF</v>
      </c>
      <c r="B55" t="str">
        <v>Areso</v>
      </c>
      <c r="C55" s="1">
        <v>45930</v>
      </c>
      <c r="D55" s="2">
        <v>15500000</v>
      </c>
      <c r="K55" t="str">
        <v>Riedel</v>
      </c>
      <c r="L55" t="str">
        <v>DEF</v>
      </c>
      <c r="M55" s="1">
        <v>45952</v>
      </c>
      <c r="N55" s="2">
        <v>18745874</v>
      </c>
    </row>
    <row r="56" spans="1:14" x14ac:dyDescent="0.25">
      <c r="A56" t="str">
        <v>DEF</v>
      </c>
      <c r="B56" t="str">
        <v>Toljan</v>
      </c>
      <c r="C56" s="1">
        <v>45930</v>
      </c>
      <c r="D56" s="2">
        <v>14047148</v>
      </c>
      <c r="K56" t="str">
        <v>Danjuma</v>
      </c>
      <c r="L56" t="str">
        <v>DEL</v>
      </c>
      <c r="M56" s="1">
        <v>45956</v>
      </c>
      <c r="N56" s="2">
        <v>23776645</v>
      </c>
    </row>
    <row r="57" spans="1:14" x14ac:dyDescent="0.25">
      <c r="A57" t="str">
        <v>DEL</v>
      </c>
      <c r="B57" t="str">
        <v>Vargas</v>
      </c>
      <c r="C57" s="1">
        <v>45923</v>
      </c>
      <c r="D57" s="2">
        <v>30085836</v>
      </c>
      <c r="K57" t="str">
        <v>Moncayola</v>
      </c>
      <c r="L57" t="str">
        <v>MED</v>
      </c>
      <c r="M57" s="1">
        <v>45959</v>
      </c>
      <c r="N57" s="2">
        <v>14007810</v>
      </c>
    </row>
    <row r="58" spans="1:14" x14ac:dyDescent="0.25">
      <c r="A58" t="str">
        <v>MED</v>
      </c>
      <c r="B58" t="str">
        <v>Samú</v>
      </c>
      <c r="C58" s="1">
        <v>45931</v>
      </c>
      <c r="D58" s="2">
        <v>3874521</v>
      </c>
      <c r="K58" t="str">
        <v>Rubén G.</v>
      </c>
      <c r="L58" t="str">
        <v>MED</v>
      </c>
      <c r="M58" s="1">
        <v>45960</v>
      </c>
      <c r="N58" s="2">
        <v>5875421</v>
      </c>
    </row>
    <row r="59" spans="1:14" x14ac:dyDescent="0.25">
      <c r="A59" t="str">
        <v>MED</v>
      </c>
      <c r="B59" t="str">
        <v>Unai López</v>
      </c>
      <c r="C59" s="1">
        <v>45936</v>
      </c>
      <c r="D59" s="2">
        <v>4785214</v>
      </c>
      <c r="K59" t="str">
        <v>Cucho</v>
      </c>
      <c r="L59" t="str">
        <v>DEL</v>
      </c>
      <c r="M59" s="1">
        <v>45964</v>
      </c>
      <c r="N59" s="2">
        <v>49503076</v>
      </c>
    </row>
    <row r="60" spans="1:14" x14ac:dyDescent="0.25">
      <c r="A60" t="str">
        <v>DEF</v>
      </c>
      <c r="B60" t="str">
        <v>Riedel</v>
      </c>
      <c r="C60" s="1">
        <v>45938</v>
      </c>
      <c r="D60" s="2">
        <v>8745874</v>
      </c>
      <c r="K60" t="str">
        <v>Leo Román</v>
      </c>
      <c r="L60" t="str">
        <v>POR</v>
      </c>
      <c r="M60" s="1">
        <v>45966</v>
      </c>
      <c r="N60" s="2">
        <v>6927389</v>
      </c>
    </row>
    <row r="61" spans="1:14" x14ac:dyDescent="0.25">
      <c r="A61" t="str">
        <v>DEF</v>
      </c>
      <c r="B61" t="str">
        <v>Carmona</v>
      </c>
      <c r="C61" s="1">
        <v>45940</v>
      </c>
      <c r="D61" s="2">
        <v>10987542</v>
      </c>
      <c r="K61" t="str">
        <v>Navarro</v>
      </c>
      <c r="L61" t="str">
        <v>MED</v>
      </c>
      <c r="M61" s="1">
        <v>45967</v>
      </c>
      <c r="N61" s="2">
        <v>4800000</v>
      </c>
    </row>
    <row r="62" spans="1:14" x14ac:dyDescent="0.25">
      <c r="A62" t="str">
        <v>POR</v>
      </c>
      <c r="B62" t="str">
        <v>Salvi Esquivel</v>
      </c>
      <c r="C62" s="1">
        <v>45942</v>
      </c>
      <c r="D62" s="2">
        <v>410937</v>
      </c>
      <c r="K62" t="str">
        <v>Carmona</v>
      </c>
      <c r="L62" t="str">
        <v>DEF</v>
      </c>
      <c r="M62" s="1">
        <v>45967</v>
      </c>
      <c r="N62" s="2">
        <v>17952539</v>
      </c>
    </row>
    <row r="63" spans="1:14" x14ac:dyDescent="0.25">
      <c r="A63" t="str">
        <v>DEL</v>
      </c>
      <c r="B63" t="str">
        <v>Danjuma</v>
      </c>
      <c r="C63" s="1">
        <v>45943</v>
      </c>
      <c r="D63" s="2">
        <v>23115355</v>
      </c>
      <c r="K63" t="str">
        <v>Bretones</v>
      </c>
      <c r="L63" t="str">
        <v>DEF</v>
      </c>
      <c r="M63" s="1">
        <v>45971</v>
      </c>
      <c r="N63" s="2">
        <v>3373737</v>
      </c>
    </row>
    <row r="64" spans="1:14" x14ac:dyDescent="0.25">
      <c r="A64" t="str">
        <v>DEL</v>
      </c>
      <c r="B64" t="str">
        <v>André Silva</v>
      </c>
      <c r="C64" s="1">
        <v>45943</v>
      </c>
      <c r="D64" s="2">
        <v>10100101</v>
      </c>
      <c r="K64" t="str">
        <v>González</v>
      </c>
      <c r="L64" t="str">
        <v>MED</v>
      </c>
      <c r="M64" s="1">
        <v>45971</v>
      </c>
      <c r="N64" s="2">
        <v>23134833</v>
      </c>
    </row>
    <row r="65" spans="1:14" x14ac:dyDescent="0.25">
      <c r="A65" t="str">
        <v>DEL</v>
      </c>
      <c r="B65" t="str">
        <v>Cucho</v>
      </c>
      <c r="C65" s="1">
        <v>45945</v>
      </c>
      <c r="D65" s="2">
        <v>43491641</v>
      </c>
      <c r="K65" t="str">
        <v>André Silva</v>
      </c>
      <c r="L65" t="str">
        <v>DEL</v>
      </c>
      <c r="M65" s="1">
        <v>45971</v>
      </c>
      <c r="N65" s="2">
        <v>13120901</v>
      </c>
    </row>
    <row r="66" spans="1:14" x14ac:dyDescent="0.25">
      <c r="A66" t="str">
        <v>DEF</v>
      </c>
      <c r="B66" t="str">
        <v>Pacheco</v>
      </c>
      <c r="C66" s="1">
        <v>45946</v>
      </c>
      <c r="D66" s="2">
        <v>4875421</v>
      </c>
      <c r="K66" t="str">
        <v>Salvi Esquivel</v>
      </c>
      <c r="L66" t="str">
        <v>POR</v>
      </c>
      <c r="M66" s="1">
        <v>45971</v>
      </c>
      <c r="N66" s="2">
        <v>490812</v>
      </c>
    </row>
    <row r="67" spans="1:14" x14ac:dyDescent="0.25">
      <c r="A67" t="str">
        <v>MED</v>
      </c>
      <c r="B67" t="str">
        <v>Rubén G.</v>
      </c>
      <c r="C67" s="1">
        <v>45946</v>
      </c>
      <c r="D67" s="2">
        <v>5875421</v>
      </c>
      <c r="K67" t="str">
        <v>Almada</v>
      </c>
      <c r="L67" t="str">
        <v>MED</v>
      </c>
      <c r="M67" s="1">
        <v>45974</v>
      </c>
      <c r="N67" s="2">
        <v>19424783</v>
      </c>
    </row>
    <row r="68" spans="1:14" x14ac:dyDescent="0.25">
      <c r="A68" t="str">
        <v>DEF</v>
      </c>
      <c r="B68" t="str">
        <v>Bretones</v>
      </c>
      <c r="C68" s="1">
        <v>45951</v>
      </c>
      <c r="D68" s="2">
        <v>3373737</v>
      </c>
      <c r="K68" t="str">
        <v>Djené</v>
      </c>
      <c r="L68" t="str">
        <v>DEF</v>
      </c>
      <c r="M68" s="1">
        <v>45974</v>
      </c>
      <c r="N68" s="2">
        <v>8330786</v>
      </c>
    </row>
    <row r="69" spans="1:14" x14ac:dyDescent="0.25">
      <c r="A69" t="str">
        <v>MED</v>
      </c>
      <c r="B69" t="str">
        <v>Gudelj</v>
      </c>
      <c r="C69" s="1">
        <v>45951</v>
      </c>
      <c r="D69" s="2">
        <v>1796111</v>
      </c>
      <c r="K69" t="str">
        <v>Valera</v>
      </c>
      <c r="L69" t="str">
        <v>MED</v>
      </c>
      <c r="M69" s="1">
        <v>45974</v>
      </c>
      <c r="N69" s="2">
        <v>16570802</v>
      </c>
    </row>
    <row r="70" spans="1:14" x14ac:dyDescent="0.25">
      <c r="A70" t="str">
        <v>POR</v>
      </c>
      <c r="B70" t="str">
        <v>Radu</v>
      </c>
      <c r="C70" s="1">
        <v>45952</v>
      </c>
      <c r="D70" s="2">
        <v>12668085</v>
      </c>
    </row>
    <row r="71" spans="1:14" x14ac:dyDescent="0.25">
      <c r="A71" t="str">
        <v>DEF</v>
      </c>
      <c r="B71" t="str">
        <v>Tenaglia</v>
      </c>
      <c r="C71" s="1">
        <v>45952</v>
      </c>
      <c r="D71" s="2">
        <v>30480521</v>
      </c>
    </row>
    <row r="72" spans="1:14" x14ac:dyDescent="0.25">
      <c r="A72" t="str">
        <v>MED</v>
      </c>
      <c r="B72" t="str">
        <v>Navarro</v>
      </c>
      <c r="C72" s="1">
        <v>45953</v>
      </c>
      <c r="D72" s="2">
        <v>4800000</v>
      </c>
    </row>
    <row r="73" spans="1:14" x14ac:dyDescent="0.25">
      <c r="A73" t="str">
        <v>POR</v>
      </c>
      <c r="B73" t="str">
        <v>Leo Román</v>
      </c>
      <c r="C73" s="1">
        <v>45957</v>
      </c>
      <c r="D73" s="2">
        <v>10875852</v>
      </c>
    </row>
    <row r="74" spans="1:14" x14ac:dyDescent="0.25">
      <c r="A74" t="str">
        <v>DEF</v>
      </c>
      <c r="B74" t="str">
        <v>Djené</v>
      </c>
      <c r="C74" s="1">
        <v>45960</v>
      </c>
      <c r="D74" s="2">
        <v>13987542</v>
      </c>
    </row>
    <row r="75" spans="1:14" x14ac:dyDescent="0.25">
      <c r="A75" t="str">
        <v>MED</v>
      </c>
      <c r="B75" t="str">
        <v>C. Álvarez</v>
      </c>
      <c r="C75" s="1">
        <v>45960</v>
      </c>
      <c r="D75" s="2">
        <v>26980873</v>
      </c>
    </row>
    <row r="76" spans="1:14" x14ac:dyDescent="0.25">
      <c r="A76" t="str">
        <v>MED</v>
      </c>
      <c r="B76" t="str">
        <v>Oroz</v>
      </c>
      <c r="C76" s="1">
        <v>45964</v>
      </c>
      <c r="D76" s="2">
        <v>3797764</v>
      </c>
    </row>
    <row r="77" spans="1:14" x14ac:dyDescent="0.25">
      <c r="A77" t="str">
        <v>MED</v>
      </c>
      <c r="B77" t="str">
        <v>Almada</v>
      </c>
      <c r="C77" s="1">
        <v>45965</v>
      </c>
      <c r="D77" s="2">
        <v>20000000</v>
      </c>
    </row>
    <row r="78" spans="1:14" x14ac:dyDescent="0.25">
      <c r="A78" t="str">
        <v>MED</v>
      </c>
      <c r="B78" t="str">
        <v>Arriaga</v>
      </c>
      <c r="C78" s="1">
        <v>45967</v>
      </c>
      <c r="D78" s="2">
        <v>6875412</v>
      </c>
    </row>
    <row r="79" spans="1:14" x14ac:dyDescent="0.25">
      <c r="A79" t="str">
        <v>MED</v>
      </c>
      <c r="B79" t="str">
        <v>Moi Gómez</v>
      </c>
      <c r="C79" s="1">
        <v>45968</v>
      </c>
      <c r="D79" s="2">
        <v>6875421</v>
      </c>
    </row>
    <row r="80" spans="1:14" x14ac:dyDescent="0.25">
      <c r="A80" t="str">
        <v>MED</v>
      </c>
      <c r="B80" t="str">
        <v>González</v>
      </c>
      <c r="C80" s="1">
        <v>45968</v>
      </c>
      <c r="D80" s="2">
        <v>26754123</v>
      </c>
    </row>
    <row r="81" spans="1:4" x14ac:dyDescent="0.25">
      <c r="A81" t="str">
        <v>POR</v>
      </c>
      <c r="B81" t="str">
        <v>Soria</v>
      </c>
      <c r="C81" s="1">
        <v>45969</v>
      </c>
      <c r="D81" s="2">
        <v>20874125</v>
      </c>
    </row>
    <row r="82" spans="1:4" x14ac:dyDescent="0.25">
      <c r="A82" t="str">
        <v>DEL</v>
      </c>
      <c r="B82" t="str">
        <v>Rondón</v>
      </c>
      <c r="C82" s="1">
        <v>45971</v>
      </c>
      <c r="D82" s="2">
        <v>642478</v>
      </c>
    </row>
    <row r="83" spans="1:4" x14ac:dyDescent="0.25">
      <c r="A83" t="str">
        <v>DEL</v>
      </c>
      <c r="B83" t="str">
        <v>Danjuma</v>
      </c>
      <c r="C83" s="1">
        <v>45972</v>
      </c>
      <c r="D83" s="2">
        <v>27500000</v>
      </c>
    </row>
    <row r="84" spans="1:4" x14ac:dyDescent="0.25">
      <c r="A84" t="str">
        <v>DEF</v>
      </c>
      <c r="B84" t="str">
        <v>Mendy</v>
      </c>
      <c r="C84" s="1">
        <v>45973</v>
      </c>
      <c r="D84" s="2">
        <v>10974125</v>
      </c>
    </row>
    <row r="85" spans="1:4" x14ac:dyDescent="0.25">
      <c r="A85" t="str">
        <v>DEL</v>
      </c>
      <c r="B85" t="str">
        <v>Abde</v>
      </c>
      <c r="C85" s="1">
        <v>45974</v>
      </c>
      <c r="D85" s="2">
        <v>43309964</v>
      </c>
    </row>
  </sheetData>
  <hyperlinks>
    <hyperlink ref="A1" location="Sumario!A1" display="Indice" xr:uid="{C6154041-BFF5-4AE9-9BCB-E09A678D0089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40DCA-6E2C-48A0-81AA-866716382C67}">
  <dimension ref="A1:P250"/>
  <sheetViews>
    <sheetView workbookViewId="0"/>
  </sheetViews>
  <sheetFormatPr baseColWidth="10" defaultRowHeight="15" x14ac:dyDescent="0.25"/>
  <cols>
    <col min="3" max="3" width="11.42578125" style="1"/>
    <col min="4" max="4" width="14" style="2" bestFit="1" customWidth="1"/>
    <col min="13" max="13" width="11.42578125" style="1"/>
    <col min="14" max="15" width="14.140625" style="2" bestFit="1" customWidth="1"/>
    <col min="16" max="16" width="12.28515625" bestFit="1" customWidth="1"/>
  </cols>
  <sheetData>
    <row r="1" spans="1:16" x14ac:dyDescent="0.25">
      <c r="A1" s="3" t="s">
        <v>94</v>
      </c>
      <c r="B1" t="s">
        <v>11</v>
      </c>
      <c r="H1" s="1"/>
      <c r="I1" s="2"/>
    </row>
    <row r="2" spans="1:16" x14ac:dyDescent="0.25">
      <c r="A2" t="s">
        <v>188</v>
      </c>
      <c r="H2" s="1"/>
      <c r="I2" s="2"/>
      <c r="K2" t="s">
        <v>189</v>
      </c>
    </row>
    <row r="3" spans="1:16" x14ac:dyDescent="0.25">
      <c r="A3" t="s">
        <v>75</v>
      </c>
      <c r="B3" t="s">
        <v>25</v>
      </c>
      <c r="C3" s="1" t="s">
        <v>76</v>
      </c>
      <c r="D3" s="2" t="s">
        <v>95</v>
      </c>
      <c r="E3" t="s">
        <v>190</v>
      </c>
      <c r="H3" s="1"/>
      <c r="I3" s="2"/>
      <c r="K3" t="s">
        <v>75</v>
      </c>
      <c r="L3" t="s">
        <v>25</v>
      </c>
      <c r="M3" s="1" t="s">
        <v>93</v>
      </c>
      <c r="N3" s="2" t="s">
        <v>96</v>
      </c>
      <c r="O3" s="2" t="s">
        <v>95</v>
      </c>
      <c r="P3" t="s">
        <v>280</v>
      </c>
    </row>
    <row r="4" spans="1:16" x14ac:dyDescent="0.25">
      <c r="A4" t="str" cm="1">
        <f t="array" ref="A4:A81">_xlfn._xlws.FILTER(Fichajes!C:C,Fichajes!G:G=B1)</f>
        <v>DEF</v>
      </c>
      <c r="B4" t="str" cm="1">
        <f t="array" ref="B4:B81">_xlfn._xlws.FILTER(Fichajes!B:B,Fichajes!G:G=B1)</f>
        <v>Bartra</v>
      </c>
      <c r="C4" s="1" cm="1">
        <f t="array" ref="C4:C81">_xlfn._xlws.FILTER(Fichajes!F:F,Fichajes!$G:$G=$B1)</f>
        <v>45872</v>
      </c>
      <c r="D4" s="2" cm="1">
        <f t="array" ref="D4:D81">_xlfn._xlws.FILTER(Fichajes!I:I,Fichajes!$G:$G=$B1)</f>
        <v>0</v>
      </c>
      <c r="E4" t="str">
        <f t="shared" ref="E4:E67" si="0">IF(B4="","",IFERROR(
   IF(
      (VLOOKUP(B4,K:N,3,FALSE)) &lt; C4,
      "X",
      ""
   ),
   "X")
)</f>
        <v/>
      </c>
      <c r="H4" s="1"/>
      <c r="I4" s="2"/>
      <c r="K4" t="str" cm="1">
        <f t="array" ref="K4:K65">_xlfn._xlws.FILTER(Fichajes!B:B,Fichajes!$H:$H=B$1)</f>
        <v>Sergio Gómez</v>
      </c>
      <c r="L4" t="str" cm="1">
        <f t="array" ref="L4:L65">_xlfn._xlws.FILTER(Fichajes!C:C,Fichajes!$H:$H=B$1)</f>
        <v>DEF</v>
      </c>
      <c r="M4" s="1" cm="1">
        <f t="array" ref="M4:M65">_xlfn._xlws.FILTER(Fichajes!F:F,Fichajes!$H:$H=B$1)</f>
        <v>45879</v>
      </c>
      <c r="N4" s="2" cm="1">
        <f t="array" ref="N4:N65">_xlfn._xlws.FILTER(Fichajes!I:I,Fichajes!$H:$H=B$1)</f>
        <v>14355279</v>
      </c>
      <c r="O4" s="2">
        <f t="shared" ref="O4:O14" si="1">IF(ISBLANK(N4),"",VLOOKUP(K4,B:D,3,FALSE))</f>
        <v>0</v>
      </c>
      <c r="P4" s="2">
        <f t="shared" ref="P4:P14" si="2">IF(ISBLANK(N4),"",N4-O4)</f>
        <v>14355279</v>
      </c>
    </row>
    <row r="5" spans="1:16" x14ac:dyDescent="0.25">
      <c r="A5" t="str">
        <v>MED</v>
      </c>
      <c r="B5" t="str">
        <v>Brais</v>
      </c>
      <c r="C5" s="1">
        <v>45872</v>
      </c>
      <c r="D5" s="2">
        <v>0</v>
      </c>
      <c r="E5" t="str">
        <f t="shared" si="0"/>
        <v/>
      </c>
      <c r="H5" s="1"/>
      <c r="I5" s="2"/>
      <c r="K5" t="str">
        <v>Eric García</v>
      </c>
      <c r="L5" t="str">
        <v>DEF</v>
      </c>
      <c r="M5" s="1">
        <v>45880</v>
      </c>
      <c r="N5" s="2">
        <v>12302286</v>
      </c>
      <c r="O5" s="2">
        <f t="shared" si="1"/>
        <v>0</v>
      </c>
      <c r="P5" s="2">
        <f t="shared" si="2"/>
        <v>12302286</v>
      </c>
    </row>
    <row r="6" spans="1:16" x14ac:dyDescent="0.25">
      <c r="A6" t="str">
        <v>DEF</v>
      </c>
      <c r="B6" t="str">
        <v>A. Christensen</v>
      </c>
      <c r="C6" s="1">
        <v>45872</v>
      </c>
      <c r="D6" s="2">
        <v>0</v>
      </c>
      <c r="E6" t="str">
        <f t="shared" si="0"/>
        <v/>
      </c>
      <c r="H6" s="1"/>
      <c r="I6" s="2"/>
      <c r="K6" t="str">
        <v>A. Christensen</v>
      </c>
      <c r="L6" t="str">
        <v>DEF</v>
      </c>
      <c r="M6" s="1">
        <v>45886</v>
      </c>
      <c r="N6" s="2">
        <v>9462162</v>
      </c>
      <c r="O6" s="2">
        <f t="shared" si="1"/>
        <v>0</v>
      </c>
      <c r="P6" s="2">
        <f t="shared" si="2"/>
        <v>9462162</v>
      </c>
    </row>
    <row r="7" spans="1:16" x14ac:dyDescent="0.25">
      <c r="A7" t="str">
        <v>MED</v>
      </c>
      <c r="B7" t="str">
        <v>R. de Galarreta</v>
      </c>
      <c r="C7" s="1">
        <v>45872</v>
      </c>
      <c r="D7" s="2">
        <v>0</v>
      </c>
      <c r="E7" t="str">
        <f t="shared" si="0"/>
        <v/>
      </c>
      <c r="H7" s="1"/>
      <c r="I7" s="2"/>
      <c r="K7" t="str">
        <v>Fran García</v>
      </c>
      <c r="L7" t="str">
        <v>DEF</v>
      </c>
      <c r="M7" s="1">
        <v>45886</v>
      </c>
      <c r="N7" s="2">
        <v>10803511</v>
      </c>
      <c r="O7" s="2">
        <f t="shared" si="1"/>
        <v>0</v>
      </c>
      <c r="P7" s="2">
        <f t="shared" si="2"/>
        <v>10803511</v>
      </c>
    </row>
    <row r="8" spans="1:16" x14ac:dyDescent="0.25">
      <c r="A8" t="str">
        <v>DEL</v>
      </c>
      <c r="B8" t="str">
        <v>Diego López</v>
      </c>
      <c r="C8" s="1">
        <v>45872</v>
      </c>
      <c r="D8" s="2">
        <v>0</v>
      </c>
      <c r="E8" t="str">
        <f t="shared" si="0"/>
        <v/>
      </c>
      <c r="H8" s="1"/>
      <c r="I8" s="2"/>
      <c r="K8" t="str">
        <v>Koke</v>
      </c>
      <c r="L8" t="str">
        <v>MED</v>
      </c>
      <c r="M8" s="1">
        <v>45886</v>
      </c>
      <c r="N8" s="2">
        <v>7972516</v>
      </c>
      <c r="O8" s="2">
        <f t="shared" si="1"/>
        <v>0</v>
      </c>
      <c r="P8" s="2">
        <f t="shared" si="2"/>
        <v>7972516</v>
      </c>
    </row>
    <row r="9" spans="1:16" x14ac:dyDescent="0.25">
      <c r="A9" t="str">
        <v>DEF</v>
      </c>
      <c r="B9" t="str">
        <v>Eric García</v>
      </c>
      <c r="C9" s="1">
        <v>45872</v>
      </c>
      <c r="D9" s="2">
        <v>0</v>
      </c>
      <c r="E9" t="str">
        <f t="shared" si="0"/>
        <v/>
      </c>
      <c r="H9" s="1"/>
      <c r="I9" s="2"/>
      <c r="K9" t="str">
        <v>Nyland</v>
      </c>
      <c r="L9" t="str">
        <v>POR</v>
      </c>
      <c r="M9" s="1">
        <v>45886</v>
      </c>
      <c r="N9" s="2">
        <v>6023207</v>
      </c>
      <c r="O9" s="2">
        <f t="shared" si="1"/>
        <v>0</v>
      </c>
      <c r="P9" s="2">
        <f t="shared" si="2"/>
        <v>6023207</v>
      </c>
    </row>
    <row r="10" spans="1:16" x14ac:dyDescent="0.25">
      <c r="A10" t="str">
        <v>DEL</v>
      </c>
      <c r="B10" t="str">
        <v>Ferran</v>
      </c>
      <c r="C10" s="1">
        <v>45872</v>
      </c>
      <c r="D10" s="2">
        <v>0</v>
      </c>
      <c r="E10" t="str">
        <f t="shared" si="0"/>
        <v/>
      </c>
      <c r="H10" s="1"/>
      <c r="I10" s="2"/>
      <c r="K10" t="str">
        <v>Ferran</v>
      </c>
      <c r="L10" t="str">
        <v>DEL</v>
      </c>
      <c r="M10" s="1">
        <v>45888</v>
      </c>
      <c r="N10" s="2">
        <v>31110758</v>
      </c>
      <c r="O10" s="2">
        <f t="shared" si="1"/>
        <v>0</v>
      </c>
      <c r="P10" s="2">
        <f t="shared" si="2"/>
        <v>31110758</v>
      </c>
    </row>
    <row r="11" spans="1:16" x14ac:dyDescent="0.25">
      <c r="A11" t="str">
        <v>DEF</v>
      </c>
      <c r="B11" t="str">
        <v>Fran García</v>
      </c>
      <c r="C11" s="1">
        <v>45872</v>
      </c>
      <c r="D11" s="2">
        <v>0</v>
      </c>
      <c r="E11" t="str">
        <f t="shared" si="0"/>
        <v/>
      </c>
      <c r="H11" s="1"/>
      <c r="I11" s="2"/>
      <c r="K11" t="str">
        <v>Luis Milla</v>
      </c>
      <c r="L11" t="str">
        <v>MED</v>
      </c>
      <c r="M11" s="1">
        <v>45888</v>
      </c>
      <c r="N11" s="2">
        <v>16095858</v>
      </c>
      <c r="O11" s="2">
        <f t="shared" si="1"/>
        <v>0</v>
      </c>
      <c r="P11" s="2">
        <f t="shared" si="2"/>
        <v>16095858</v>
      </c>
    </row>
    <row r="12" spans="1:16" x14ac:dyDescent="0.25">
      <c r="A12" t="str">
        <v>MED</v>
      </c>
      <c r="B12" t="str">
        <v>Koke</v>
      </c>
      <c r="C12" s="1">
        <v>45872</v>
      </c>
      <c r="D12" s="2">
        <v>0</v>
      </c>
      <c r="E12" t="str">
        <f t="shared" si="0"/>
        <v/>
      </c>
      <c r="H12" s="1"/>
      <c r="I12" s="2"/>
      <c r="K12" t="str">
        <v>Bellerín</v>
      </c>
      <c r="L12" t="str">
        <v>DEF</v>
      </c>
      <c r="M12" s="1">
        <v>45889</v>
      </c>
      <c r="N12" s="2">
        <v>3807248</v>
      </c>
      <c r="O12" s="2">
        <f t="shared" si="1"/>
        <v>5000000</v>
      </c>
      <c r="P12" s="2">
        <f t="shared" si="2"/>
        <v>-1192752</v>
      </c>
    </row>
    <row r="13" spans="1:16" x14ac:dyDescent="0.25">
      <c r="A13" t="str">
        <v>MED</v>
      </c>
      <c r="B13" t="str">
        <v>Luis Milla</v>
      </c>
      <c r="C13" s="1">
        <v>45872</v>
      </c>
      <c r="D13" s="2">
        <v>0</v>
      </c>
      <c r="E13" t="str">
        <f t="shared" si="0"/>
        <v/>
      </c>
      <c r="H13" s="1"/>
      <c r="I13" s="2"/>
      <c r="K13" t="str">
        <v>Brais</v>
      </c>
      <c r="L13" t="str">
        <v>MED</v>
      </c>
      <c r="M13" s="1">
        <v>45889</v>
      </c>
      <c r="N13" s="2">
        <v>23947108</v>
      </c>
      <c r="O13" s="2">
        <f t="shared" si="1"/>
        <v>0</v>
      </c>
      <c r="P13" s="2">
        <f t="shared" si="2"/>
        <v>23947108</v>
      </c>
    </row>
    <row r="14" spans="1:16" x14ac:dyDescent="0.25">
      <c r="A14" t="str">
        <v>POR</v>
      </c>
      <c r="B14" t="str">
        <v>Nyland</v>
      </c>
      <c r="C14" s="1">
        <v>45872</v>
      </c>
      <c r="D14" s="2">
        <v>0</v>
      </c>
      <c r="E14" t="str">
        <f t="shared" si="0"/>
        <v/>
      </c>
      <c r="H14" s="1"/>
      <c r="I14" s="2"/>
      <c r="K14" t="str">
        <v>Pepelu</v>
      </c>
      <c r="L14" t="str">
        <v>MED</v>
      </c>
      <c r="M14" s="1">
        <v>45894</v>
      </c>
      <c r="N14" s="2">
        <v>13159584</v>
      </c>
      <c r="O14" s="2">
        <f t="shared" si="1"/>
        <v>0</v>
      </c>
      <c r="P14" s="2">
        <f t="shared" si="2"/>
        <v>13159584</v>
      </c>
    </row>
    <row r="15" spans="1:16" x14ac:dyDescent="0.25">
      <c r="A15" t="str">
        <v>MED</v>
      </c>
      <c r="B15" t="str">
        <v>Pepelu</v>
      </c>
      <c r="C15" s="1">
        <v>45872</v>
      </c>
      <c r="D15" s="2">
        <v>0</v>
      </c>
      <c r="E15" t="str">
        <f t="shared" si="0"/>
        <v/>
      </c>
      <c r="H15" s="1"/>
      <c r="I15" s="2"/>
      <c r="K15" t="str">
        <v>Raphinha</v>
      </c>
      <c r="L15" t="str">
        <v>DEL</v>
      </c>
      <c r="M15" s="1">
        <v>45894</v>
      </c>
      <c r="N15" s="2">
        <v>134340781</v>
      </c>
      <c r="O15" s="2">
        <f>IF(ISBLANK(N15),"",VLOOKUP(K15,B:D,3,FALSE))</f>
        <v>112301685</v>
      </c>
      <c r="P15" s="2">
        <f>IF(ISBLANK(N15),"",N15-O15)</f>
        <v>22039096</v>
      </c>
    </row>
    <row r="16" spans="1:16" x14ac:dyDescent="0.25">
      <c r="A16" t="str">
        <v>DEF</v>
      </c>
      <c r="B16" t="str">
        <v>Ristic</v>
      </c>
      <c r="C16" s="1">
        <v>45872</v>
      </c>
      <c r="D16" s="2">
        <v>0</v>
      </c>
      <c r="E16" t="str">
        <f t="shared" si="0"/>
        <v/>
      </c>
      <c r="H16" s="1"/>
      <c r="I16" s="2"/>
      <c r="K16" t="str">
        <v>Aleñá</v>
      </c>
      <c r="L16" t="str">
        <v>MED</v>
      </c>
      <c r="M16" s="1">
        <v>45895</v>
      </c>
      <c r="N16" s="2">
        <v>6100000</v>
      </c>
      <c r="O16" s="2">
        <f t="shared" ref="O16:O48" si="3">IF(ISBLANK(N16),"",VLOOKUP(K16,B:D,3,FALSE))</f>
        <v>6100000</v>
      </c>
      <c r="P16" s="2">
        <f t="shared" ref="P16:P48" si="4">IF(ISBLANK(N16),"",N16-O16)</f>
        <v>0</v>
      </c>
    </row>
    <row r="17" spans="1:16" x14ac:dyDescent="0.25">
      <c r="A17" t="str">
        <v>DEF</v>
      </c>
      <c r="B17" t="str">
        <v>Sergio Gómez</v>
      </c>
      <c r="C17" s="1">
        <v>45872</v>
      </c>
      <c r="D17" s="2">
        <v>0</v>
      </c>
      <c r="E17" t="str">
        <f t="shared" si="0"/>
        <v/>
      </c>
      <c r="H17" s="1"/>
      <c r="I17" s="2"/>
      <c r="K17" t="str">
        <v>Bartra</v>
      </c>
      <c r="L17" t="str">
        <v>DEF</v>
      </c>
      <c r="M17" s="1">
        <v>45895</v>
      </c>
      <c r="N17" s="2">
        <v>27994786</v>
      </c>
      <c r="O17" s="2">
        <f t="shared" si="3"/>
        <v>0</v>
      </c>
      <c r="P17" s="2">
        <f t="shared" si="4"/>
        <v>27994786</v>
      </c>
    </row>
    <row r="18" spans="1:16" x14ac:dyDescent="0.25">
      <c r="A18" t="str">
        <v>MED</v>
      </c>
      <c r="B18" t="str">
        <v>Aleñá</v>
      </c>
      <c r="C18" s="1">
        <v>45877</v>
      </c>
      <c r="D18" s="2">
        <v>6100000</v>
      </c>
      <c r="E18" t="str">
        <f t="shared" si="0"/>
        <v/>
      </c>
      <c r="H18" s="1"/>
      <c r="I18" s="2"/>
      <c r="K18" t="str">
        <v>Diego López</v>
      </c>
      <c r="L18" t="str">
        <v>DEL</v>
      </c>
      <c r="M18" s="1">
        <v>45896</v>
      </c>
      <c r="N18" s="2">
        <v>19978988</v>
      </c>
      <c r="O18" s="2">
        <f t="shared" si="3"/>
        <v>0</v>
      </c>
      <c r="P18" s="2">
        <f t="shared" si="4"/>
        <v>19978988</v>
      </c>
    </row>
    <row r="19" spans="1:16" x14ac:dyDescent="0.25">
      <c r="A19" t="str">
        <v>DEF</v>
      </c>
      <c r="B19" t="str">
        <v>Bellerín</v>
      </c>
      <c r="C19" s="1">
        <v>45879</v>
      </c>
      <c r="D19" s="2">
        <v>5000000</v>
      </c>
      <c r="E19" t="str">
        <f t="shared" si="0"/>
        <v/>
      </c>
      <c r="H19" s="1"/>
      <c r="I19" s="2"/>
      <c r="K19" t="str">
        <v>Militão</v>
      </c>
      <c r="L19" t="str">
        <v>DEF</v>
      </c>
      <c r="M19" s="1">
        <v>45898</v>
      </c>
      <c r="N19" s="2">
        <v>40802526</v>
      </c>
      <c r="O19" s="2">
        <f t="shared" si="3"/>
        <v>36100000</v>
      </c>
      <c r="P19" s="2">
        <f t="shared" si="4"/>
        <v>4702526</v>
      </c>
    </row>
    <row r="20" spans="1:16" x14ac:dyDescent="0.25">
      <c r="A20" t="str">
        <v>DEL</v>
      </c>
      <c r="B20" t="str">
        <v>Raphinha</v>
      </c>
      <c r="C20" s="1">
        <v>45879</v>
      </c>
      <c r="D20" s="2">
        <v>112301685</v>
      </c>
      <c r="E20" t="str">
        <f t="shared" si="0"/>
        <v/>
      </c>
      <c r="H20" s="1"/>
      <c r="I20" s="2"/>
      <c r="K20" t="str">
        <v>De Frutos</v>
      </c>
      <c r="L20" t="str">
        <v>DEL</v>
      </c>
      <c r="M20" s="1">
        <v>45900</v>
      </c>
      <c r="N20" s="2">
        <v>18666684</v>
      </c>
      <c r="O20" s="2">
        <f t="shared" si="3"/>
        <v>13861683</v>
      </c>
      <c r="P20" s="2">
        <f t="shared" si="4"/>
        <v>4805001</v>
      </c>
    </row>
    <row r="21" spans="1:16" x14ac:dyDescent="0.25">
      <c r="A21" t="str">
        <v>DEL</v>
      </c>
      <c r="B21" t="str">
        <v>De Frutos</v>
      </c>
      <c r="C21" s="1">
        <v>45886</v>
      </c>
      <c r="D21" s="2">
        <v>13861683</v>
      </c>
      <c r="E21" t="str">
        <f t="shared" si="0"/>
        <v/>
      </c>
      <c r="H21" s="1"/>
      <c r="I21" s="2"/>
      <c r="K21" t="str">
        <v>Almada</v>
      </c>
      <c r="L21" t="str">
        <v>MED</v>
      </c>
      <c r="M21" s="1">
        <v>45903</v>
      </c>
      <c r="N21" s="2">
        <v>28577264</v>
      </c>
      <c r="O21" s="2">
        <f t="shared" si="3"/>
        <v>27002791</v>
      </c>
      <c r="P21" s="2">
        <f t="shared" si="4"/>
        <v>1574473</v>
      </c>
    </row>
    <row r="22" spans="1:16" x14ac:dyDescent="0.25">
      <c r="A22" t="str">
        <v>POR</v>
      </c>
      <c r="B22" t="str">
        <v>Leo Román</v>
      </c>
      <c r="C22" s="1">
        <v>45887</v>
      </c>
      <c r="D22" s="2">
        <v>10938553</v>
      </c>
      <c r="E22" t="str">
        <f t="shared" si="0"/>
        <v/>
      </c>
      <c r="H22" s="1"/>
      <c r="I22" s="2"/>
      <c r="K22" t="str">
        <v>Boyomo</v>
      </c>
      <c r="L22" t="str">
        <v>DEF</v>
      </c>
      <c r="M22" s="1">
        <v>45903</v>
      </c>
      <c r="N22" s="2">
        <v>14947178</v>
      </c>
      <c r="O22" s="2">
        <f t="shared" si="3"/>
        <v>14947178</v>
      </c>
      <c r="P22" s="2">
        <f t="shared" si="4"/>
        <v>0</v>
      </c>
    </row>
    <row r="23" spans="1:16" x14ac:dyDescent="0.25">
      <c r="A23" t="str">
        <v>DEF</v>
      </c>
      <c r="B23" t="str">
        <v>Militão</v>
      </c>
      <c r="C23" s="1">
        <v>45887</v>
      </c>
      <c r="D23" s="2">
        <v>36100000</v>
      </c>
      <c r="E23" t="str">
        <f t="shared" si="0"/>
        <v/>
      </c>
      <c r="H23" s="1"/>
      <c r="I23" s="2"/>
      <c r="K23" t="str">
        <v>N. Williams</v>
      </c>
      <c r="L23" t="str">
        <v>DEL</v>
      </c>
      <c r="M23" s="1">
        <v>45908</v>
      </c>
      <c r="N23" s="2">
        <v>120829386</v>
      </c>
      <c r="O23" s="2">
        <f t="shared" si="3"/>
        <v>102089122</v>
      </c>
      <c r="P23" s="2">
        <f t="shared" si="4"/>
        <v>18740264</v>
      </c>
    </row>
    <row r="24" spans="1:16" x14ac:dyDescent="0.25">
      <c r="A24" t="str">
        <v>DEF</v>
      </c>
      <c r="B24" t="str">
        <v>Mojica</v>
      </c>
      <c r="C24" s="1">
        <v>45887</v>
      </c>
      <c r="D24" s="2">
        <v>14122940</v>
      </c>
      <c r="E24" t="str">
        <f t="shared" si="0"/>
        <v/>
      </c>
      <c r="K24" t="str">
        <v>Tchouaméni</v>
      </c>
      <c r="L24" t="str">
        <v>MED</v>
      </c>
      <c r="M24" s="1">
        <v>45911</v>
      </c>
      <c r="N24" s="2">
        <v>56259306</v>
      </c>
      <c r="O24" s="2">
        <f t="shared" si="3"/>
        <v>51913530</v>
      </c>
      <c r="P24" s="2">
        <f t="shared" si="4"/>
        <v>4345776</v>
      </c>
    </row>
    <row r="25" spans="1:16" x14ac:dyDescent="0.25">
      <c r="A25" t="str">
        <v>MED</v>
      </c>
      <c r="B25" t="str">
        <v>Almada</v>
      </c>
      <c r="C25" s="1">
        <v>45889</v>
      </c>
      <c r="D25" s="2">
        <v>27002791</v>
      </c>
      <c r="E25" t="str">
        <f t="shared" si="0"/>
        <v/>
      </c>
      <c r="K25" t="str">
        <v>Asprilla</v>
      </c>
      <c r="L25" t="str">
        <v>DEL</v>
      </c>
      <c r="M25" s="1">
        <v>45914</v>
      </c>
      <c r="N25" s="2">
        <v>3361511</v>
      </c>
      <c r="O25" s="2">
        <f t="shared" si="3"/>
        <v>3173836</v>
      </c>
      <c r="P25" s="2">
        <f t="shared" si="4"/>
        <v>187675</v>
      </c>
    </row>
    <row r="26" spans="1:16" x14ac:dyDescent="0.25">
      <c r="A26" t="str">
        <v>DEF</v>
      </c>
      <c r="B26" t="str">
        <v>Boyomo</v>
      </c>
      <c r="C26" s="1">
        <v>45889</v>
      </c>
      <c r="D26" s="2">
        <v>14947178</v>
      </c>
      <c r="E26" t="str">
        <f t="shared" si="0"/>
        <v/>
      </c>
      <c r="K26" t="str">
        <v>Neyou</v>
      </c>
      <c r="L26" t="str">
        <v>MED</v>
      </c>
      <c r="M26" s="1">
        <v>45914</v>
      </c>
      <c r="N26" s="2">
        <v>4045446</v>
      </c>
      <c r="O26" s="2">
        <f t="shared" si="3"/>
        <v>4023985</v>
      </c>
      <c r="P26" s="2">
        <f t="shared" si="4"/>
        <v>21461</v>
      </c>
    </row>
    <row r="27" spans="1:16" x14ac:dyDescent="0.25">
      <c r="A27" t="str">
        <v>POR</v>
      </c>
      <c r="B27" t="str">
        <v>Batalla</v>
      </c>
      <c r="C27" s="1">
        <v>45915</v>
      </c>
      <c r="D27" s="2">
        <v>15113096</v>
      </c>
      <c r="E27" t="str">
        <f t="shared" si="0"/>
        <v>X</v>
      </c>
      <c r="K27" t="str">
        <v>Leo Román</v>
      </c>
      <c r="L27" t="str">
        <v>POR</v>
      </c>
      <c r="M27" s="1">
        <v>45915</v>
      </c>
      <c r="N27" s="2">
        <v>6136418</v>
      </c>
      <c r="O27" s="2">
        <f t="shared" si="3"/>
        <v>10938553</v>
      </c>
      <c r="P27" s="2">
        <f t="shared" si="4"/>
        <v>-4802135</v>
      </c>
    </row>
    <row r="28" spans="1:16" x14ac:dyDescent="0.25">
      <c r="A28" t="str">
        <v>DEF</v>
      </c>
      <c r="B28" t="str">
        <v>A. F. Carreras</v>
      </c>
      <c r="C28" s="1">
        <v>45895</v>
      </c>
      <c r="D28" s="2">
        <v>50000000</v>
      </c>
      <c r="E28" t="str">
        <f t="shared" si="0"/>
        <v/>
      </c>
      <c r="K28" t="str">
        <v>Mojica</v>
      </c>
      <c r="L28" t="str">
        <v>DEF</v>
      </c>
      <c r="M28" s="1">
        <v>45915</v>
      </c>
      <c r="N28" s="2">
        <v>8505525</v>
      </c>
      <c r="O28" s="2">
        <f t="shared" si="3"/>
        <v>14122940</v>
      </c>
      <c r="P28" s="2">
        <f t="shared" si="4"/>
        <v>-5617415</v>
      </c>
    </row>
    <row r="29" spans="1:16" x14ac:dyDescent="0.25">
      <c r="A29" t="str">
        <v>DEF</v>
      </c>
      <c r="B29" t="str">
        <v>Iglesias</v>
      </c>
      <c r="C29" s="1">
        <v>45897</v>
      </c>
      <c r="D29" s="2">
        <v>2369904</v>
      </c>
      <c r="E29" t="str">
        <f t="shared" si="0"/>
        <v/>
      </c>
      <c r="K29" t="str">
        <v>Ristic</v>
      </c>
      <c r="L29" t="str">
        <v>DEF</v>
      </c>
      <c r="M29" s="1">
        <v>45916</v>
      </c>
      <c r="N29" s="2">
        <v>1000000</v>
      </c>
      <c r="O29" s="2">
        <f t="shared" si="3"/>
        <v>0</v>
      </c>
      <c r="P29" s="2">
        <f t="shared" si="4"/>
        <v>1000000</v>
      </c>
    </row>
    <row r="30" spans="1:16" x14ac:dyDescent="0.25">
      <c r="A30" t="str">
        <v>MED</v>
      </c>
      <c r="B30" t="str">
        <v>Lozano</v>
      </c>
      <c r="C30" s="1">
        <v>45897</v>
      </c>
      <c r="D30" s="2">
        <v>3210000</v>
      </c>
      <c r="E30" t="str">
        <f t="shared" si="0"/>
        <v/>
      </c>
      <c r="K30" t="str">
        <v>A. F. Carreras</v>
      </c>
      <c r="L30" t="str">
        <v>DEF</v>
      </c>
      <c r="M30" s="1">
        <v>45917</v>
      </c>
      <c r="N30" s="2">
        <v>69513806</v>
      </c>
      <c r="O30" s="2">
        <f t="shared" si="3"/>
        <v>50000000</v>
      </c>
      <c r="P30" s="2">
        <f t="shared" si="4"/>
        <v>19513806</v>
      </c>
    </row>
    <row r="31" spans="1:16" x14ac:dyDescent="0.25">
      <c r="A31" t="str">
        <v>MED</v>
      </c>
      <c r="B31" t="str">
        <v>Tchouaméni</v>
      </c>
      <c r="C31" s="1">
        <v>45897</v>
      </c>
      <c r="D31" s="2">
        <v>51913530</v>
      </c>
      <c r="E31" t="str">
        <f t="shared" si="0"/>
        <v/>
      </c>
      <c r="K31" t="str">
        <v>R. de Galarreta</v>
      </c>
      <c r="L31" t="str">
        <v>MED</v>
      </c>
      <c r="M31" s="1">
        <v>45917</v>
      </c>
      <c r="N31" s="2">
        <v>15593430</v>
      </c>
      <c r="O31" s="2">
        <f t="shared" si="3"/>
        <v>0</v>
      </c>
      <c r="P31" s="2">
        <f t="shared" si="4"/>
        <v>15593430</v>
      </c>
    </row>
    <row r="32" spans="1:16" x14ac:dyDescent="0.25">
      <c r="A32" t="str">
        <v>DEL</v>
      </c>
      <c r="B32" t="str">
        <v>Isi</v>
      </c>
      <c r="C32" s="1">
        <v>45901</v>
      </c>
      <c r="D32" s="2">
        <v>32000250</v>
      </c>
      <c r="E32" t="str">
        <f t="shared" si="0"/>
        <v/>
      </c>
      <c r="K32" t="str">
        <v>Giuliano</v>
      </c>
      <c r="L32" t="str">
        <v>DEL</v>
      </c>
      <c r="M32" s="1">
        <v>45918</v>
      </c>
      <c r="N32" s="2">
        <v>39817789</v>
      </c>
      <c r="O32" s="2">
        <f t="shared" si="3"/>
        <v>40021696</v>
      </c>
      <c r="P32" s="2">
        <f t="shared" si="4"/>
        <v>-203907</v>
      </c>
    </row>
    <row r="33" spans="1:16" x14ac:dyDescent="0.25">
      <c r="A33" t="str">
        <v>DEF</v>
      </c>
      <c r="B33" t="str">
        <v>Abqar</v>
      </c>
      <c r="C33" s="1">
        <v>45904</v>
      </c>
      <c r="D33" s="2">
        <v>12100000</v>
      </c>
      <c r="E33" t="str">
        <f t="shared" si="0"/>
        <v/>
      </c>
      <c r="K33" t="str">
        <v>Iglesias</v>
      </c>
      <c r="L33" t="str">
        <v>DEF</v>
      </c>
      <c r="M33" s="1">
        <v>45918</v>
      </c>
      <c r="N33" s="2">
        <v>2369904</v>
      </c>
      <c r="O33" s="2">
        <f t="shared" si="3"/>
        <v>2369904</v>
      </c>
      <c r="P33" s="2">
        <f t="shared" si="4"/>
        <v>0</v>
      </c>
    </row>
    <row r="34" spans="1:16" x14ac:dyDescent="0.25">
      <c r="A34" t="str">
        <v>DEL</v>
      </c>
      <c r="B34" t="str">
        <v>Dolan</v>
      </c>
      <c r="C34" s="1">
        <v>45905</v>
      </c>
      <c r="D34" s="2">
        <v>5100000</v>
      </c>
      <c r="E34" t="str">
        <f t="shared" si="0"/>
        <v/>
      </c>
      <c r="K34" t="str">
        <v>Isi</v>
      </c>
      <c r="L34" t="str">
        <v>DEL</v>
      </c>
      <c r="M34" s="1">
        <v>45921</v>
      </c>
      <c r="N34" s="2">
        <v>52525247</v>
      </c>
      <c r="O34" s="2">
        <f t="shared" si="3"/>
        <v>32000250</v>
      </c>
      <c r="P34" s="2">
        <f t="shared" si="4"/>
        <v>20524997</v>
      </c>
    </row>
    <row r="35" spans="1:16" x14ac:dyDescent="0.25">
      <c r="A35" t="str">
        <v>DEL</v>
      </c>
      <c r="B35" t="str">
        <v>Asprilla</v>
      </c>
      <c r="C35" s="1">
        <v>45907</v>
      </c>
      <c r="D35" s="2">
        <v>3173836</v>
      </c>
      <c r="E35" t="str">
        <f t="shared" si="0"/>
        <v/>
      </c>
      <c r="K35" t="str">
        <v>Dolan</v>
      </c>
      <c r="L35" t="str">
        <v>DEL</v>
      </c>
      <c r="M35" s="1">
        <v>45922</v>
      </c>
      <c r="N35" s="2">
        <v>5100000</v>
      </c>
      <c r="O35" s="2">
        <f t="shared" si="3"/>
        <v>5100000</v>
      </c>
      <c r="P35" s="2">
        <f t="shared" si="4"/>
        <v>0</v>
      </c>
    </row>
    <row r="36" spans="1:16" x14ac:dyDescent="0.25">
      <c r="A36" t="str">
        <v>MED</v>
      </c>
      <c r="B36" t="str">
        <v>Moriba</v>
      </c>
      <c r="C36" s="1">
        <v>45907</v>
      </c>
      <c r="D36" s="2">
        <v>5153533</v>
      </c>
      <c r="E36" t="str">
        <f t="shared" si="0"/>
        <v/>
      </c>
      <c r="K36" t="str">
        <v>Moriba</v>
      </c>
      <c r="L36" t="str">
        <v>MED</v>
      </c>
      <c r="M36" s="1">
        <v>45922</v>
      </c>
      <c r="N36" s="2">
        <v>5284286</v>
      </c>
      <c r="O36" s="2">
        <f t="shared" si="3"/>
        <v>5153533</v>
      </c>
      <c r="P36" s="2">
        <f t="shared" si="4"/>
        <v>130753</v>
      </c>
    </row>
    <row r="37" spans="1:16" x14ac:dyDescent="0.25">
      <c r="A37" t="str">
        <v>DEF</v>
      </c>
      <c r="B37" t="str">
        <v>Mouriño</v>
      </c>
      <c r="C37" s="1">
        <v>45907</v>
      </c>
      <c r="D37" s="2">
        <v>23676456</v>
      </c>
      <c r="E37" t="str">
        <f t="shared" si="0"/>
        <v/>
      </c>
      <c r="K37" t="str">
        <v>Lozano</v>
      </c>
      <c r="L37" t="str">
        <v>MED</v>
      </c>
      <c r="M37" s="1">
        <v>45922</v>
      </c>
      <c r="N37" s="2">
        <v>3210000</v>
      </c>
      <c r="O37" s="2">
        <f t="shared" si="3"/>
        <v>3210000</v>
      </c>
      <c r="P37" s="2">
        <f t="shared" si="4"/>
        <v>0</v>
      </c>
    </row>
    <row r="38" spans="1:16" x14ac:dyDescent="0.25">
      <c r="A38" t="str">
        <v>DEL</v>
      </c>
      <c r="B38" t="str">
        <v>Giuliano</v>
      </c>
      <c r="C38" s="1">
        <v>45908</v>
      </c>
      <c r="D38" s="2">
        <v>40021696</v>
      </c>
      <c r="E38" t="str">
        <f t="shared" si="0"/>
        <v/>
      </c>
      <c r="K38" t="str">
        <v>Fermín</v>
      </c>
      <c r="L38" t="str">
        <v>MED</v>
      </c>
      <c r="M38" s="1">
        <v>45923</v>
      </c>
      <c r="N38" s="2">
        <v>23476127</v>
      </c>
      <c r="O38" s="2">
        <f t="shared" si="3"/>
        <v>27100000</v>
      </c>
      <c r="P38" s="2">
        <f t="shared" si="4"/>
        <v>-3623873</v>
      </c>
    </row>
    <row r="39" spans="1:16" x14ac:dyDescent="0.25">
      <c r="A39" t="str">
        <v>DEF</v>
      </c>
      <c r="B39" t="str">
        <v>Lenglet</v>
      </c>
      <c r="C39" s="1">
        <v>45908</v>
      </c>
      <c r="D39" s="2">
        <v>3764915</v>
      </c>
      <c r="E39" t="str">
        <f t="shared" si="0"/>
        <v/>
      </c>
      <c r="K39" t="str">
        <v>Mikautadze</v>
      </c>
      <c r="L39" t="str">
        <v>DEL</v>
      </c>
      <c r="M39" s="1">
        <v>45924</v>
      </c>
      <c r="N39" s="2">
        <v>35100000</v>
      </c>
      <c r="O39" s="2">
        <f t="shared" si="3"/>
        <v>35100000</v>
      </c>
      <c r="P39" s="2">
        <f t="shared" si="4"/>
        <v>0</v>
      </c>
    </row>
    <row r="40" spans="1:16" x14ac:dyDescent="0.25">
      <c r="A40" t="str">
        <v>MED</v>
      </c>
      <c r="B40" t="str">
        <v>Güler</v>
      </c>
      <c r="C40" s="1">
        <v>45909</v>
      </c>
      <c r="D40" s="2">
        <v>92986881</v>
      </c>
      <c r="E40" t="str">
        <f t="shared" si="0"/>
        <v/>
      </c>
      <c r="K40" t="str">
        <v>Pep Chavarría</v>
      </c>
      <c r="L40" t="str">
        <v>DEF</v>
      </c>
      <c r="M40" s="1">
        <v>45924</v>
      </c>
      <c r="N40" s="2">
        <v>5100010</v>
      </c>
      <c r="O40" s="2">
        <f t="shared" si="3"/>
        <v>5150010</v>
      </c>
      <c r="P40" s="2">
        <f t="shared" si="4"/>
        <v>-50000</v>
      </c>
    </row>
    <row r="41" spans="1:16" x14ac:dyDescent="0.25">
      <c r="A41" t="str">
        <v>DEF</v>
      </c>
      <c r="B41" t="str">
        <v>Pep Chavarría</v>
      </c>
      <c r="C41" s="1">
        <v>45909</v>
      </c>
      <c r="D41" s="2">
        <v>5150010</v>
      </c>
      <c r="E41" t="str">
        <f t="shared" si="0"/>
        <v/>
      </c>
      <c r="K41" t="str">
        <v>Lenglet</v>
      </c>
      <c r="L41" t="str">
        <v>DEF</v>
      </c>
      <c r="M41" s="1">
        <v>45928</v>
      </c>
      <c r="N41" s="2">
        <v>10185880</v>
      </c>
      <c r="O41" s="2">
        <f t="shared" si="3"/>
        <v>3764915</v>
      </c>
      <c r="P41" s="2">
        <f t="shared" si="4"/>
        <v>6420965</v>
      </c>
    </row>
    <row r="42" spans="1:16" x14ac:dyDescent="0.25">
      <c r="A42" t="str">
        <v>POR</v>
      </c>
      <c r="B42" t="str">
        <v>Rúben Montero</v>
      </c>
      <c r="C42" s="1">
        <v>45909</v>
      </c>
      <c r="D42" s="2">
        <v>400907</v>
      </c>
      <c r="E42" t="str">
        <f t="shared" si="0"/>
        <v>X</v>
      </c>
      <c r="K42" t="str">
        <v>Paredes</v>
      </c>
      <c r="L42" t="str">
        <v>DEF</v>
      </c>
      <c r="M42" s="1">
        <v>45928</v>
      </c>
      <c r="N42" s="2">
        <v>31137883</v>
      </c>
      <c r="O42" s="2">
        <f t="shared" si="3"/>
        <v>31497526</v>
      </c>
      <c r="P42" s="2">
        <f t="shared" si="4"/>
        <v>-359643</v>
      </c>
    </row>
    <row r="43" spans="1:16" x14ac:dyDescent="0.25">
      <c r="A43" t="str">
        <v>MED</v>
      </c>
      <c r="B43" t="str">
        <v>Neyou</v>
      </c>
      <c r="C43" s="1">
        <v>45909</v>
      </c>
      <c r="D43" s="2">
        <v>4023985</v>
      </c>
      <c r="E43" t="str">
        <f t="shared" si="0"/>
        <v/>
      </c>
      <c r="K43" t="str">
        <v>Abqar</v>
      </c>
      <c r="L43" t="str">
        <v>DEF</v>
      </c>
      <c r="M43" s="1">
        <v>45929</v>
      </c>
      <c r="N43" s="2">
        <v>18100000</v>
      </c>
      <c r="O43" s="2">
        <f t="shared" si="3"/>
        <v>12100000</v>
      </c>
      <c r="P43" s="2">
        <f t="shared" si="4"/>
        <v>6000000</v>
      </c>
    </row>
    <row r="44" spans="1:16" x14ac:dyDescent="0.25">
      <c r="A44" t="str">
        <v>DEL</v>
      </c>
      <c r="B44" t="str">
        <v>Mikautadze</v>
      </c>
      <c r="C44" s="1">
        <v>45910</v>
      </c>
      <c r="D44" s="2">
        <v>35100000</v>
      </c>
      <c r="E44" t="str">
        <f t="shared" si="0"/>
        <v/>
      </c>
      <c r="K44" t="str">
        <v>Buchanan</v>
      </c>
      <c r="L44" t="str">
        <v>MED</v>
      </c>
      <c r="M44" s="1">
        <v>45929</v>
      </c>
      <c r="N44" s="2">
        <v>36103173</v>
      </c>
      <c r="O44" s="2">
        <f t="shared" si="3"/>
        <v>30373255</v>
      </c>
      <c r="P44" s="2">
        <f t="shared" si="4"/>
        <v>5729918</v>
      </c>
    </row>
    <row r="45" spans="1:16" x14ac:dyDescent="0.25">
      <c r="A45" t="str">
        <v>MED</v>
      </c>
      <c r="B45" t="str">
        <v>Buchanan</v>
      </c>
      <c r="C45" s="1">
        <v>45917</v>
      </c>
      <c r="D45" s="2">
        <v>30373255</v>
      </c>
      <c r="E45" t="str">
        <f t="shared" si="0"/>
        <v/>
      </c>
      <c r="K45" t="str">
        <v>Güler</v>
      </c>
      <c r="L45" t="str">
        <v>MED</v>
      </c>
      <c r="M45" s="1">
        <v>45931</v>
      </c>
      <c r="N45" s="2">
        <v>122854925</v>
      </c>
      <c r="O45" s="2">
        <f t="shared" si="3"/>
        <v>92986881</v>
      </c>
      <c r="P45" s="2">
        <f t="shared" si="4"/>
        <v>29868044</v>
      </c>
    </row>
    <row r="46" spans="1:16" x14ac:dyDescent="0.25">
      <c r="A46" t="str">
        <v>DEL</v>
      </c>
      <c r="B46" t="str">
        <v>N. Williams</v>
      </c>
      <c r="C46" s="1">
        <v>45894</v>
      </c>
      <c r="D46" s="2">
        <v>102089122</v>
      </c>
      <c r="E46" t="str">
        <f t="shared" si="0"/>
        <v/>
      </c>
      <c r="K46" t="str">
        <v>Pépé</v>
      </c>
      <c r="L46" t="str">
        <v>DEL</v>
      </c>
      <c r="M46" s="1">
        <v>45931</v>
      </c>
      <c r="N46" s="2">
        <v>85296567</v>
      </c>
      <c r="O46" s="2">
        <f t="shared" si="3"/>
        <v>68214570</v>
      </c>
      <c r="P46" s="2">
        <f t="shared" si="4"/>
        <v>17081997</v>
      </c>
    </row>
    <row r="47" spans="1:16" x14ac:dyDescent="0.25">
      <c r="A47" t="str">
        <v>MED</v>
      </c>
      <c r="B47" t="str">
        <v>Fermín</v>
      </c>
      <c r="C47" s="1">
        <v>45917</v>
      </c>
      <c r="D47" s="2">
        <v>27100000</v>
      </c>
      <c r="E47" t="str">
        <f t="shared" si="0"/>
        <v/>
      </c>
      <c r="K47" t="str">
        <v>Mouriño</v>
      </c>
      <c r="L47" t="str">
        <v>DEF</v>
      </c>
      <c r="M47" s="1">
        <v>45934</v>
      </c>
      <c r="N47" s="2">
        <v>29898266</v>
      </c>
      <c r="O47" s="2">
        <f t="shared" si="3"/>
        <v>23676456</v>
      </c>
      <c r="P47" s="2">
        <f t="shared" si="4"/>
        <v>6221810</v>
      </c>
    </row>
    <row r="48" spans="1:16" x14ac:dyDescent="0.25">
      <c r="A48" t="str">
        <v>DEL</v>
      </c>
      <c r="B48" t="str">
        <v>Pépé</v>
      </c>
      <c r="C48" s="1">
        <v>45917</v>
      </c>
      <c r="D48" s="2">
        <v>68214570</v>
      </c>
      <c r="E48" t="str">
        <f t="shared" si="0"/>
        <v/>
      </c>
      <c r="K48" t="str">
        <v>Antony</v>
      </c>
      <c r="L48" t="str">
        <v>DEL</v>
      </c>
      <c r="M48" s="1">
        <v>45936</v>
      </c>
      <c r="N48" s="2">
        <v>85961246</v>
      </c>
      <c r="O48" s="2">
        <f t="shared" si="3"/>
        <v>83626346</v>
      </c>
      <c r="P48" s="2">
        <f t="shared" si="4"/>
        <v>2334900</v>
      </c>
    </row>
    <row r="49" spans="1:14" x14ac:dyDescent="0.25">
      <c r="A49" t="str">
        <v>MED</v>
      </c>
      <c r="B49" t="str">
        <v>Urko</v>
      </c>
      <c r="C49" s="1">
        <v>45920</v>
      </c>
      <c r="D49" s="2">
        <v>1427461</v>
      </c>
      <c r="E49" t="str">
        <f t="shared" si="0"/>
        <v/>
      </c>
      <c r="K49" t="str">
        <v>Iván Romero</v>
      </c>
      <c r="L49" t="str">
        <v>DEL</v>
      </c>
      <c r="M49" s="1">
        <v>45941</v>
      </c>
      <c r="N49" s="2">
        <v>10073333</v>
      </c>
    </row>
    <row r="50" spans="1:14" x14ac:dyDescent="0.25">
      <c r="A50" t="str">
        <v>MED</v>
      </c>
      <c r="B50" t="str">
        <v>Javi Guerra</v>
      </c>
      <c r="C50" s="1">
        <v>45922</v>
      </c>
      <c r="D50" s="2">
        <v>33365531</v>
      </c>
      <c r="E50" t="str">
        <f t="shared" si="0"/>
        <v/>
      </c>
      <c r="K50" t="str">
        <v>Edu Expósito</v>
      </c>
      <c r="L50" t="str">
        <v>MED</v>
      </c>
      <c r="M50" s="1">
        <v>45944</v>
      </c>
      <c r="N50" s="2">
        <v>22875987</v>
      </c>
    </row>
    <row r="51" spans="1:14" x14ac:dyDescent="0.25">
      <c r="A51" t="str">
        <v>DEF</v>
      </c>
      <c r="B51" t="str">
        <v>Paredes</v>
      </c>
      <c r="C51" s="1">
        <v>45922</v>
      </c>
      <c r="D51" s="2">
        <v>31497526</v>
      </c>
      <c r="E51" t="str">
        <f t="shared" si="0"/>
        <v/>
      </c>
      <c r="K51" t="str">
        <v>Urko</v>
      </c>
      <c r="L51" t="str">
        <v>MED</v>
      </c>
      <c r="M51" s="1">
        <v>45944</v>
      </c>
      <c r="N51" s="2">
        <v>1427461</v>
      </c>
    </row>
    <row r="52" spans="1:14" x14ac:dyDescent="0.25">
      <c r="A52" t="str">
        <v>DEL</v>
      </c>
      <c r="B52" t="str">
        <v>Alvarez</v>
      </c>
      <c r="C52" s="1">
        <v>45923</v>
      </c>
      <c r="D52" s="2">
        <v>77951254</v>
      </c>
      <c r="E52" t="str">
        <f t="shared" si="0"/>
        <v/>
      </c>
      <c r="K52" t="str">
        <v>Víctor Muñoz</v>
      </c>
      <c r="L52" t="str">
        <v>DEL</v>
      </c>
      <c r="M52" s="1">
        <v>45951</v>
      </c>
      <c r="N52" s="2">
        <v>13159467</v>
      </c>
    </row>
    <row r="53" spans="1:14" x14ac:dyDescent="0.25">
      <c r="A53" t="str">
        <v>MED</v>
      </c>
      <c r="B53" t="str">
        <v>Pedro Díaz</v>
      </c>
      <c r="C53" s="1">
        <v>45925</v>
      </c>
      <c r="D53" s="2">
        <v>3201101</v>
      </c>
      <c r="E53" t="str">
        <f t="shared" si="0"/>
        <v/>
      </c>
      <c r="K53" t="str">
        <v>Javi Guerra</v>
      </c>
      <c r="L53" t="str">
        <v>MED</v>
      </c>
      <c r="M53" s="1">
        <v>45952</v>
      </c>
      <c r="N53" s="2">
        <v>18037449</v>
      </c>
    </row>
    <row r="54" spans="1:14" x14ac:dyDescent="0.25">
      <c r="A54" t="str">
        <v>DEL</v>
      </c>
      <c r="B54" t="str">
        <v>Iván Romero</v>
      </c>
      <c r="C54" s="1">
        <v>45927</v>
      </c>
      <c r="D54" s="2">
        <v>5987878</v>
      </c>
      <c r="E54" t="str">
        <f t="shared" si="0"/>
        <v/>
      </c>
      <c r="K54" t="str">
        <v>Pedro Díaz</v>
      </c>
      <c r="L54" t="str">
        <v>MED</v>
      </c>
      <c r="M54" s="1">
        <v>45952</v>
      </c>
      <c r="N54" s="2">
        <v>3201101</v>
      </c>
    </row>
    <row r="55" spans="1:14" x14ac:dyDescent="0.25">
      <c r="A55" t="str">
        <v>DEF</v>
      </c>
      <c r="B55" t="str">
        <v>Affengruber</v>
      </c>
      <c r="C55" s="1">
        <v>45929</v>
      </c>
      <c r="D55" s="2">
        <v>31890001</v>
      </c>
      <c r="E55" t="str">
        <f t="shared" si="0"/>
        <v>X</v>
      </c>
      <c r="K55" t="str">
        <v>Valjent</v>
      </c>
      <c r="L55" t="str">
        <v>DEF</v>
      </c>
      <c r="M55" s="1">
        <v>45952</v>
      </c>
      <c r="N55" s="2">
        <v>7108000</v>
      </c>
    </row>
    <row r="56" spans="1:14" x14ac:dyDescent="0.25">
      <c r="A56" t="str">
        <v>MED</v>
      </c>
      <c r="B56" t="str">
        <v>Edu Expósito</v>
      </c>
      <c r="C56" s="1">
        <v>45929</v>
      </c>
      <c r="D56" s="2">
        <v>22875987</v>
      </c>
      <c r="E56" t="str">
        <f t="shared" si="0"/>
        <v/>
      </c>
      <c r="K56" t="str">
        <v>Hancko</v>
      </c>
      <c r="L56" t="str">
        <v>DEF</v>
      </c>
      <c r="M56" s="1">
        <v>45952</v>
      </c>
      <c r="N56" s="2">
        <v>20000000</v>
      </c>
    </row>
    <row r="57" spans="1:14" x14ac:dyDescent="0.25">
      <c r="A57" t="str">
        <v>DEF</v>
      </c>
      <c r="B57" t="str">
        <v>Pubill</v>
      </c>
      <c r="C57" s="1">
        <v>45930</v>
      </c>
      <c r="D57" s="2">
        <v>1478279</v>
      </c>
      <c r="E57" t="str">
        <f t="shared" si="0"/>
        <v>X</v>
      </c>
      <c r="K57" t="str">
        <v>Rashford</v>
      </c>
      <c r="L57" t="str">
        <v>DEL</v>
      </c>
      <c r="M57" s="1">
        <v>45956</v>
      </c>
      <c r="N57" s="2">
        <v>91655316</v>
      </c>
    </row>
    <row r="58" spans="1:14" x14ac:dyDescent="0.25">
      <c r="A58" t="str">
        <v>DEF</v>
      </c>
      <c r="B58" t="str">
        <v>Boyomo</v>
      </c>
      <c r="C58" s="1">
        <v>45931</v>
      </c>
      <c r="D58" s="2">
        <v>26929228</v>
      </c>
      <c r="E58" t="str">
        <f t="shared" si="0"/>
        <v>X</v>
      </c>
      <c r="K58" t="str">
        <v>Femenia</v>
      </c>
      <c r="L58" t="str">
        <v>DEF</v>
      </c>
      <c r="M58" s="1">
        <v>45958</v>
      </c>
      <c r="N58" s="2">
        <v>6501001</v>
      </c>
    </row>
    <row r="59" spans="1:14" x14ac:dyDescent="0.25">
      <c r="A59" t="str">
        <v>DEL</v>
      </c>
      <c r="B59" t="str">
        <v>Alemão</v>
      </c>
      <c r="C59" s="1">
        <v>45932</v>
      </c>
      <c r="D59" s="2">
        <v>5000000</v>
      </c>
      <c r="E59" t="str">
        <f t="shared" si="0"/>
        <v/>
      </c>
      <c r="K59" t="str">
        <v>Eric García</v>
      </c>
      <c r="L59" t="str">
        <v>DEF</v>
      </c>
      <c r="M59" s="1">
        <v>45959</v>
      </c>
      <c r="N59" s="2">
        <v>46957357</v>
      </c>
    </row>
    <row r="60" spans="1:14" x14ac:dyDescent="0.25">
      <c r="A60" t="str">
        <v>DEF</v>
      </c>
      <c r="B60" t="str">
        <v>Femenia</v>
      </c>
      <c r="C60" s="1">
        <v>45932</v>
      </c>
      <c r="D60" s="2">
        <v>6501001</v>
      </c>
      <c r="E60" t="str">
        <f t="shared" si="0"/>
        <v/>
      </c>
      <c r="K60" t="str">
        <v>Bellingham</v>
      </c>
      <c r="L60" t="str">
        <v>MED</v>
      </c>
      <c r="M60" s="1">
        <v>45959</v>
      </c>
      <c r="N60" s="2">
        <v>115026806</v>
      </c>
    </row>
    <row r="61" spans="1:14" x14ac:dyDescent="0.25">
      <c r="A61" t="str">
        <v>DEL</v>
      </c>
      <c r="B61" t="str">
        <v>Víctor Muñoz</v>
      </c>
      <c r="C61" s="1">
        <v>45932</v>
      </c>
      <c r="D61" s="2">
        <v>13159467</v>
      </c>
      <c r="E61" t="str">
        <f t="shared" si="0"/>
        <v/>
      </c>
      <c r="K61" t="str">
        <v>Alvarez</v>
      </c>
      <c r="L61" t="str">
        <v>DEL</v>
      </c>
      <c r="M61" s="1">
        <v>45959</v>
      </c>
      <c r="N61" s="2">
        <v>162334907</v>
      </c>
    </row>
    <row r="62" spans="1:14" x14ac:dyDescent="0.25">
      <c r="A62" t="str">
        <v>DEL</v>
      </c>
      <c r="B62" t="str">
        <v>Antony</v>
      </c>
      <c r="C62" s="1">
        <v>45933</v>
      </c>
      <c r="D62" s="2">
        <v>83626346</v>
      </c>
      <c r="E62" t="str">
        <f t="shared" si="0"/>
        <v/>
      </c>
      <c r="K62" t="str">
        <v>Alemão</v>
      </c>
      <c r="L62" t="str">
        <v>DEL</v>
      </c>
      <c r="M62" s="1">
        <v>45959</v>
      </c>
      <c r="N62" s="2">
        <v>5000000</v>
      </c>
    </row>
    <row r="63" spans="1:14" x14ac:dyDescent="0.25">
      <c r="A63" t="str">
        <v>DEL</v>
      </c>
      <c r="B63" t="str">
        <v>Rashford</v>
      </c>
      <c r="C63" s="1">
        <v>45934</v>
      </c>
      <c r="D63" s="2">
        <v>66100000</v>
      </c>
      <c r="E63" t="str">
        <f t="shared" si="0"/>
        <v/>
      </c>
      <c r="K63" t="str">
        <v>Koke</v>
      </c>
      <c r="L63" t="str">
        <v>MED</v>
      </c>
      <c r="M63" s="1">
        <v>45964</v>
      </c>
      <c r="N63" s="2">
        <v>13000000</v>
      </c>
    </row>
    <row r="64" spans="1:14" x14ac:dyDescent="0.25">
      <c r="A64" t="str">
        <v>DEF</v>
      </c>
      <c r="B64" t="str">
        <v>Eric García</v>
      </c>
      <c r="C64" s="1">
        <v>45935</v>
      </c>
      <c r="D64" s="2">
        <v>45306673</v>
      </c>
      <c r="E64" t="str">
        <f t="shared" si="0"/>
        <v>X</v>
      </c>
      <c r="K64" t="str">
        <v>De Frutos</v>
      </c>
      <c r="L64" t="str">
        <v>DEL</v>
      </c>
      <c r="M64" s="1">
        <v>45964</v>
      </c>
      <c r="N64" s="2">
        <v>57809088</v>
      </c>
    </row>
    <row r="65" spans="1:14" x14ac:dyDescent="0.25">
      <c r="A65" t="str">
        <v>DEF</v>
      </c>
      <c r="B65" t="str">
        <v>Valjent</v>
      </c>
      <c r="C65" s="1">
        <v>45937</v>
      </c>
      <c r="D65" s="2">
        <v>7108000</v>
      </c>
      <c r="E65" t="str">
        <f t="shared" si="0"/>
        <v/>
      </c>
      <c r="K65" t="str">
        <v>Almada</v>
      </c>
      <c r="L65" t="str">
        <v>MED</v>
      </c>
      <c r="M65" s="1">
        <v>45965</v>
      </c>
      <c r="N65" s="2">
        <v>20000000</v>
      </c>
    </row>
    <row r="66" spans="1:14" x14ac:dyDescent="0.25">
      <c r="A66" t="str">
        <v>MED</v>
      </c>
      <c r="B66" t="str">
        <v>Bellingham</v>
      </c>
      <c r="C66" s="1">
        <v>45937</v>
      </c>
      <c r="D66" s="2">
        <v>81008927</v>
      </c>
      <c r="E66" t="str">
        <f t="shared" si="0"/>
        <v/>
      </c>
    </row>
    <row r="67" spans="1:14" x14ac:dyDescent="0.25">
      <c r="A67" t="str">
        <v>DEF</v>
      </c>
      <c r="B67" t="str">
        <v>Hancko</v>
      </c>
      <c r="C67" s="1">
        <v>45938</v>
      </c>
      <c r="D67" s="2">
        <v>20000000</v>
      </c>
      <c r="E67" t="str">
        <f t="shared" si="0"/>
        <v/>
      </c>
    </row>
    <row r="68" spans="1:14" x14ac:dyDescent="0.25">
      <c r="A68" t="str">
        <v>MED</v>
      </c>
      <c r="B68" t="str">
        <v>Koke</v>
      </c>
      <c r="C68" s="1">
        <v>45947</v>
      </c>
      <c r="D68" s="2">
        <v>13000000</v>
      </c>
      <c r="E68" t="str">
        <f t="shared" ref="E68:E131" si="5">IF(B68="","",IFERROR(
   IF(
      (VLOOKUP(B68,K:N,3,FALSE)) &lt; C68,
      "X",
      ""
   ),
   "X")
)</f>
        <v>X</v>
      </c>
    </row>
    <row r="69" spans="1:14" x14ac:dyDescent="0.25">
      <c r="A69" t="str">
        <v>MED</v>
      </c>
      <c r="B69" t="str">
        <v>Almada</v>
      </c>
      <c r="C69" s="1">
        <v>45951</v>
      </c>
      <c r="D69" s="2">
        <v>20000000</v>
      </c>
      <c r="E69" t="str">
        <f t="shared" si="5"/>
        <v>X</v>
      </c>
    </row>
    <row r="70" spans="1:14" x14ac:dyDescent="0.25">
      <c r="A70" t="str">
        <v>DEF</v>
      </c>
      <c r="B70" t="str">
        <v>Riedel</v>
      </c>
      <c r="C70" s="1">
        <v>45952</v>
      </c>
      <c r="D70" s="2">
        <v>18745874</v>
      </c>
      <c r="E70" t="str">
        <f t="shared" si="5"/>
        <v>X</v>
      </c>
    </row>
    <row r="71" spans="1:14" x14ac:dyDescent="0.25">
      <c r="A71" t="str">
        <v>MED</v>
      </c>
      <c r="B71" t="str">
        <v>Febas</v>
      </c>
      <c r="C71" s="1">
        <v>45953</v>
      </c>
      <c r="D71" s="2">
        <v>23210100</v>
      </c>
      <c r="E71" t="str">
        <f t="shared" si="5"/>
        <v>X</v>
      </c>
    </row>
    <row r="72" spans="1:14" x14ac:dyDescent="0.25">
      <c r="A72" t="str">
        <v>MED</v>
      </c>
      <c r="B72" t="str">
        <v>Baena</v>
      </c>
      <c r="C72" s="1">
        <v>45956</v>
      </c>
      <c r="D72" s="2">
        <v>77310010</v>
      </c>
      <c r="E72" t="str">
        <f t="shared" si="5"/>
        <v>X</v>
      </c>
    </row>
    <row r="73" spans="1:14" x14ac:dyDescent="0.25">
      <c r="A73" t="str">
        <v>DEF</v>
      </c>
      <c r="B73" t="str">
        <v>M. Llorente</v>
      </c>
      <c r="C73" s="1">
        <v>45959</v>
      </c>
      <c r="D73" s="2">
        <v>70081501</v>
      </c>
      <c r="E73" t="str">
        <f t="shared" si="5"/>
        <v>X</v>
      </c>
    </row>
    <row r="74" spans="1:14" x14ac:dyDescent="0.25">
      <c r="A74" t="str">
        <v>DEL</v>
      </c>
      <c r="B74" t="str">
        <v>Etta Eyong</v>
      </c>
      <c r="C74" s="1">
        <v>45959</v>
      </c>
      <c r="D74" s="2">
        <v>110031134</v>
      </c>
      <c r="E74" t="str">
        <f t="shared" si="5"/>
        <v>X</v>
      </c>
    </row>
    <row r="75" spans="1:14" x14ac:dyDescent="0.25">
      <c r="A75" t="str">
        <v>DEL</v>
      </c>
      <c r="B75" t="str">
        <v>De Frutos</v>
      </c>
      <c r="C75" s="1">
        <v>45959</v>
      </c>
      <c r="D75" s="2">
        <v>55082664</v>
      </c>
      <c r="E75" t="str">
        <f t="shared" si="5"/>
        <v>X</v>
      </c>
    </row>
    <row r="76" spans="1:14" x14ac:dyDescent="0.25">
      <c r="A76" t="str">
        <v>DEF</v>
      </c>
      <c r="B76" t="str">
        <v>Vivian</v>
      </c>
      <c r="C76" s="1">
        <v>45959</v>
      </c>
      <c r="D76" s="2">
        <v>39200833</v>
      </c>
      <c r="E76" t="str">
        <f t="shared" si="5"/>
        <v>X</v>
      </c>
    </row>
    <row r="77" spans="1:14" x14ac:dyDescent="0.25">
      <c r="A77" t="str">
        <v>MED</v>
      </c>
      <c r="B77" t="str">
        <v>Fermín</v>
      </c>
      <c r="C77" s="1">
        <v>45964</v>
      </c>
      <c r="D77" s="2">
        <v>55222222</v>
      </c>
      <c r="E77" t="str">
        <f t="shared" si="5"/>
        <v>X</v>
      </c>
    </row>
    <row r="78" spans="1:14" x14ac:dyDescent="0.25">
      <c r="A78" t="str">
        <v>DEL</v>
      </c>
      <c r="B78" t="str">
        <v>Jutglà</v>
      </c>
      <c r="C78" s="1">
        <v>45966</v>
      </c>
      <c r="D78" s="2">
        <v>4100000</v>
      </c>
      <c r="E78" t="str">
        <f t="shared" si="5"/>
        <v>X</v>
      </c>
    </row>
    <row r="79" spans="1:14" x14ac:dyDescent="0.25">
      <c r="A79" t="str">
        <v>DEF</v>
      </c>
      <c r="B79" t="str">
        <v>Hancko</v>
      </c>
      <c r="C79" s="1">
        <v>45966</v>
      </c>
      <c r="D79" s="2">
        <v>20000000</v>
      </c>
      <c r="E79" t="str">
        <f t="shared" si="5"/>
        <v>X</v>
      </c>
    </row>
    <row r="80" spans="1:14" x14ac:dyDescent="0.25">
      <c r="A80" t="str">
        <v>MED</v>
      </c>
      <c r="B80" t="str">
        <v>Moleiro</v>
      </c>
      <c r="C80" s="1">
        <v>45969</v>
      </c>
      <c r="D80" s="2">
        <v>40174874</v>
      </c>
      <c r="E80" t="str">
        <f t="shared" si="5"/>
        <v>X</v>
      </c>
    </row>
    <row r="81" spans="1:5" x14ac:dyDescent="0.25">
      <c r="A81" t="str">
        <v>MED</v>
      </c>
      <c r="B81" t="str">
        <v>Samú</v>
      </c>
      <c r="C81" s="1">
        <v>45970</v>
      </c>
      <c r="D81" s="2">
        <v>7874521</v>
      </c>
      <c r="E81" t="str">
        <f t="shared" si="5"/>
        <v>X</v>
      </c>
    </row>
    <row r="82" spans="1:5" x14ac:dyDescent="0.25">
      <c r="E82" t="str">
        <f t="shared" si="5"/>
        <v/>
      </c>
    </row>
    <row r="83" spans="1:5" x14ac:dyDescent="0.25">
      <c r="E83" t="str">
        <f t="shared" si="5"/>
        <v/>
      </c>
    </row>
    <row r="84" spans="1:5" x14ac:dyDescent="0.25">
      <c r="E84" t="str">
        <f t="shared" si="5"/>
        <v/>
      </c>
    </row>
    <row r="85" spans="1:5" x14ac:dyDescent="0.25">
      <c r="E85" t="str">
        <f t="shared" si="5"/>
        <v/>
      </c>
    </row>
    <row r="86" spans="1:5" x14ac:dyDescent="0.25">
      <c r="E86" t="str">
        <f t="shared" si="5"/>
        <v/>
      </c>
    </row>
    <row r="87" spans="1:5" x14ac:dyDescent="0.25">
      <c r="E87" t="str">
        <f t="shared" si="5"/>
        <v/>
      </c>
    </row>
    <row r="88" spans="1:5" x14ac:dyDescent="0.25">
      <c r="E88" t="str">
        <f t="shared" si="5"/>
        <v/>
      </c>
    </row>
    <row r="89" spans="1:5" x14ac:dyDescent="0.25">
      <c r="E89" t="str">
        <f t="shared" si="5"/>
        <v/>
      </c>
    </row>
    <row r="90" spans="1:5" x14ac:dyDescent="0.25">
      <c r="E90" t="str">
        <f t="shared" si="5"/>
        <v/>
      </c>
    </row>
    <row r="91" spans="1:5" x14ac:dyDescent="0.25">
      <c r="E91" t="str">
        <f t="shared" si="5"/>
        <v/>
      </c>
    </row>
    <row r="92" spans="1:5" x14ac:dyDescent="0.25">
      <c r="E92" t="str">
        <f t="shared" si="5"/>
        <v/>
      </c>
    </row>
    <row r="93" spans="1:5" x14ac:dyDescent="0.25">
      <c r="E93" t="str">
        <f t="shared" si="5"/>
        <v/>
      </c>
    </row>
    <row r="94" spans="1:5" x14ac:dyDescent="0.25">
      <c r="E94" t="str">
        <f t="shared" si="5"/>
        <v/>
      </c>
    </row>
    <row r="95" spans="1:5" x14ac:dyDescent="0.25">
      <c r="E95" t="str">
        <f t="shared" si="5"/>
        <v/>
      </c>
    </row>
    <row r="96" spans="1:5" x14ac:dyDescent="0.25">
      <c r="E96" t="str">
        <f t="shared" si="5"/>
        <v/>
      </c>
    </row>
    <row r="97" spans="5:5" x14ac:dyDescent="0.25">
      <c r="E97" t="str">
        <f t="shared" si="5"/>
        <v/>
      </c>
    </row>
    <row r="98" spans="5:5" x14ac:dyDescent="0.25">
      <c r="E98" t="str">
        <f t="shared" si="5"/>
        <v/>
      </c>
    </row>
    <row r="99" spans="5:5" x14ac:dyDescent="0.25">
      <c r="E99" t="str">
        <f t="shared" si="5"/>
        <v/>
      </c>
    </row>
    <row r="100" spans="5:5" x14ac:dyDescent="0.25">
      <c r="E100" t="str">
        <f t="shared" si="5"/>
        <v/>
      </c>
    </row>
    <row r="101" spans="5:5" x14ac:dyDescent="0.25">
      <c r="E101" t="str">
        <f t="shared" si="5"/>
        <v/>
      </c>
    </row>
    <row r="102" spans="5:5" x14ac:dyDescent="0.25">
      <c r="E102" t="str">
        <f t="shared" si="5"/>
        <v/>
      </c>
    </row>
    <row r="103" spans="5:5" x14ac:dyDescent="0.25">
      <c r="E103" t="str">
        <f t="shared" si="5"/>
        <v/>
      </c>
    </row>
    <row r="104" spans="5:5" x14ac:dyDescent="0.25">
      <c r="E104" t="str">
        <f t="shared" si="5"/>
        <v/>
      </c>
    </row>
    <row r="105" spans="5:5" x14ac:dyDescent="0.25">
      <c r="E105" t="str">
        <f t="shared" si="5"/>
        <v/>
      </c>
    </row>
    <row r="106" spans="5:5" x14ac:dyDescent="0.25">
      <c r="E106" t="str">
        <f t="shared" si="5"/>
        <v/>
      </c>
    </row>
    <row r="107" spans="5:5" x14ac:dyDescent="0.25">
      <c r="E107" t="str">
        <f t="shared" si="5"/>
        <v/>
      </c>
    </row>
    <row r="108" spans="5:5" x14ac:dyDescent="0.25">
      <c r="E108" t="str">
        <f t="shared" si="5"/>
        <v/>
      </c>
    </row>
    <row r="109" spans="5:5" x14ac:dyDescent="0.25">
      <c r="E109" t="str">
        <f t="shared" si="5"/>
        <v/>
      </c>
    </row>
    <row r="110" spans="5:5" x14ac:dyDescent="0.25">
      <c r="E110" t="str">
        <f t="shared" si="5"/>
        <v/>
      </c>
    </row>
    <row r="111" spans="5:5" x14ac:dyDescent="0.25">
      <c r="E111" t="str">
        <f t="shared" si="5"/>
        <v/>
      </c>
    </row>
    <row r="112" spans="5:5" x14ac:dyDescent="0.25">
      <c r="E112" t="str">
        <f t="shared" si="5"/>
        <v/>
      </c>
    </row>
    <row r="113" spans="5:5" x14ac:dyDescent="0.25">
      <c r="E113" t="str">
        <f t="shared" si="5"/>
        <v/>
      </c>
    </row>
    <row r="114" spans="5:5" x14ac:dyDescent="0.25">
      <c r="E114" t="str">
        <f t="shared" si="5"/>
        <v/>
      </c>
    </row>
    <row r="115" spans="5:5" x14ac:dyDescent="0.25">
      <c r="E115" t="str">
        <f t="shared" si="5"/>
        <v/>
      </c>
    </row>
    <row r="116" spans="5:5" x14ac:dyDescent="0.25">
      <c r="E116" t="str">
        <f t="shared" si="5"/>
        <v/>
      </c>
    </row>
    <row r="117" spans="5:5" x14ac:dyDescent="0.25">
      <c r="E117" t="str">
        <f t="shared" si="5"/>
        <v/>
      </c>
    </row>
    <row r="118" spans="5:5" x14ac:dyDescent="0.25">
      <c r="E118" t="str">
        <f t="shared" si="5"/>
        <v/>
      </c>
    </row>
    <row r="119" spans="5:5" x14ac:dyDescent="0.25">
      <c r="E119" t="str">
        <f t="shared" si="5"/>
        <v/>
      </c>
    </row>
    <row r="120" spans="5:5" x14ac:dyDescent="0.25">
      <c r="E120" t="str">
        <f t="shared" si="5"/>
        <v/>
      </c>
    </row>
    <row r="121" spans="5:5" x14ac:dyDescent="0.25">
      <c r="E121" t="str">
        <f t="shared" si="5"/>
        <v/>
      </c>
    </row>
    <row r="122" spans="5:5" x14ac:dyDescent="0.25">
      <c r="E122" t="str">
        <f t="shared" si="5"/>
        <v/>
      </c>
    </row>
    <row r="123" spans="5:5" x14ac:dyDescent="0.25">
      <c r="E123" t="str">
        <f t="shared" si="5"/>
        <v/>
      </c>
    </row>
    <row r="124" spans="5:5" x14ac:dyDescent="0.25">
      <c r="E124" t="str">
        <f t="shared" si="5"/>
        <v/>
      </c>
    </row>
    <row r="125" spans="5:5" x14ac:dyDescent="0.25">
      <c r="E125" t="str">
        <f t="shared" si="5"/>
        <v/>
      </c>
    </row>
    <row r="126" spans="5:5" x14ac:dyDescent="0.25">
      <c r="E126" t="str">
        <f t="shared" si="5"/>
        <v/>
      </c>
    </row>
    <row r="127" spans="5:5" x14ac:dyDescent="0.25">
      <c r="E127" t="str">
        <f t="shared" si="5"/>
        <v/>
      </c>
    </row>
    <row r="128" spans="5:5" x14ac:dyDescent="0.25">
      <c r="E128" t="str">
        <f t="shared" si="5"/>
        <v/>
      </c>
    </row>
    <row r="129" spans="5:5" x14ac:dyDescent="0.25">
      <c r="E129" t="str">
        <f t="shared" si="5"/>
        <v/>
      </c>
    </row>
    <row r="130" spans="5:5" x14ac:dyDescent="0.25">
      <c r="E130" t="str">
        <f t="shared" si="5"/>
        <v/>
      </c>
    </row>
    <row r="131" spans="5:5" x14ac:dyDescent="0.25">
      <c r="E131" t="str">
        <f t="shared" si="5"/>
        <v/>
      </c>
    </row>
    <row r="132" spans="5:5" x14ac:dyDescent="0.25">
      <c r="E132" t="str">
        <f t="shared" ref="E132:E195" si="6">IF(B132="","",IFERROR(
   IF(
      (VLOOKUP(B132,K:N,3,FALSE)) &lt; C132,
      "X",
      ""
   ),
   "X")
)</f>
        <v/>
      </c>
    </row>
    <row r="133" spans="5:5" x14ac:dyDescent="0.25">
      <c r="E133" t="str">
        <f t="shared" si="6"/>
        <v/>
      </c>
    </row>
    <row r="134" spans="5:5" x14ac:dyDescent="0.25">
      <c r="E134" t="str">
        <f t="shared" si="6"/>
        <v/>
      </c>
    </row>
    <row r="135" spans="5:5" x14ac:dyDescent="0.25">
      <c r="E135" t="str">
        <f t="shared" si="6"/>
        <v/>
      </c>
    </row>
    <row r="136" spans="5:5" x14ac:dyDescent="0.25">
      <c r="E136" t="str">
        <f t="shared" si="6"/>
        <v/>
      </c>
    </row>
    <row r="137" spans="5:5" x14ac:dyDescent="0.25">
      <c r="E137" t="str">
        <f t="shared" si="6"/>
        <v/>
      </c>
    </row>
    <row r="138" spans="5:5" x14ac:dyDescent="0.25">
      <c r="E138" t="str">
        <f t="shared" si="6"/>
        <v/>
      </c>
    </row>
    <row r="139" spans="5:5" x14ac:dyDescent="0.25">
      <c r="E139" t="str">
        <f t="shared" si="6"/>
        <v/>
      </c>
    </row>
    <row r="140" spans="5:5" x14ac:dyDescent="0.25">
      <c r="E140" t="str">
        <f t="shared" si="6"/>
        <v/>
      </c>
    </row>
    <row r="141" spans="5:5" x14ac:dyDescent="0.25">
      <c r="E141" t="str">
        <f t="shared" si="6"/>
        <v/>
      </c>
    </row>
    <row r="142" spans="5:5" x14ac:dyDescent="0.25">
      <c r="E142" t="str">
        <f t="shared" si="6"/>
        <v/>
      </c>
    </row>
    <row r="143" spans="5:5" x14ac:dyDescent="0.25">
      <c r="E143" t="str">
        <f t="shared" si="6"/>
        <v/>
      </c>
    </row>
    <row r="144" spans="5:5" x14ac:dyDescent="0.25">
      <c r="E144" t="str">
        <f t="shared" si="6"/>
        <v/>
      </c>
    </row>
    <row r="145" spans="5:5" x14ac:dyDescent="0.25">
      <c r="E145" t="str">
        <f t="shared" si="6"/>
        <v/>
      </c>
    </row>
    <row r="146" spans="5:5" x14ac:dyDescent="0.25">
      <c r="E146" t="str">
        <f t="shared" si="6"/>
        <v/>
      </c>
    </row>
    <row r="147" spans="5:5" x14ac:dyDescent="0.25">
      <c r="E147" t="str">
        <f t="shared" si="6"/>
        <v/>
      </c>
    </row>
    <row r="148" spans="5:5" x14ac:dyDescent="0.25">
      <c r="E148" t="str">
        <f t="shared" si="6"/>
        <v/>
      </c>
    </row>
    <row r="149" spans="5:5" x14ac:dyDescent="0.25">
      <c r="E149" t="str">
        <f t="shared" si="6"/>
        <v/>
      </c>
    </row>
    <row r="150" spans="5:5" x14ac:dyDescent="0.25">
      <c r="E150" t="str">
        <f t="shared" si="6"/>
        <v/>
      </c>
    </row>
    <row r="151" spans="5:5" x14ac:dyDescent="0.25">
      <c r="E151" t="str">
        <f t="shared" si="6"/>
        <v/>
      </c>
    </row>
    <row r="152" spans="5:5" x14ac:dyDescent="0.25">
      <c r="E152" t="str">
        <f t="shared" si="6"/>
        <v/>
      </c>
    </row>
    <row r="153" spans="5:5" x14ac:dyDescent="0.25">
      <c r="E153" t="str">
        <f t="shared" si="6"/>
        <v/>
      </c>
    </row>
    <row r="154" spans="5:5" x14ac:dyDescent="0.25">
      <c r="E154" t="str">
        <f t="shared" si="6"/>
        <v/>
      </c>
    </row>
    <row r="155" spans="5:5" x14ac:dyDescent="0.25">
      <c r="E155" t="str">
        <f t="shared" si="6"/>
        <v/>
      </c>
    </row>
    <row r="156" spans="5:5" x14ac:dyDescent="0.25">
      <c r="E156" t="str">
        <f t="shared" si="6"/>
        <v/>
      </c>
    </row>
    <row r="157" spans="5:5" x14ac:dyDescent="0.25">
      <c r="E157" t="str">
        <f t="shared" si="6"/>
        <v/>
      </c>
    </row>
    <row r="158" spans="5:5" x14ac:dyDescent="0.25">
      <c r="E158" t="str">
        <f t="shared" si="6"/>
        <v/>
      </c>
    </row>
    <row r="159" spans="5:5" x14ac:dyDescent="0.25">
      <c r="E159" t="str">
        <f t="shared" si="6"/>
        <v/>
      </c>
    </row>
    <row r="160" spans="5:5" x14ac:dyDescent="0.25">
      <c r="E160" t="str">
        <f t="shared" si="6"/>
        <v/>
      </c>
    </row>
    <row r="161" spans="5:5" x14ac:dyDescent="0.25">
      <c r="E161" t="str">
        <f t="shared" si="6"/>
        <v/>
      </c>
    </row>
    <row r="162" spans="5:5" x14ac:dyDescent="0.25">
      <c r="E162" t="str">
        <f t="shared" si="6"/>
        <v/>
      </c>
    </row>
    <row r="163" spans="5:5" x14ac:dyDescent="0.25">
      <c r="E163" t="str">
        <f t="shared" si="6"/>
        <v/>
      </c>
    </row>
    <row r="164" spans="5:5" x14ac:dyDescent="0.25">
      <c r="E164" t="str">
        <f t="shared" si="6"/>
        <v/>
      </c>
    </row>
    <row r="165" spans="5:5" x14ac:dyDescent="0.25">
      <c r="E165" t="str">
        <f t="shared" si="6"/>
        <v/>
      </c>
    </row>
    <row r="166" spans="5:5" x14ac:dyDescent="0.25">
      <c r="E166" t="str">
        <f t="shared" si="6"/>
        <v/>
      </c>
    </row>
    <row r="167" spans="5:5" x14ac:dyDescent="0.25">
      <c r="E167" t="str">
        <f t="shared" si="6"/>
        <v/>
      </c>
    </row>
    <row r="168" spans="5:5" x14ac:dyDescent="0.25">
      <c r="E168" t="str">
        <f t="shared" si="6"/>
        <v/>
      </c>
    </row>
    <row r="169" spans="5:5" x14ac:dyDescent="0.25">
      <c r="E169" t="str">
        <f t="shared" si="6"/>
        <v/>
      </c>
    </row>
    <row r="170" spans="5:5" x14ac:dyDescent="0.25">
      <c r="E170" t="str">
        <f t="shared" si="6"/>
        <v/>
      </c>
    </row>
    <row r="171" spans="5:5" x14ac:dyDescent="0.25">
      <c r="E171" t="str">
        <f t="shared" si="6"/>
        <v/>
      </c>
    </row>
    <row r="172" spans="5:5" x14ac:dyDescent="0.25">
      <c r="E172" t="str">
        <f t="shared" si="6"/>
        <v/>
      </c>
    </row>
    <row r="173" spans="5:5" x14ac:dyDescent="0.25">
      <c r="E173" t="str">
        <f t="shared" si="6"/>
        <v/>
      </c>
    </row>
    <row r="174" spans="5:5" x14ac:dyDescent="0.25">
      <c r="E174" t="str">
        <f t="shared" si="6"/>
        <v/>
      </c>
    </row>
    <row r="175" spans="5:5" x14ac:dyDescent="0.25">
      <c r="E175" t="str">
        <f t="shared" si="6"/>
        <v/>
      </c>
    </row>
    <row r="176" spans="5:5" x14ac:dyDescent="0.25">
      <c r="E176" t="str">
        <f t="shared" si="6"/>
        <v/>
      </c>
    </row>
    <row r="177" spans="5:5" x14ac:dyDescent="0.25">
      <c r="E177" t="str">
        <f t="shared" si="6"/>
        <v/>
      </c>
    </row>
    <row r="178" spans="5:5" x14ac:dyDescent="0.25">
      <c r="E178" t="str">
        <f t="shared" si="6"/>
        <v/>
      </c>
    </row>
    <row r="179" spans="5:5" x14ac:dyDescent="0.25">
      <c r="E179" t="str">
        <f t="shared" si="6"/>
        <v/>
      </c>
    </row>
    <row r="180" spans="5:5" x14ac:dyDescent="0.25">
      <c r="E180" t="str">
        <f t="shared" si="6"/>
        <v/>
      </c>
    </row>
    <row r="181" spans="5:5" x14ac:dyDescent="0.25">
      <c r="E181" t="str">
        <f t="shared" si="6"/>
        <v/>
      </c>
    </row>
    <row r="182" spans="5:5" x14ac:dyDescent="0.25">
      <c r="E182" t="str">
        <f t="shared" si="6"/>
        <v/>
      </c>
    </row>
    <row r="183" spans="5:5" x14ac:dyDescent="0.25">
      <c r="E183" t="str">
        <f t="shared" si="6"/>
        <v/>
      </c>
    </row>
    <row r="184" spans="5:5" x14ac:dyDescent="0.25">
      <c r="E184" t="str">
        <f t="shared" si="6"/>
        <v/>
      </c>
    </row>
    <row r="185" spans="5:5" x14ac:dyDescent="0.25">
      <c r="E185" t="str">
        <f t="shared" si="6"/>
        <v/>
      </c>
    </row>
    <row r="186" spans="5:5" x14ac:dyDescent="0.25">
      <c r="E186" t="str">
        <f t="shared" si="6"/>
        <v/>
      </c>
    </row>
    <row r="187" spans="5:5" x14ac:dyDescent="0.25">
      <c r="E187" t="str">
        <f t="shared" si="6"/>
        <v/>
      </c>
    </row>
    <row r="188" spans="5:5" x14ac:dyDescent="0.25">
      <c r="E188" t="str">
        <f t="shared" si="6"/>
        <v/>
      </c>
    </row>
    <row r="189" spans="5:5" x14ac:dyDescent="0.25">
      <c r="E189" t="str">
        <f t="shared" si="6"/>
        <v/>
      </c>
    </row>
    <row r="190" spans="5:5" x14ac:dyDescent="0.25">
      <c r="E190" t="str">
        <f t="shared" si="6"/>
        <v/>
      </c>
    </row>
    <row r="191" spans="5:5" x14ac:dyDescent="0.25">
      <c r="E191" t="str">
        <f t="shared" si="6"/>
        <v/>
      </c>
    </row>
    <row r="192" spans="5:5" x14ac:dyDescent="0.25">
      <c r="E192" t="str">
        <f t="shared" si="6"/>
        <v/>
      </c>
    </row>
    <row r="193" spans="5:5" x14ac:dyDescent="0.25">
      <c r="E193" t="str">
        <f t="shared" si="6"/>
        <v/>
      </c>
    </row>
    <row r="194" spans="5:5" x14ac:dyDescent="0.25">
      <c r="E194" t="str">
        <f t="shared" si="6"/>
        <v/>
      </c>
    </row>
    <row r="195" spans="5:5" x14ac:dyDescent="0.25">
      <c r="E195" t="str">
        <f t="shared" si="6"/>
        <v/>
      </c>
    </row>
    <row r="196" spans="5:5" x14ac:dyDescent="0.25">
      <c r="E196" t="str">
        <f t="shared" ref="E196:E250" si="7">IF(B196="","",IFERROR(
   IF(
      (VLOOKUP(B196,K:N,3,FALSE)) &lt; C196,
      "X",
      ""
   ),
   "X")
)</f>
        <v/>
      </c>
    </row>
    <row r="197" spans="5:5" x14ac:dyDescent="0.25">
      <c r="E197" t="str">
        <f t="shared" si="7"/>
        <v/>
      </c>
    </row>
    <row r="198" spans="5:5" x14ac:dyDescent="0.25">
      <c r="E198" t="str">
        <f t="shared" si="7"/>
        <v/>
      </c>
    </row>
    <row r="199" spans="5:5" x14ac:dyDescent="0.25">
      <c r="E199" t="str">
        <f t="shared" si="7"/>
        <v/>
      </c>
    </row>
    <row r="200" spans="5:5" x14ac:dyDescent="0.25">
      <c r="E200" t="str">
        <f t="shared" si="7"/>
        <v/>
      </c>
    </row>
    <row r="201" spans="5:5" x14ac:dyDescent="0.25">
      <c r="E201" t="str">
        <f t="shared" si="7"/>
        <v/>
      </c>
    </row>
    <row r="202" spans="5:5" x14ac:dyDescent="0.25">
      <c r="E202" t="str">
        <f t="shared" si="7"/>
        <v/>
      </c>
    </row>
    <row r="203" spans="5:5" x14ac:dyDescent="0.25">
      <c r="E203" t="str">
        <f t="shared" si="7"/>
        <v/>
      </c>
    </row>
    <row r="204" spans="5:5" x14ac:dyDescent="0.25">
      <c r="E204" t="str">
        <f t="shared" si="7"/>
        <v/>
      </c>
    </row>
    <row r="205" spans="5:5" x14ac:dyDescent="0.25">
      <c r="E205" t="str">
        <f t="shared" si="7"/>
        <v/>
      </c>
    </row>
    <row r="206" spans="5:5" x14ac:dyDescent="0.25">
      <c r="E206" t="str">
        <f t="shared" si="7"/>
        <v/>
      </c>
    </row>
    <row r="207" spans="5:5" x14ac:dyDescent="0.25">
      <c r="E207" t="str">
        <f t="shared" si="7"/>
        <v/>
      </c>
    </row>
    <row r="208" spans="5:5" x14ac:dyDescent="0.25">
      <c r="E208" t="str">
        <f t="shared" si="7"/>
        <v/>
      </c>
    </row>
    <row r="209" spans="5:5" x14ac:dyDescent="0.25">
      <c r="E209" t="str">
        <f t="shared" si="7"/>
        <v/>
      </c>
    </row>
    <row r="210" spans="5:5" x14ac:dyDescent="0.25">
      <c r="E210" t="str">
        <f t="shared" si="7"/>
        <v/>
      </c>
    </row>
    <row r="211" spans="5:5" x14ac:dyDescent="0.25">
      <c r="E211" t="str">
        <f t="shared" si="7"/>
        <v/>
      </c>
    </row>
    <row r="212" spans="5:5" x14ac:dyDescent="0.25">
      <c r="E212" t="str">
        <f t="shared" si="7"/>
        <v/>
      </c>
    </row>
    <row r="213" spans="5:5" x14ac:dyDescent="0.25">
      <c r="E213" t="str">
        <f t="shared" si="7"/>
        <v/>
      </c>
    </row>
    <row r="214" spans="5:5" x14ac:dyDescent="0.25">
      <c r="E214" t="str">
        <f t="shared" si="7"/>
        <v/>
      </c>
    </row>
    <row r="215" spans="5:5" x14ac:dyDescent="0.25">
      <c r="E215" t="str">
        <f t="shared" si="7"/>
        <v/>
      </c>
    </row>
    <row r="216" spans="5:5" x14ac:dyDescent="0.25">
      <c r="E216" t="str">
        <f t="shared" si="7"/>
        <v/>
      </c>
    </row>
    <row r="217" spans="5:5" x14ac:dyDescent="0.25">
      <c r="E217" t="str">
        <f t="shared" si="7"/>
        <v/>
      </c>
    </row>
    <row r="218" spans="5:5" x14ac:dyDescent="0.25">
      <c r="E218" t="str">
        <f t="shared" si="7"/>
        <v/>
      </c>
    </row>
    <row r="219" spans="5:5" x14ac:dyDescent="0.25">
      <c r="E219" t="str">
        <f t="shared" si="7"/>
        <v/>
      </c>
    </row>
    <row r="220" spans="5:5" x14ac:dyDescent="0.25">
      <c r="E220" t="str">
        <f t="shared" si="7"/>
        <v/>
      </c>
    </row>
    <row r="221" spans="5:5" x14ac:dyDescent="0.25">
      <c r="E221" t="str">
        <f t="shared" si="7"/>
        <v/>
      </c>
    </row>
    <row r="222" spans="5:5" x14ac:dyDescent="0.25">
      <c r="E222" t="str">
        <f t="shared" si="7"/>
        <v/>
      </c>
    </row>
    <row r="223" spans="5:5" x14ac:dyDescent="0.25">
      <c r="E223" t="str">
        <f t="shared" si="7"/>
        <v/>
      </c>
    </row>
    <row r="224" spans="5:5" x14ac:dyDescent="0.25">
      <c r="E224" t="str">
        <f t="shared" si="7"/>
        <v/>
      </c>
    </row>
    <row r="225" spans="5:5" x14ac:dyDescent="0.25">
      <c r="E225" t="str">
        <f t="shared" si="7"/>
        <v/>
      </c>
    </row>
    <row r="226" spans="5:5" x14ac:dyDescent="0.25">
      <c r="E226" t="str">
        <f t="shared" si="7"/>
        <v/>
      </c>
    </row>
    <row r="227" spans="5:5" x14ac:dyDescent="0.25">
      <c r="E227" t="str">
        <f t="shared" si="7"/>
        <v/>
      </c>
    </row>
    <row r="228" spans="5:5" x14ac:dyDescent="0.25">
      <c r="E228" t="str">
        <f t="shared" si="7"/>
        <v/>
      </c>
    </row>
    <row r="229" spans="5:5" x14ac:dyDescent="0.25">
      <c r="E229" t="str">
        <f t="shared" si="7"/>
        <v/>
      </c>
    </row>
    <row r="230" spans="5:5" x14ac:dyDescent="0.25">
      <c r="E230" t="str">
        <f t="shared" si="7"/>
        <v/>
      </c>
    </row>
    <row r="231" spans="5:5" x14ac:dyDescent="0.25">
      <c r="E231" t="str">
        <f t="shared" si="7"/>
        <v/>
      </c>
    </row>
    <row r="232" spans="5:5" x14ac:dyDescent="0.25">
      <c r="E232" t="str">
        <f t="shared" si="7"/>
        <v/>
      </c>
    </row>
    <row r="233" spans="5:5" x14ac:dyDescent="0.25">
      <c r="E233" t="str">
        <f t="shared" si="7"/>
        <v/>
      </c>
    </row>
    <row r="234" spans="5:5" x14ac:dyDescent="0.25">
      <c r="E234" t="str">
        <f t="shared" si="7"/>
        <v/>
      </c>
    </row>
    <row r="235" spans="5:5" x14ac:dyDescent="0.25">
      <c r="E235" t="str">
        <f t="shared" si="7"/>
        <v/>
      </c>
    </row>
    <row r="236" spans="5:5" x14ac:dyDescent="0.25">
      <c r="E236" t="str">
        <f t="shared" si="7"/>
        <v/>
      </c>
    </row>
    <row r="237" spans="5:5" x14ac:dyDescent="0.25">
      <c r="E237" t="str">
        <f t="shared" si="7"/>
        <v/>
      </c>
    </row>
    <row r="238" spans="5:5" x14ac:dyDescent="0.25">
      <c r="E238" t="str">
        <f t="shared" si="7"/>
        <v/>
      </c>
    </row>
    <row r="239" spans="5:5" x14ac:dyDescent="0.25">
      <c r="E239" t="str">
        <f t="shared" si="7"/>
        <v/>
      </c>
    </row>
    <row r="240" spans="5:5" x14ac:dyDescent="0.25">
      <c r="E240" t="str">
        <f t="shared" si="7"/>
        <v/>
      </c>
    </row>
    <row r="241" spans="5:5" x14ac:dyDescent="0.25">
      <c r="E241" t="str">
        <f t="shared" si="7"/>
        <v/>
      </c>
    </row>
    <row r="242" spans="5:5" x14ac:dyDescent="0.25">
      <c r="E242" t="str">
        <f t="shared" si="7"/>
        <v/>
      </c>
    </row>
    <row r="243" spans="5:5" x14ac:dyDescent="0.25">
      <c r="E243" t="str">
        <f t="shared" si="7"/>
        <v/>
      </c>
    </row>
    <row r="244" spans="5:5" x14ac:dyDescent="0.25">
      <c r="E244" t="str">
        <f t="shared" si="7"/>
        <v/>
      </c>
    </row>
    <row r="245" spans="5:5" x14ac:dyDescent="0.25">
      <c r="E245" t="str">
        <f t="shared" si="7"/>
        <v/>
      </c>
    </row>
    <row r="246" spans="5:5" x14ac:dyDescent="0.25">
      <c r="E246" t="str">
        <f t="shared" si="7"/>
        <v/>
      </c>
    </row>
    <row r="247" spans="5:5" x14ac:dyDescent="0.25">
      <c r="E247" t="str">
        <f t="shared" si="7"/>
        <v/>
      </c>
    </row>
    <row r="248" spans="5:5" x14ac:dyDescent="0.25">
      <c r="E248" t="str">
        <f t="shared" si="7"/>
        <v/>
      </c>
    </row>
    <row r="249" spans="5:5" x14ac:dyDescent="0.25">
      <c r="E249" t="str">
        <f t="shared" si="7"/>
        <v/>
      </c>
    </row>
    <row r="250" spans="5:5" x14ac:dyDescent="0.25">
      <c r="E250" t="str">
        <f t="shared" si="7"/>
        <v/>
      </c>
    </row>
  </sheetData>
  <hyperlinks>
    <hyperlink ref="A1" location="Sumario!A1" display="Indice" xr:uid="{E67E3DDF-A63C-4509-922A-5880A036D989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C97FA-97BB-4369-BE6D-E6287D95386D}">
  <dimension ref="A1:P95"/>
  <sheetViews>
    <sheetView workbookViewId="0">
      <selection activeCell="K1" sqref="K1:P1048576"/>
    </sheetView>
  </sheetViews>
  <sheetFormatPr baseColWidth="10" defaultRowHeight="15" x14ac:dyDescent="0.25"/>
  <cols>
    <col min="13" max="13" width="11.42578125" style="1"/>
    <col min="14" max="15" width="14.140625" style="2" bestFit="1" customWidth="1"/>
    <col min="16" max="16" width="12.28515625" bestFit="1" customWidth="1"/>
  </cols>
  <sheetData>
    <row r="1" spans="1:16" x14ac:dyDescent="0.25">
      <c r="A1" s="3" t="s">
        <v>94</v>
      </c>
      <c r="B1" t="s">
        <v>12</v>
      </c>
      <c r="C1" s="1"/>
      <c r="D1" s="2"/>
      <c r="H1" s="1"/>
      <c r="I1" s="2"/>
    </row>
    <row r="2" spans="1:16" x14ac:dyDescent="0.25">
      <c r="A2" t="s">
        <v>188</v>
      </c>
      <c r="C2" s="1"/>
      <c r="D2" s="2"/>
      <c r="H2" s="1"/>
      <c r="I2" s="2"/>
      <c r="K2" t="s">
        <v>189</v>
      </c>
    </row>
    <row r="3" spans="1:16" x14ac:dyDescent="0.25">
      <c r="A3" t="s">
        <v>75</v>
      </c>
      <c r="B3" t="s">
        <v>25</v>
      </c>
      <c r="C3" s="1" t="s">
        <v>76</v>
      </c>
      <c r="D3" s="2" t="s">
        <v>95</v>
      </c>
      <c r="E3" t="s">
        <v>190</v>
      </c>
      <c r="H3" s="1"/>
      <c r="I3" s="2"/>
      <c r="K3" t="s">
        <v>75</v>
      </c>
      <c r="L3" t="s">
        <v>25</v>
      </c>
      <c r="M3" s="1" t="s">
        <v>93</v>
      </c>
      <c r="N3" s="2" t="s">
        <v>96</v>
      </c>
      <c r="O3" s="2" t="s">
        <v>95</v>
      </c>
      <c r="P3" t="s">
        <v>280</v>
      </c>
    </row>
    <row r="4" spans="1:16" x14ac:dyDescent="0.25">
      <c r="A4" t="str" cm="1">
        <f t="array" ref="A4:A95">_xlfn._xlws.FILTER(Fichajes!C:C,Fichajes!G:G=B1)</f>
        <v>DEF</v>
      </c>
      <c r="B4" t="str" cm="1">
        <f t="array" ref="B4:B95">_xlfn._xlws.FILTER(Fichajes!B:B,Fichajes!G:G=B1)</f>
        <v>Araújo</v>
      </c>
      <c r="C4" s="1" cm="1">
        <f t="array" ref="C4:C95">_xlfn._xlws.FILTER(Fichajes!F:F,Fichajes!$G:$G=$B1)</f>
        <v>45872</v>
      </c>
      <c r="D4" s="2" cm="1">
        <f t="array" ref="D4:D95">_xlfn._xlws.FILTER(Fichajes!I:I,Fichajes!$G:$G=$B1)</f>
        <v>0</v>
      </c>
      <c r="E4" t="str">
        <f t="shared" ref="E4:E28" si="0">IF(B4="","",IFERROR(
   IF(
      (VLOOKUP(B4,K:N,3,FALSE)) &lt; C4,
      "X",
      ""
   ),
   "X")
)</f>
        <v/>
      </c>
      <c r="H4" s="1"/>
      <c r="I4" s="2"/>
      <c r="K4" t="str" cm="1">
        <f t="array" ref="K4:K78">_xlfn._xlws.FILTER(Fichajes!B:B,Fichajes!$H:$H=B$1)</f>
        <v>Rüdiger</v>
      </c>
      <c r="L4" t="str" cm="1">
        <f t="array" ref="L4:L78">_xlfn._xlws.FILTER(Fichajes!C:C,Fichajes!$H:$H=B$1)</f>
        <v>DEF</v>
      </c>
      <c r="M4" s="1" cm="1">
        <f t="array" ref="M4:M78">_xlfn._xlws.FILTER(Fichajes!F:F,Fichajes!$H:$H=B$1)</f>
        <v>45873</v>
      </c>
      <c r="N4" s="2" cm="1">
        <f t="array" ref="N4:N78">_xlfn._xlws.FILTER(Fichajes!I:I,Fichajes!$H:$H=B$1)</f>
        <v>27421205</v>
      </c>
      <c r="O4" s="2">
        <f t="shared" ref="O4:O14" si="1">IF(ISBLANK(N4),"",VLOOKUP(K4,B:D,3,FALSE))</f>
        <v>0</v>
      </c>
      <c r="P4" s="2">
        <f t="shared" ref="P4:P14" si="2">IF(ISBLANK(N4),"",N4-O4)</f>
        <v>27421205</v>
      </c>
    </row>
    <row r="5" spans="1:16" x14ac:dyDescent="0.25">
      <c r="A5" t="str">
        <v>DEL</v>
      </c>
      <c r="B5" t="str">
        <v>Asprilla</v>
      </c>
      <c r="C5" s="1">
        <v>45872</v>
      </c>
      <c r="D5" s="2">
        <v>0</v>
      </c>
      <c r="E5" t="str">
        <f t="shared" si="0"/>
        <v/>
      </c>
      <c r="H5" s="1"/>
      <c r="I5" s="2"/>
      <c r="K5" t="str">
        <v>Casadó</v>
      </c>
      <c r="L5" t="str">
        <v>MED</v>
      </c>
      <c r="M5" s="1">
        <v>45875</v>
      </c>
      <c r="N5" s="2">
        <v>11013284</v>
      </c>
      <c r="O5" s="2">
        <f t="shared" si="1"/>
        <v>0</v>
      </c>
      <c r="P5" s="2">
        <f t="shared" si="2"/>
        <v>11013284</v>
      </c>
    </row>
    <row r="6" spans="1:16" x14ac:dyDescent="0.25">
      <c r="A6" t="str">
        <v>MED</v>
      </c>
      <c r="B6" t="str">
        <v>Casadó</v>
      </c>
      <c r="C6" s="1">
        <v>45872</v>
      </c>
      <c r="D6" s="2">
        <v>0</v>
      </c>
      <c r="E6" t="str">
        <f t="shared" si="0"/>
        <v/>
      </c>
      <c r="H6" s="1"/>
      <c r="I6" s="2"/>
      <c r="K6" t="str">
        <v>Miguel</v>
      </c>
      <c r="L6" t="str">
        <v>DEF</v>
      </c>
      <c r="M6" s="1">
        <v>45875</v>
      </c>
      <c r="N6" s="2">
        <v>11013284</v>
      </c>
      <c r="O6" s="2">
        <f t="shared" si="1"/>
        <v>0</v>
      </c>
      <c r="P6" s="2">
        <f t="shared" si="2"/>
        <v>11013284</v>
      </c>
    </row>
    <row r="7" spans="1:16" x14ac:dyDescent="0.25">
      <c r="A7" t="str">
        <v>DEL</v>
      </c>
      <c r="B7" t="str">
        <v>Chimy</v>
      </c>
      <c r="C7" s="1">
        <v>45872</v>
      </c>
      <c r="D7" s="2">
        <v>0</v>
      </c>
      <c r="E7" t="str">
        <f t="shared" si="0"/>
        <v/>
      </c>
      <c r="H7" s="1"/>
      <c r="I7" s="2"/>
      <c r="K7" t="str">
        <v>Araújo</v>
      </c>
      <c r="L7" t="str">
        <v>DEF</v>
      </c>
      <c r="M7" s="1">
        <v>45877</v>
      </c>
      <c r="N7" s="2">
        <v>18411107</v>
      </c>
      <c r="O7" s="2">
        <f t="shared" si="1"/>
        <v>0</v>
      </c>
      <c r="P7" s="2">
        <f t="shared" si="2"/>
        <v>18411107</v>
      </c>
    </row>
    <row r="8" spans="1:16" x14ac:dyDescent="0.25">
      <c r="A8" t="str">
        <v>MED</v>
      </c>
      <c r="B8" t="str">
        <v>Beltrán</v>
      </c>
      <c r="C8" s="1">
        <v>45872</v>
      </c>
      <c r="D8" s="2">
        <v>0</v>
      </c>
      <c r="E8" t="str">
        <f t="shared" si="0"/>
        <v/>
      </c>
      <c r="H8" s="1"/>
      <c r="I8" s="2"/>
      <c r="K8" t="str">
        <v>Zakharyan</v>
      </c>
      <c r="L8" t="str">
        <v>MED</v>
      </c>
      <c r="M8" s="1">
        <v>45877</v>
      </c>
      <c r="N8" s="2">
        <v>4959924</v>
      </c>
      <c r="O8" s="2">
        <f t="shared" si="1"/>
        <v>0</v>
      </c>
      <c r="P8" s="2">
        <f t="shared" si="2"/>
        <v>4959924</v>
      </c>
    </row>
    <row r="9" spans="1:16" x14ac:dyDescent="0.25">
      <c r="A9" t="str">
        <v>DEF</v>
      </c>
      <c r="B9" t="str">
        <v>Giménez</v>
      </c>
      <c r="C9" s="1">
        <v>45872</v>
      </c>
      <c r="D9" s="2">
        <v>0</v>
      </c>
      <c r="E9" t="str">
        <f t="shared" si="0"/>
        <v/>
      </c>
      <c r="H9" s="1"/>
      <c r="I9" s="2"/>
      <c r="K9" t="str">
        <v>Giménez</v>
      </c>
      <c r="L9" t="str">
        <v>DEF</v>
      </c>
      <c r="M9" s="1">
        <v>45878</v>
      </c>
      <c r="N9" s="2">
        <v>10886133</v>
      </c>
      <c r="O9" s="2">
        <f t="shared" si="1"/>
        <v>0</v>
      </c>
      <c r="P9" s="2">
        <f t="shared" si="2"/>
        <v>10886133</v>
      </c>
    </row>
    <row r="10" spans="1:16" x14ac:dyDescent="0.25">
      <c r="A10" t="str">
        <v>POR</v>
      </c>
      <c r="B10" t="str">
        <v>Lunin</v>
      </c>
      <c r="C10" s="1">
        <v>45872</v>
      </c>
      <c r="D10" s="2">
        <v>0</v>
      </c>
      <c r="E10" t="str">
        <f t="shared" si="0"/>
        <v/>
      </c>
      <c r="H10" s="1"/>
      <c r="I10" s="2"/>
      <c r="K10" t="str">
        <v>Lunin</v>
      </c>
      <c r="L10" t="str">
        <v>POR</v>
      </c>
      <c r="M10" s="1">
        <v>45878</v>
      </c>
      <c r="N10" s="2">
        <v>5280074</v>
      </c>
      <c r="O10" s="2">
        <f t="shared" si="1"/>
        <v>0</v>
      </c>
      <c r="P10" s="2">
        <f t="shared" si="2"/>
        <v>5280074</v>
      </c>
    </row>
    <row r="11" spans="1:16" x14ac:dyDescent="0.25">
      <c r="A11" t="str">
        <v>MED</v>
      </c>
      <c r="B11" t="str">
        <v>Marc Roca</v>
      </c>
      <c r="C11" s="1">
        <v>45872</v>
      </c>
      <c r="D11" s="2">
        <v>0</v>
      </c>
      <c r="E11" t="str">
        <f t="shared" si="0"/>
        <v/>
      </c>
      <c r="H11" s="1"/>
      <c r="I11" s="2"/>
      <c r="K11" t="str">
        <v>Militão</v>
      </c>
      <c r="L11" t="str">
        <v>DEF</v>
      </c>
      <c r="M11" s="1">
        <v>45878</v>
      </c>
      <c r="N11" s="2">
        <v>25750396</v>
      </c>
      <c r="O11" s="2">
        <f t="shared" si="1"/>
        <v>0</v>
      </c>
      <c r="P11" s="2">
        <f t="shared" si="2"/>
        <v>25750396</v>
      </c>
    </row>
    <row r="12" spans="1:16" x14ac:dyDescent="0.25">
      <c r="A12" t="str">
        <v>DEF</v>
      </c>
      <c r="B12" t="str">
        <v>Miguel</v>
      </c>
      <c r="C12" s="1">
        <v>45872</v>
      </c>
      <c r="D12" s="2">
        <v>0</v>
      </c>
      <c r="E12" t="str">
        <f t="shared" si="0"/>
        <v/>
      </c>
      <c r="H12" s="1"/>
      <c r="I12" s="2"/>
      <c r="K12" t="str">
        <v>Marc Roca</v>
      </c>
      <c r="L12" t="str">
        <v>MED</v>
      </c>
      <c r="M12" s="1">
        <v>45879</v>
      </c>
      <c r="N12" s="2">
        <v>4918387</v>
      </c>
      <c r="O12" s="2">
        <f t="shared" si="1"/>
        <v>0</v>
      </c>
      <c r="P12" s="2">
        <f t="shared" si="2"/>
        <v>4918387</v>
      </c>
    </row>
    <row r="13" spans="1:16" x14ac:dyDescent="0.25">
      <c r="A13" t="str">
        <v>DEF</v>
      </c>
      <c r="B13" t="str">
        <v>Militão</v>
      </c>
      <c r="C13" s="1">
        <v>45872</v>
      </c>
      <c r="D13" s="2">
        <v>0</v>
      </c>
      <c r="E13" t="str">
        <f t="shared" si="0"/>
        <v/>
      </c>
      <c r="H13" s="1"/>
      <c r="I13" s="2"/>
      <c r="K13" t="str">
        <v>Chimy</v>
      </c>
      <c r="L13" t="str">
        <v>DEL</v>
      </c>
      <c r="M13" s="1">
        <v>45880</v>
      </c>
      <c r="N13" s="2">
        <v>4043910</v>
      </c>
      <c r="O13" s="2">
        <f t="shared" si="1"/>
        <v>0</v>
      </c>
      <c r="P13" s="2">
        <f t="shared" si="2"/>
        <v>4043910</v>
      </c>
    </row>
    <row r="14" spans="1:16" x14ac:dyDescent="0.25">
      <c r="A14" t="str">
        <v>DEL</v>
      </c>
      <c r="B14" t="str">
        <v>Óskarsson</v>
      </c>
      <c r="C14" s="1">
        <v>45872</v>
      </c>
      <c r="D14" s="2">
        <v>0</v>
      </c>
      <c r="E14" t="str">
        <f t="shared" si="0"/>
        <v/>
      </c>
      <c r="H14" s="1"/>
      <c r="I14" s="2"/>
      <c r="K14" t="str">
        <v>Óskarsson</v>
      </c>
      <c r="L14" t="str">
        <v>DEL</v>
      </c>
      <c r="M14" s="1">
        <v>45886</v>
      </c>
      <c r="N14" s="2">
        <v>5478829</v>
      </c>
      <c r="O14" s="2">
        <f t="shared" si="1"/>
        <v>0</v>
      </c>
      <c r="P14" s="2">
        <f t="shared" si="2"/>
        <v>5478829</v>
      </c>
    </row>
    <row r="15" spans="1:16" x14ac:dyDescent="0.25">
      <c r="A15" t="str">
        <v>DEF</v>
      </c>
      <c r="B15" t="str">
        <v>Rüdiger</v>
      </c>
      <c r="C15" s="1">
        <v>45872</v>
      </c>
      <c r="D15" s="2">
        <v>0</v>
      </c>
      <c r="E15" t="str">
        <f t="shared" si="0"/>
        <v/>
      </c>
      <c r="H15" s="1"/>
      <c r="I15" s="2"/>
      <c r="K15" t="str">
        <v>Starfelt</v>
      </c>
      <c r="L15" t="str">
        <v>DEF</v>
      </c>
      <c r="M15" s="1">
        <v>45886</v>
      </c>
      <c r="N15" s="2">
        <v>5590699</v>
      </c>
      <c r="O15" s="2">
        <f>IF(ISBLANK(N15),"",VLOOKUP(K15,B:D,3,FALSE))</f>
        <v>11010100</v>
      </c>
      <c r="P15" s="2">
        <f>IF(ISBLANK(N15),"",N15-O15)</f>
        <v>-5419401</v>
      </c>
    </row>
    <row r="16" spans="1:16" x14ac:dyDescent="0.25">
      <c r="A16" t="str">
        <v>MED</v>
      </c>
      <c r="B16" t="str">
        <v>Uche</v>
      </c>
      <c r="C16" s="1">
        <v>45872</v>
      </c>
      <c r="D16" s="2">
        <v>0</v>
      </c>
      <c r="E16" t="str">
        <f t="shared" si="0"/>
        <v/>
      </c>
      <c r="H16" s="1"/>
      <c r="I16" s="2"/>
      <c r="K16" t="str">
        <v>Beltrán</v>
      </c>
      <c r="L16" t="str">
        <v>MED</v>
      </c>
      <c r="M16" s="1">
        <v>45888</v>
      </c>
      <c r="N16" s="2">
        <v>4160518</v>
      </c>
      <c r="O16" s="2">
        <f t="shared" ref="O16:O48" si="3">IF(ISBLANK(N16),"",VLOOKUP(K16,B:D,3,FALSE))</f>
        <v>0</v>
      </c>
      <c r="P16" s="2">
        <f t="shared" ref="P16:P48" si="4">IF(ISBLANK(N16),"",N16-O16)</f>
        <v>4160518</v>
      </c>
    </row>
    <row r="17" spans="1:16" x14ac:dyDescent="0.25">
      <c r="A17" t="str">
        <v>MED</v>
      </c>
      <c r="B17" t="str">
        <v>Zakharyan</v>
      </c>
      <c r="C17" s="1">
        <v>45872</v>
      </c>
      <c r="D17" s="2">
        <v>0</v>
      </c>
      <c r="E17" t="str">
        <f t="shared" si="0"/>
        <v/>
      </c>
      <c r="H17" s="1"/>
      <c r="I17" s="2"/>
      <c r="K17" t="str">
        <v>Baena</v>
      </c>
      <c r="L17" t="str">
        <v>MED</v>
      </c>
      <c r="M17" s="1">
        <v>45889</v>
      </c>
      <c r="N17" s="2">
        <v>80130216</v>
      </c>
      <c r="O17" s="2">
        <f t="shared" si="3"/>
        <v>85210000</v>
      </c>
      <c r="P17" s="2">
        <f t="shared" si="4"/>
        <v>-5079784</v>
      </c>
    </row>
    <row r="18" spans="1:16" x14ac:dyDescent="0.25">
      <c r="A18" t="str">
        <v>MED</v>
      </c>
      <c r="B18" t="str">
        <v>Güler</v>
      </c>
      <c r="C18" s="1">
        <v>45873</v>
      </c>
      <c r="D18" s="2">
        <v>74101010</v>
      </c>
      <c r="E18" t="str">
        <f t="shared" si="0"/>
        <v/>
      </c>
      <c r="H18" s="1"/>
      <c r="I18" s="2"/>
      <c r="K18" t="str">
        <v>Aramburu</v>
      </c>
      <c r="L18" t="str">
        <v>DEF</v>
      </c>
      <c r="M18" s="1">
        <v>45894</v>
      </c>
      <c r="N18" s="2">
        <v>7052988</v>
      </c>
      <c r="O18" s="2">
        <f t="shared" si="3"/>
        <v>8100010</v>
      </c>
      <c r="P18" s="2">
        <f t="shared" si="4"/>
        <v>-1047022</v>
      </c>
    </row>
    <row r="19" spans="1:16" x14ac:dyDescent="0.25">
      <c r="A19" t="str">
        <v>DEF</v>
      </c>
      <c r="B19" t="str">
        <v>Starfelt</v>
      </c>
      <c r="C19" s="1">
        <v>45875</v>
      </c>
      <c r="D19" s="2">
        <v>11010100</v>
      </c>
      <c r="E19" t="str">
        <f t="shared" si="0"/>
        <v/>
      </c>
      <c r="H19" s="1"/>
      <c r="I19" s="2"/>
      <c r="K19" t="str">
        <v>Asprilla</v>
      </c>
      <c r="L19" t="str">
        <v>DEL</v>
      </c>
      <c r="M19" s="1">
        <v>45894</v>
      </c>
      <c r="N19" s="2">
        <v>3890664</v>
      </c>
      <c r="O19" s="2">
        <f t="shared" si="3"/>
        <v>0</v>
      </c>
      <c r="P19" s="2">
        <f t="shared" si="4"/>
        <v>3890664</v>
      </c>
    </row>
    <row r="20" spans="1:16" x14ac:dyDescent="0.25">
      <c r="A20" t="str">
        <v>DEF</v>
      </c>
      <c r="B20" t="str">
        <v>Valjent</v>
      </c>
      <c r="C20" s="1">
        <v>45877</v>
      </c>
      <c r="D20" s="2">
        <v>16101010</v>
      </c>
      <c r="E20" t="str">
        <f t="shared" si="0"/>
        <v/>
      </c>
      <c r="H20" s="1"/>
      <c r="I20" s="2"/>
      <c r="K20" t="str">
        <v>Güler</v>
      </c>
      <c r="L20" t="str">
        <v>MED</v>
      </c>
      <c r="M20" s="1">
        <v>45895</v>
      </c>
      <c r="N20" s="2">
        <v>78717481</v>
      </c>
      <c r="O20" s="2">
        <f t="shared" si="3"/>
        <v>74101010</v>
      </c>
      <c r="P20" s="2">
        <f t="shared" si="4"/>
        <v>4616471</v>
      </c>
    </row>
    <row r="21" spans="1:16" x14ac:dyDescent="0.25">
      <c r="A21" t="str">
        <v>MED</v>
      </c>
      <c r="B21" t="str">
        <v>Baena</v>
      </c>
      <c r="C21" s="1">
        <v>45878</v>
      </c>
      <c r="D21" s="2">
        <v>85210000</v>
      </c>
      <c r="E21" t="str">
        <f t="shared" si="0"/>
        <v/>
      </c>
      <c r="H21" s="1"/>
      <c r="I21" s="2"/>
      <c r="K21" t="str">
        <v>Lozano</v>
      </c>
      <c r="L21" t="str">
        <v>MED</v>
      </c>
      <c r="M21" s="1">
        <v>45897</v>
      </c>
      <c r="N21" s="2">
        <v>3210000</v>
      </c>
      <c r="O21" s="2">
        <f t="shared" si="3"/>
        <v>3210000</v>
      </c>
      <c r="P21" s="2">
        <f t="shared" si="4"/>
        <v>0</v>
      </c>
    </row>
    <row r="22" spans="1:16" x14ac:dyDescent="0.25">
      <c r="A22" t="str">
        <v>DEF</v>
      </c>
      <c r="B22" t="str">
        <v>Cabrera</v>
      </c>
      <c r="C22" s="1">
        <v>45878</v>
      </c>
      <c r="D22" s="2">
        <v>11010001</v>
      </c>
      <c r="E22" t="str">
        <f t="shared" si="0"/>
        <v/>
      </c>
      <c r="H22" s="1"/>
      <c r="I22" s="2"/>
      <c r="K22" t="str">
        <v>Copete</v>
      </c>
      <c r="L22" t="str">
        <v>DEF</v>
      </c>
      <c r="M22" s="1">
        <v>45900</v>
      </c>
      <c r="N22" s="2">
        <v>4208675</v>
      </c>
      <c r="O22" s="2">
        <f t="shared" si="3"/>
        <v>7100100</v>
      </c>
      <c r="P22" s="2">
        <f t="shared" si="4"/>
        <v>-2891425</v>
      </c>
    </row>
    <row r="23" spans="1:16" x14ac:dyDescent="0.25">
      <c r="A23" t="str">
        <v>POR</v>
      </c>
      <c r="B23" t="str">
        <v>Cárdenas</v>
      </c>
      <c r="C23" s="1">
        <v>45880</v>
      </c>
      <c r="D23" s="2">
        <v>776655</v>
      </c>
      <c r="E23" t="str">
        <f t="shared" si="0"/>
        <v>X</v>
      </c>
      <c r="H23" s="1"/>
      <c r="I23" s="2"/>
      <c r="K23" t="str">
        <v>Raba</v>
      </c>
      <c r="L23" t="str">
        <v>DEL</v>
      </c>
      <c r="M23" s="1">
        <v>45900</v>
      </c>
      <c r="N23" s="2">
        <v>19522766</v>
      </c>
      <c r="O23" s="2">
        <f t="shared" si="3"/>
        <v>13741840</v>
      </c>
      <c r="P23" s="2">
        <f t="shared" si="4"/>
        <v>5780926</v>
      </c>
    </row>
    <row r="24" spans="1:16" x14ac:dyDescent="0.25">
      <c r="A24" t="str">
        <v>MED</v>
      </c>
      <c r="B24" t="str">
        <v>Febas</v>
      </c>
      <c r="C24">
        <v>45880</v>
      </c>
      <c r="D24">
        <v>4210100</v>
      </c>
      <c r="E24" t="str">
        <f t="shared" si="0"/>
        <v/>
      </c>
      <c r="K24" t="str">
        <v>Rafa Marín</v>
      </c>
      <c r="L24" t="str">
        <v>DEF</v>
      </c>
      <c r="M24" s="1">
        <v>45900</v>
      </c>
      <c r="N24" s="2">
        <v>25100001</v>
      </c>
      <c r="O24" s="2">
        <f t="shared" si="3"/>
        <v>15100001</v>
      </c>
      <c r="P24" s="2">
        <f t="shared" si="4"/>
        <v>10000000</v>
      </c>
    </row>
    <row r="25" spans="1:16" x14ac:dyDescent="0.25">
      <c r="A25" t="str">
        <v>MED</v>
      </c>
      <c r="B25" t="str">
        <v>Lozano</v>
      </c>
      <c r="C25">
        <v>45880</v>
      </c>
      <c r="D25">
        <v>3210000</v>
      </c>
      <c r="E25" t="str">
        <f t="shared" si="0"/>
        <v/>
      </c>
      <c r="K25" t="str">
        <v>Uche</v>
      </c>
      <c r="L25" t="str">
        <v>MED</v>
      </c>
      <c r="M25" s="1">
        <v>45901</v>
      </c>
      <c r="N25" s="2">
        <v>13000000</v>
      </c>
      <c r="O25" s="2">
        <f t="shared" si="3"/>
        <v>0</v>
      </c>
      <c r="P25" s="2">
        <f t="shared" si="4"/>
        <v>13000000</v>
      </c>
    </row>
    <row r="26" spans="1:16" x14ac:dyDescent="0.25">
      <c r="A26" t="str">
        <v>DEF</v>
      </c>
      <c r="B26" t="str">
        <v>Pep Chavarría</v>
      </c>
      <c r="C26">
        <v>45882</v>
      </c>
      <c r="D26">
        <v>5100010</v>
      </c>
      <c r="E26" t="str">
        <f t="shared" si="0"/>
        <v/>
      </c>
      <c r="K26" t="str">
        <v>C. Álvarez</v>
      </c>
      <c r="L26" t="str">
        <v>MED</v>
      </c>
      <c r="M26" s="1">
        <v>45904</v>
      </c>
      <c r="N26" s="2">
        <v>2611001</v>
      </c>
      <c r="O26" s="2">
        <f t="shared" si="3"/>
        <v>2611001</v>
      </c>
      <c r="P26" s="2">
        <f t="shared" si="4"/>
        <v>0</v>
      </c>
    </row>
    <row r="27" spans="1:16" x14ac:dyDescent="0.25">
      <c r="A27" t="str">
        <v>DEF</v>
      </c>
      <c r="B27" t="str">
        <v>Rafa Marín</v>
      </c>
      <c r="C27">
        <v>45883</v>
      </c>
      <c r="D27">
        <v>15100001</v>
      </c>
      <c r="E27" t="str">
        <f t="shared" si="0"/>
        <v/>
      </c>
      <c r="K27" t="str">
        <v>Brahim</v>
      </c>
      <c r="L27" t="str">
        <v>MED</v>
      </c>
      <c r="M27" s="1">
        <v>45903</v>
      </c>
      <c r="N27" s="2">
        <v>18051132</v>
      </c>
      <c r="O27" s="2">
        <f t="shared" si="3"/>
        <v>17508953</v>
      </c>
      <c r="P27" s="2">
        <f t="shared" si="4"/>
        <v>542179</v>
      </c>
    </row>
    <row r="28" spans="1:16" x14ac:dyDescent="0.25">
      <c r="A28" t="str">
        <v>DEF</v>
      </c>
      <c r="B28" t="str">
        <v>Aramburu</v>
      </c>
      <c r="C28">
        <v>45886</v>
      </c>
      <c r="D28">
        <v>8100010</v>
      </c>
      <c r="E28" t="str">
        <f t="shared" si="0"/>
        <v/>
      </c>
      <c r="K28" t="str">
        <v>Soria</v>
      </c>
      <c r="L28" t="str">
        <v>POR</v>
      </c>
      <c r="M28" s="1">
        <v>45903</v>
      </c>
      <c r="N28" s="2">
        <v>26425597</v>
      </c>
      <c r="O28" s="2">
        <f t="shared" si="3"/>
        <v>27100010</v>
      </c>
      <c r="P28" s="2">
        <f t="shared" si="4"/>
        <v>-674413</v>
      </c>
    </row>
    <row r="29" spans="1:16" x14ac:dyDescent="0.25">
      <c r="A29" t="str">
        <v>POR</v>
      </c>
      <c r="B29" t="str">
        <v>Luiz Junior</v>
      </c>
      <c r="C29">
        <v>45886</v>
      </c>
      <c r="D29">
        <v>9184563</v>
      </c>
      <c r="K29" t="str">
        <v>Carvajal</v>
      </c>
      <c r="L29" t="str">
        <v>DEF</v>
      </c>
      <c r="M29" s="1">
        <v>45908</v>
      </c>
      <c r="N29" s="2">
        <v>26884333</v>
      </c>
      <c r="O29" s="2">
        <f t="shared" si="3"/>
        <v>26100010</v>
      </c>
      <c r="P29" s="2">
        <f t="shared" si="4"/>
        <v>784323</v>
      </c>
    </row>
    <row r="30" spans="1:16" x14ac:dyDescent="0.25">
      <c r="A30" t="str">
        <v>MED</v>
      </c>
      <c r="B30" t="str">
        <v>Pedro Díaz</v>
      </c>
      <c r="C30">
        <v>45888</v>
      </c>
      <c r="D30">
        <v>3201101</v>
      </c>
      <c r="K30" t="str">
        <v>Pep Chavarría</v>
      </c>
      <c r="L30" t="str">
        <v>DEF</v>
      </c>
      <c r="M30" s="1">
        <v>45909</v>
      </c>
      <c r="N30" s="2">
        <v>5150010</v>
      </c>
      <c r="O30" s="2">
        <f t="shared" si="3"/>
        <v>5100010</v>
      </c>
      <c r="P30" s="2">
        <f t="shared" si="4"/>
        <v>50000</v>
      </c>
    </row>
    <row r="31" spans="1:16" x14ac:dyDescent="0.25">
      <c r="A31" t="str">
        <v>DEL</v>
      </c>
      <c r="B31" t="str">
        <v>Raba</v>
      </c>
      <c r="C31">
        <v>45889</v>
      </c>
      <c r="D31">
        <v>13741840</v>
      </c>
      <c r="K31" t="str">
        <v>Herrera</v>
      </c>
      <c r="L31" t="str">
        <v>POR</v>
      </c>
      <c r="M31" s="1">
        <v>45914</v>
      </c>
      <c r="N31" s="2">
        <v>22460839</v>
      </c>
      <c r="O31" s="2">
        <f t="shared" si="3"/>
        <v>22159096</v>
      </c>
      <c r="P31" s="2">
        <f t="shared" si="4"/>
        <v>301743</v>
      </c>
    </row>
    <row r="32" spans="1:16" x14ac:dyDescent="0.25">
      <c r="A32" t="str">
        <v>MED</v>
      </c>
      <c r="B32" t="str">
        <v>Riquelme</v>
      </c>
      <c r="C32">
        <v>45889</v>
      </c>
      <c r="D32">
        <v>17158711</v>
      </c>
      <c r="K32" t="str">
        <v>Riquelme</v>
      </c>
      <c r="L32" t="str">
        <v>MED</v>
      </c>
      <c r="M32" s="1">
        <v>45915</v>
      </c>
      <c r="N32" s="2">
        <v>33788946</v>
      </c>
      <c r="O32" s="2">
        <f t="shared" si="3"/>
        <v>17158711</v>
      </c>
      <c r="P32" s="2">
        <f t="shared" si="4"/>
        <v>16630235</v>
      </c>
    </row>
    <row r="33" spans="1:16" x14ac:dyDescent="0.25">
      <c r="A33" t="str">
        <v>MED</v>
      </c>
      <c r="B33" t="str">
        <v>C. Álvarez</v>
      </c>
      <c r="C33">
        <v>45890</v>
      </c>
      <c r="D33">
        <v>2611001</v>
      </c>
      <c r="K33" t="str">
        <v>Valjent</v>
      </c>
      <c r="L33" t="str">
        <v>DEF</v>
      </c>
      <c r="M33" s="1">
        <v>45915</v>
      </c>
      <c r="N33" s="2">
        <v>6095596</v>
      </c>
      <c r="O33" s="2">
        <f t="shared" si="3"/>
        <v>16101010</v>
      </c>
      <c r="P33" s="2">
        <f t="shared" si="4"/>
        <v>-10005414</v>
      </c>
    </row>
    <row r="34" spans="1:16" x14ac:dyDescent="0.25">
      <c r="A34" t="str">
        <v>POR</v>
      </c>
      <c r="B34" t="str">
        <v>Soria</v>
      </c>
      <c r="C34">
        <v>45890</v>
      </c>
      <c r="D34">
        <v>27100010</v>
      </c>
      <c r="K34" t="str">
        <v>Pépé</v>
      </c>
      <c r="L34" t="str">
        <v>DEL</v>
      </c>
      <c r="M34" s="1">
        <v>45917</v>
      </c>
      <c r="N34" s="2">
        <v>68214570</v>
      </c>
      <c r="O34" s="2">
        <f t="shared" si="3"/>
        <v>40046131</v>
      </c>
      <c r="P34" s="2">
        <f t="shared" si="4"/>
        <v>28168439</v>
      </c>
    </row>
    <row r="35" spans="1:16" x14ac:dyDescent="0.25">
      <c r="A35" t="str">
        <v>MED</v>
      </c>
      <c r="B35" t="str">
        <v>Brahim</v>
      </c>
      <c r="C35">
        <v>45893</v>
      </c>
      <c r="D35">
        <v>17508953</v>
      </c>
      <c r="K35" t="str">
        <v>Rosier</v>
      </c>
      <c r="L35" t="str">
        <v>DEF</v>
      </c>
      <c r="M35" s="1">
        <v>45917</v>
      </c>
      <c r="N35" s="2">
        <v>22431853</v>
      </c>
      <c r="O35" s="2">
        <f t="shared" si="3"/>
        <v>15838779</v>
      </c>
      <c r="P35" s="2">
        <f t="shared" si="4"/>
        <v>6593074</v>
      </c>
    </row>
    <row r="36" spans="1:16" x14ac:dyDescent="0.25">
      <c r="A36" t="str">
        <v>DEF</v>
      </c>
      <c r="B36" t="str">
        <v>Affengruber</v>
      </c>
      <c r="C36">
        <v>45912</v>
      </c>
      <c r="D36">
        <v>15365462</v>
      </c>
      <c r="K36" t="str">
        <v>Cabrera</v>
      </c>
      <c r="L36" t="str">
        <v>DEF</v>
      </c>
      <c r="M36" s="1">
        <v>45918</v>
      </c>
      <c r="N36" s="2">
        <v>15010001</v>
      </c>
      <c r="O36" s="2">
        <f t="shared" si="3"/>
        <v>11010001</v>
      </c>
      <c r="P36" s="2">
        <f t="shared" si="4"/>
        <v>4000000</v>
      </c>
    </row>
    <row r="37" spans="1:16" x14ac:dyDescent="0.25">
      <c r="A37" t="str">
        <v>DEF</v>
      </c>
      <c r="B37" t="str">
        <v>Copete</v>
      </c>
      <c r="C37">
        <v>45895</v>
      </c>
      <c r="D37">
        <v>7100100</v>
      </c>
      <c r="K37" t="str">
        <v>Arambarri</v>
      </c>
      <c r="L37" t="str">
        <v>MED</v>
      </c>
      <c r="M37" s="1">
        <v>45921</v>
      </c>
      <c r="N37" s="2">
        <v>13265558</v>
      </c>
      <c r="O37" s="2">
        <f t="shared" si="3"/>
        <v>13100100</v>
      </c>
      <c r="P37" s="2">
        <f t="shared" si="4"/>
        <v>165458</v>
      </c>
    </row>
    <row r="38" spans="1:16" x14ac:dyDescent="0.25">
      <c r="A38" t="str">
        <v>DEF</v>
      </c>
      <c r="B38" t="str">
        <v>Carvajal</v>
      </c>
      <c r="C38">
        <v>45896</v>
      </c>
      <c r="D38">
        <v>26100010</v>
      </c>
      <c r="K38" t="str">
        <v>Alfon</v>
      </c>
      <c r="L38" t="str">
        <v>DEL</v>
      </c>
      <c r="M38" s="1">
        <v>45922</v>
      </c>
      <c r="N38" s="2">
        <v>9411449</v>
      </c>
      <c r="O38" s="2">
        <f t="shared" si="3"/>
        <v>9163132</v>
      </c>
      <c r="P38" s="2">
        <f t="shared" si="4"/>
        <v>248317</v>
      </c>
    </row>
    <row r="39" spans="1:16" x14ac:dyDescent="0.25">
      <c r="A39" t="str">
        <v>DEL</v>
      </c>
      <c r="B39" t="str">
        <v>Ejuke</v>
      </c>
      <c r="C39">
        <v>45896</v>
      </c>
      <c r="D39">
        <v>4000000</v>
      </c>
      <c r="K39" t="str">
        <v>Febas</v>
      </c>
      <c r="L39" t="str">
        <v>MED</v>
      </c>
      <c r="M39" s="1">
        <v>45922</v>
      </c>
      <c r="N39" s="2">
        <v>8210100</v>
      </c>
      <c r="O39" s="2">
        <f t="shared" si="3"/>
        <v>4210100</v>
      </c>
      <c r="P39" s="2">
        <f t="shared" si="4"/>
        <v>4000000</v>
      </c>
    </row>
    <row r="40" spans="1:16" x14ac:dyDescent="0.25">
      <c r="A40" t="str">
        <v>DEF</v>
      </c>
      <c r="B40" t="str">
        <v>Junior</v>
      </c>
      <c r="C40">
        <v>45900</v>
      </c>
      <c r="D40">
        <v>12310001</v>
      </c>
      <c r="K40" t="str">
        <v>Yuri</v>
      </c>
      <c r="L40" t="str">
        <v>DEF</v>
      </c>
      <c r="M40" s="1">
        <v>45924</v>
      </c>
      <c r="N40" s="2">
        <v>14118951</v>
      </c>
      <c r="O40" s="2">
        <f t="shared" si="3"/>
        <v>18734306</v>
      </c>
      <c r="P40" s="2">
        <f t="shared" si="4"/>
        <v>-4615355</v>
      </c>
    </row>
    <row r="41" spans="1:16" x14ac:dyDescent="0.25">
      <c r="A41" t="str">
        <v>DEF</v>
      </c>
      <c r="B41" t="str">
        <v>Castrín</v>
      </c>
      <c r="C41">
        <v>45903</v>
      </c>
      <c r="D41">
        <v>3100010</v>
      </c>
      <c r="K41" t="str">
        <v>Pedro Díaz</v>
      </c>
      <c r="L41" t="str">
        <v>MED</v>
      </c>
      <c r="M41" s="1">
        <v>45925</v>
      </c>
      <c r="N41" s="2">
        <v>3201101</v>
      </c>
      <c r="O41" s="2">
        <f t="shared" si="3"/>
        <v>3201101</v>
      </c>
      <c r="P41" s="2">
        <f t="shared" si="4"/>
        <v>0</v>
      </c>
    </row>
    <row r="42" spans="1:16" x14ac:dyDescent="0.25">
      <c r="A42" t="str">
        <v>POR</v>
      </c>
      <c r="B42" t="str">
        <v>Herrera</v>
      </c>
      <c r="C42">
        <v>45903</v>
      </c>
      <c r="D42">
        <v>22159096</v>
      </c>
      <c r="K42" t="str">
        <v>Junior</v>
      </c>
      <c r="L42" t="str">
        <v>DEF</v>
      </c>
      <c r="M42" s="1">
        <v>45926</v>
      </c>
      <c r="N42" s="2">
        <v>17460356</v>
      </c>
      <c r="O42" s="2">
        <f t="shared" si="3"/>
        <v>12310001</v>
      </c>
      <c r="P42" s="2">
        <f t="shared" si="4"/>
        <v>5150355</v>
      </c>
    </row>
    <row r="43" spans="1:16" x14ac:dyDescent="0.25">
      <c r="A43" t="str">
        <v>MED</v>
      </c>
      <c r="B43" t="str">
        <v>Arambarri</v>
      </c>
      <c r="C43">
        <v>45906</v>
      </c>
      <c r="D43">
        <v>13100100</v>
      </c>
      <c r="K43" t="str">
        <v>Aleñá</v>
      </c>
      <c r="L43" t="str">
        <v>MED</v>
      </c>
      <c r="M43" s="1">
        <v>45927</v>
      </c>
      <c r="N43" s="2">
        <v>14347360</v>
      </c>
      <c r="O43" s="2">
        <f t="shared" si="3"/>
        <v>13434659</v>
      </c>
      <c r="P43" s="2">
        <f t="shared" si="4"/>
        <v>912701</v>
      </c>
    </row>
    <row r="44" spans="1:16" x14ac:dyDescent="0.25">
      <c r="A44" t="str">
        <v>DEF</v>
      </c>
      <c r="B44" t="str">
        <v>Yuri</v>
      </c>
      <c r="C44">
        <v>45911</v>
      </c>
      <c r="D44">
        <v>18734306</v>
      </c>
      <c r="K44" t="str">
        <v>Affengruber</v>
      </c>
      <c r="L44" t="str">
        <v>DEF</v>
      </c>
      <c r="M44" s="1">
        <v>45929</v>
      </c>
      <c r="N44" s="2">
        <v>31890001</v>
      </c>
      <c r="O44" s="2">
        <f t="shared" si="3"/>
        <v>15365462</v>
      </c>
      <c r="P44" s="2">
        <f t="shared" si="4"/>
        <v>16524539</v>
      </c>
    </row>
    <row r="45" spans="1:16" x14ac:dyDescent="0.25">
      <c r="A45" t="str">
        <v>DEL</v>
      </c>
      <c r="B45" t="str">
        <v>André Silva</v>
      </c>
      <c r="C45">
        <v>45913</v>
      </c>
      <c r="D45">
        <v>7100010</v>
      </c>
      <c r="K45" t="str">
        <v>André Silva</v>
      </c>
      <c r="L45" t="str">
        <v>DEL</v>
      </c>
      <c r="M45" s="1">
        <v>45929</v>
      </c>
      <c r="N45" s="2">
        <v>10100101</v>
      </c>
      <c r="O45" s="2">
        <f t="shared" si="3"/>
        <v>7100010</v>
      </c>
      <c r="P45" s="2">
        <f t="shared" si="4"/>
        <v>3000091</v>
      </c>
    </row>
    <row r="46" spans="1:16" x14ac:dyDescent="0.25">
      <c r="A46" t="str">
        <v>DEL</v>
      </c>
      <c r="B46" t="str">
        <v>Alfon</v>
      </c>
      <c r="C46">
        <v>45916</v>
      </c>
      <c r="D46">
        <v>9163132</v>
      </c>
      <c r="K46" t="str">
        <v>Mojica</v>
      </c>
      <c r="L46" t="str">
        <v>DEF</v>
      </c>
      <c r="M46" s="1">
        <v>45930</v>
      </c>
      <c r="N46" s="2">
        <v>6711961</v>
      </c>
      <c r="O46" s="2">
        <f t="shared" si="3"/>
        <v>6721764</v>
      </c>
      <c r="P46" s="2">
        <f t="shared" si="4"/>
        <v>-9803</v>
      </c>
    </row>
    <row r="47" spans="1:16" x14ac:dyDescent="0.25">
      <c r="A47" t="str">
        <v>POR</v>
      </c>
      <c r="B47" t="str">
        <v>Alberto</v>
      </c>
      <c r="C47">
        <v>45917</v>
      </c>
      <c r="D47">
        <v>441181</v>
      </c>
      <c r="K47" t="str">
        <v>Ferran</v>
      </c>
      <c r="L47" t="str">
        <v>DEL</v>
      </c>
      <c r="M47" s="1">
        <v>45931</v>
      </c>
      <c r="N47" s="2">
        <v>79644740</v>
      </c>
      <c r="O47" s="2">
        <f t="shared" si="3"/>
        <v>60001168</v>
      </c>
      <c r="P47" s="2">
        <f t="shared" si="4"/>
        <v>19643572</v>
      </c>
    </row>
    <row r="48" spans="1:16" x14ac:dyDescent="0.25">
      <c r="A48" t="str">
        <v>DEL</v>
      </c>
      <c r="B48" t="str">
        <v>De Frutos</v>
      </c>
      <c r="C48">
        <v>45917</v>
      </c>
      <c r="D48">
        <v>27295171</v>
      </c>
      <c r="K48" t="str">
        <v>Femenia</v>
      </c>
      <c r="L48" t="str">
        <v>DEF</v>
      </c>
      <c r="M48" s="1">
        <v>45932</v>
      </c>
      <c r="N48" s="2">
        <v>6501001</v>
      </c>
      <c r="O48" s="2">
        <f t="shared" si="3"/>
        <v>6501001</v>
      </c>
      <c r="P48" s="2">
        <f t="shared" si="4"/>
        <v>0</v>
      </c>
    </row>
    <row r="49" spans="1:14" x14ac:dyDescent="0.25">
      <c r="A49" t="str">
        <v>DEL</v>
      </c>
      <c r="B49" t="str">
        <v>Ferran</v>
      </c>
      <c r="C49">
        <v>45917</v>
      </c>
      <c r="D49">
        <v>60001168</v>
      </c>
      <c r="K49" t="str">
        <v>Eric García</v>
      </c>
      <c r="L49" t="str">
        <v>DEF</v>
      </c>
      <c r="M49" s="1">
        <v>45935</v>
      </c>
      <c r="N49" s="2">
        <v>45306673</v>
      </c>
    </row>
    <row r="50" spans="1:14" x14ac:dyDescent="0.25">
      <c r="A50" t="str">
        <v>DEF</v>
      </c>
      <c r="B50" t="str">
        <v>Femenia</v>
      </c>
      <c r="C50">
        <v>45917</v>
      </c>
      <c r="D50">
        <v>6501001</v>
      </c>
      <c r="K50" t="str">
        <v>Araújo</v>
      </c>
      <c r="L50" t="str">
        <v>DEF</v>
      </c>
      <c r="M50" s="1">
        <v>45935</v>
      </c>
      <c r="N50" s="2">
        <v>22297359</v>
      </c>
    </row>
    <row r="51" spans="1:14" x14ac:dyDescent="0.25">
      <c r="A51" t="str">
        <v>DEF</v>
      </c>
      <c r="B51" t="str">
        <v>Laporte</v>
      </c>
      <c r="C51">
        <v>45917</v>
      </c>
      <c r="D51">
        <v>23439691</v>
      </c>
      <c r="K51" t="str">
        <v>Diakhaby</v>
      </c>
      <c r="L51" t="str">
        <v>DEF</v>
      </c>
      <c r="M51" s="1">
        <v>45936</v>
      </c>
      <c r="N51" s="2">
        <v>8206580</v>
      </c>
    </row>
    <row r="52" spans="1:14" x14ac:dyDescent="0.25">
      <c r="A52" t="str">
        <v>DEF</v>
      </c>
      <c r="B52" t="str">
        <v>Gayà</v>
      </c>
      <c r="C52">
        <v>45918</v>
      </c>
      <c r="D52">
        <v>6609506</v>
      </c>
      <c r="K52" t="str">
        <v>Muriqi</v>
      </c>
      <c r="L52" t="str">
        <v>DEL</v>
      </c>
      <c r="M52" s="1">
        <v>45936</v>
      </c>
      <c r="N52" s="2">
        <v>26129572</v>
      </c>
    </row>
    <row r="53" spans="1:14" x14ac:dyDescent="0.25">
      <c r="A53" t="str">
        <v>DEL</v>
      </c>
      <c r="B53" t="str">
        <v>Pépé</v>
      </c>
      <c r="C53">
        <v>45900</v>
      </c>
      <c r="D53">
        <v>40046131</v>
      </c>
      <c r="K53" t="str">
        <v>Luiz Junior</v>
      </c>
      <c r="L53" t="str">
        <v>POR</v>
      </c>
      <c r="M53" s="1">
        <v>45937</v>
      </c>
      <c r="N53" s="2">
        <v>24021481</v>
      </c>
    </row>
    <row r="54" spans="1:14" x14ac:dyDescent="0.25">
      <c r="A54" t="str">
        <v>DEF</v>
      </c>
      <c r="B54" t="str">
        <v>Eric García</v>
      </c>
      <c r="C54">
        <v>45920</v>
      </c>
      <c r="D54">
        <v>26000000</v>
      </c>
      <c r="K54" t="str">
        <v>Brais</v>
      </c>
      <c r="L54" t="str">
        <v>MED</v>
      </c>
      <c r="M54" s="1">
        <v>45938</v>
      </c>
      <c r="N54" s="2">
        <v>12818323</v>
      </c>
    </row>
    <row r="55" spans="1:14" x14ac:dyDescent="0.25">
      <c r="A55" t="str">
        <v>MED</v>
      </c>
      <c r="B55" t="str">
        <v>Morlanes</v>
      </c>
      <c r="C55">
        <v>45921</v>
      </c>
      <c r="D55">
        <v>1610010</v>
      </c>
      <c r="K55" t="str">
        <v>Mikautadze</v>
      </c>
      <c r="L55" t="str">
        <v>DEL</v>
      </c>
      <c r="M55" s="1">
        <v>45944</v>
      </c>
      <c r="N55" s="2">
        <v>45100000</v>
      </c>
    </row>
    <row r="56" spans="1:14" x14ac:dyDescent="0.25">
      <c r="A56" t="str">
        <v>DEL</v>
      </c>
      <c r="B56" t="str">
        <v>Muriqi</v>
      </c>
      <c r="C56">
        <v>45921</v>
      </c>
      <c r="D56">
        <v>25610010</v>
      </c>
      <c r="K56" t="str">
        <v>Morlanes</v>
      </c>
      <c r="L56" t="str">
        <v>MED</v>
      </c>
      <c r="M56" s="1">
        <v>45944</v>
      </c>
      <c r="N56" s="2">
        <v>1610010</v>
      </c>
    </row>
    <row r="57" spans="1:14" x14ac:dyDescent="0.25">
      <c r="A57" t="str">
        <v>MED</v>
      </c>
      <c r="B57" t="str">
        <v>Brais</v>
      </c>
      <c r="C57">
        <v>45922</v>
      </c>
      <c r="D57">
        <v>21010101</v>
      </c>
      <c r="K57" t="str">
        <v>Laporte</v>
      </c>
      <c r="L57" t="str">
        <v>DEF</v>
      </c>
      <c r="M57" s="1">
        <v>45944</v>
      </c>
      <c r="N57" s="2">
        <v>35533525</v>
      </c>
    </row>
    <row r="58" spans="1:14" x14ac:dyDescent="0.25">
      <c r="A58" t="str">
        <v>DEF</v>
      </c>
      <c r="B58" t="str">
        <v>Rosier</v>
      </c>
      <c r="C58">
        <v>45900</v>
      </c>
      <c r="D58">
        <v>15838779</v>
      </c>
      <c r="K58" t="str">
        <v>De Frutos</v>
      </c>
      <c r="L58" t="str">
        <v>DEL</v>
      </c>
      <c r="M58" s="1">
        <v>45945</v>
      </c>
      <c r="N58" s="2">
        <v>42650147</v>
      </c>
    </row>
    <row r="59" spans="1:14" x14ac:dyDescent="0.25">
      <c r="A59" t="str">
        <v>DEL</v>
      </c>
      <c r="B59" t="str">
        <v>Mikautadze</v>
      </c>
      <c r="C59">
        <v>45924</v>
      </c>
      <c r="D59">
        <v>35100000</v>
      </c>
      <c r="K59" t="str">
        <v>Rafa Marín</v>
      </c>
      <c r="L59" t="str">
        <v>DEF</v>
      </c>
      <c r="M59" s="1">
        <v>45949</v>
      </c>
      <c r="N59" s="2">
        <v>41359263</v>
      </c>
    </row>
    <row r="60" spans="1:14" x14ac:dyDescent="0.25">
      <c r="A60" t="str">
        <v>MED</v>
      </c>
      <c r="B60" t="str">
        <v>Aleñá</v>
      </c>
      <c r="C60">
        <v>45925</v>
      </c>
      <c r="D60">
        <v>13434659</v>
      </c>
      <c r="K60" t="str">
        <v>Rioja</v>
      </c>
      <c r="L60" t="str">
        <v>MED</v>
      </c>
      <c r="M60" s="1">
        <v>45952</v>
      </c>
      <c r="N60" s="2">
        <v>27230877</v>
      </c>
    </row>
    <row r="61" spans="1:14" x14ac:dyDescent="0.25">
      <c r="A61" t="str">
        <v>DEF</v>
      </c>
      <c r="B61" t="str">
        <v>Mojica</v>
      </c>
      <c r="C61">
        <v>45926</v>
      </c>
      <c r="D61">
        <v>6721764</v>
      </c>
      <c r="K61" t="str">
        <v>Gayà</v>
      </c>
      <c r="L61" t="str">
        <v>DEF</v>
      </c>
      <c r="M61" s="1">
        <v>45952</v>
      </c>
      <c r="N61" s="2">
        <v>3502250</v>
      </c>
    </row>
    <row r="62" spans="1:14" x14ac:dyDescent="0.25">
      <c r="A62" t="str">
        <v>DEF</v>
      </c>
      <c r="B62" t="str">
        <v>Diakhaby</v>
      </c>
      <c r="C62">
        <v>45927</v>
      </c>
      <c r="D62">
        <v>10610010</v>
      </c>
      <c r="K62" t="str">
        <v>Gorrotxategi</v>
      </c>
      <c r="L62" t="str">
        <v>MED</v>
      </c>
      <c r="M62" s="1">
        <v>45952</v>
      </c>
      <c r="N62" s="2">
        <v>6100101</v>
      </c>
    </row>
    <row r="63" spans="1:14" x14ac:dyDescent="0.25">
      <c r="A63" t="str">
        <v>MED</v>
      </c>
      <c r="B63" t="str">
        <v>Rioja</v>
      </c>
      <c r="C63">
        <v>45927</v>
      </c>
      <c r="D63">
        <v>22610010</v>
      </c>
      <c r="K63" t="str">
        <v>Romero</v>
      </c>
      <c r="L63" t="str">
        <v>DEL</v>
      </c>
      <c r="M63" s="1">
        <v>45952</v>
      </c>
      <c r="N63" s="2">
        <v>13987987</v>
      </c>
    </row>
    <row r="64" spans="1:14" x14ac:dyDescent="0.25">
      <c r="A64" t="str">
        <v>MED</v>
      </c>
      <c r="B64" t="str">
        <v>Fornals</v>
      </c>
      <c r="C64">
        <v>45931</v>
      </c>
      <c r="D64">
        <v>34462038</v>
      </c>
      <c r="K64" t="str">
        <v>Balde</v>
      </c>
      <c r="L64" t="str">
        <v>DEF</v>
      </c>
      <c r="M64" s="1">
        <v>45953</v>
      </c>
      <c r="N64" s="2">
        <v>42397538</v>
      </c>
    </row>
    <row r="65" spans="1:14" x14ac:dyDescent="0.25">
      <c r="A65" t="str">
        <v>DEF</v>
      </c>
      <c r="B65" t="str">
        <v>Araújo</v>
      </c>
      <c r="C65">
        <v>45931</v>
      </c>
      <c r="D65">
        <v>19750244</v>
      </c>
      <c r="K65" t="str">
        <v>Castrín</v>
      </c>
      <c r="L65" t="str">
        <v>DEF</v>
      </c>
      <c r="M65" s="1">
        <v>45955</v>
      </c>
      <c r="N65" s="2">
        <v>919954</v>
      </c>
    </row>
    <row r="66" spans="1:14" x14ac:dyDescent="0.25">
      <c r="A66" t="str">
        <v>POR</v>
      </c>
      <c r="B66" t="str">
        <v>Gazzaniga</v>
      </c>
      <c r="C66">
        <v>45932</v>
      </c>
      <c r="D66">
        <v>8871008</v>
      </c>
      <c r="K66" t="str">
        <v>Javi Guerra</v>
      </c>
      <c r="L66" t="str">
        <v>MED</v>
      </c>
      <c r="M66" s="1">
        <v>45956</v>
      </c>
      <c r="N66" s="2">
        <v>17562711</v>
      </c>
    </row>
    <row r="67" spans="1:14" x14ac:dyDescent="0.25">
      <c r="A67" t="str">
        <v>DEF</v>
      </c>
      <c r="B67" t="str">
        <v>Marcão</v>
      </c>
      <c r="C67">
        <v>45938</v>
      </c>
      <c r="D67">
        <v>1834561</v>
      </c>
      <c r="K67" t="str">
        <v>Baena</v>
      </c>
      <c r="L67" t="str">
        <v>MED</v>
      </c>
      <c r="M67" s="1">
        <v>45956</v>
      </c>
      <c r="N67" s="2">
        <v>77310010</v>
      </c>
    </row>
    <row r="68" spans="1:14" x14ac:dyDescent="0.25">
      <c r="A68" t="str">
        <v>DEL</v>
      </c>
      <c r="B68" t="str">
        <v>Romero</v>
      </c>
      <c r="C68">
        <v>45938</v>
      </c>
      <c r="D68">
        <v>13987987</v>
      </c>
      <c r="K68" t="str">
        <v>Iván Romero</v>
      </c>
      <c r="L68" t="str">
        <v>DEL</v>
      </c>
      <c r="M68" s="1">
        <v>45958</v>
      </c>
      <c r="N68" s="2">
        <v>13310449</v>
      </c>
    </row>
    <row r="69" spans="1:14" x14ac:dyDescent="0.25">
      <c r="A69" t="str">
        <v>POR</v>
      </c>
      <c r="B69" t="str">
        <v>Szczesny</v>
      </c>
      <c r="C69">
        <v>45938</v>
      </c>
      <c r="D69">
        <v>8610010</v>
      </c>
      <c r="K69" t="str">
        <v>Vivian</v>
      </c>
      <c r="L69" t="str">
        <v>DEF</v>
      </c>
      <c r="M69" s="1">
        <v>45959</v>
      </c>
      <c r="N69" s="2">
        <v>39200833</v>
      </c>
    </row>
    <row r="70" spans="1:14" x14ac:dyDescent="0.25">
      <c r="A70" t="str">
        <v>MED</v>
      </c>
      <c r="B70" t="str">
        <v>Gorrotxategi</v>
      </c>
      <c r="C70">
        <v>45938</v>
      </c>
      <c r="D70">
        <v>6100101</v>
      </c>
      <c r="K70" t="str">
        <v>Ratiu</v>
      </c>
      <c r="L70" t="str">
        <v>DEF</v>
      </c>
      <c r="M70" s="1">
        <v>45960</v>
      </c>
      <c r="N70" s="2">
        <v>28741587</v>
      </c>
    </row>
    <row r="71" spans="1:14" x14ac:dyDescent="0.25">
      <c r="A71" t="str">
        <v>DEF</v>
      </c>
      <c r="B71" t="str">
        <v>Bailly</v>
      </c>
      <c r="C71">
        <v>45940</v>
      </c>
      <c r="D71">
        <v>796906</v>
      </c>
      <c r="K71" t="str">
        <v>Cabrera</v>
      </c>
      <c r="L71" t="str">
        <v>DEF</v>
      </c>
      <c r="M71" s="1">
        <v>45962</v>
      </c>
      <c r="N71" s="2">
        <v>15010001</v>
      </c>
    </row>
    <row r="72" spans="1:14" x14ac:dyDescent="0.25">
      <c r="A72" t="str">
        <v>DEL</v>
      </c>
      <c r="B72" t="str">
        <v>Iván Romero</v>
      </c>
      <c r="C72">
        <v>45941</v>
      </c>
      <c r="D72">
        <v>10073333</v>
      </c>
      <c r="K72" t="str">
        <v>Pau López</v>
      </c>
      <c r="L72" t="str">
        <v>POR</v>
      </c>
      <c r="M72" s="1">
        <v>45966</v>
      </c>
      <c r="N72" s="2">
        <v>7445006</v>
      </c>
    </row>
    <row r="73" spans="1:14" x14ac:dyDescent="0.25">
      <c r="A73" t="str">
        <v>MED</v>
      </c>
      <c r="B73" t="str">
        <v>Baena</v>
      </c>
      <c r="C73">
        <v>45942</v>
      </c>
      <c r="D73">
        <v>57310010</v>
      </c>
      <c r="K73" t="str">
        <v>Pere Milla</v>
      </c>
      <c r="L73" t="str">
        <v>DEL</v>
      </c>
      <c r="M73" s="1">
        <v>45967</v>
      </c>
      <c r="N73" s="2">
        <v>22009683</v>
      </c>
    </row>
    <row r="74" spans="1:14" x14ac:dyDescent="0.25">
      <c r="A74" t="str">
        <v>DEF</v>
      </c>
      <c r="B74" t="str">
        <v>Rafa Marín</v>
      </c>
      <c r="C74">
        <v>45943</v>
      </c>
      <c r="D74">
        <v>39261200</v>
      </c>
      <c r="K74" t="str">
        <v>Femenia</v>
      </c>
      <c r="L74" t="str">
        <v>DEF</v>
      </c>
      <c r="M74" s="1">
        <v>45970</v>
      </c>
      <c r="N74" s="2">
        <v>3026508</v>
      </c>
    </row>
    <row r="75" spans="1:14" x14ac:dyDescent="0.25">
      <c r="A75" t="str">
        <v>DEF</v>
      </c>
      <c r="B75" t="str">
        <v>Vivian</v>
      </c>
      <c r="C75">
        <v>45943</v>
      </c>
      <c r="D75">
        <v>34200833</v>
      </c>
      <c r="K75" t="str">
        <v>Samú</v>
      </c>
      <c r="L75" t="str">
        <v>MED</v>
      </c>
      <c r="M75" s="1">
        <v>45970</v>
      </c>
      <c r="N75" s="2">
        <v>7874521</v>
      </c>
    </row>
    <row r="76" spans="1:14" x14ac:dyDescent="0.25">
      <c r="A76" t="str">
        <v>DEF</v>
      </c>
      <c r="B76" t="str">
        <v>Ratiu</v>
      </c>
      <c r="C76">
        <v>45946</v>
      </c>
      <c r="D76">
        <v>21741587</v>
      </c>
      <c r="K76" t="str">
        <v>Valverde</v>
      </c>
      <c r="L76" t="str">
        <v>MED</v>
      </c>
      <c r="M76" s="1">
        <v>45971</v>
      </c>
      <c r="N76" s="2">
        <v>93114856</v>
      </c>
    </row>
    <row r="77" spans="1:14" x14ac:dyDescent="0.25">
      <c r="A77" t="str">
        <v>DEF</v>
      </c>
      <c r="B77" t="str">
        <v>Balde</v>
      </c>
      <c r="C77">
        <v>45947</v>
      </c>
      <c r="D77">
        <v>42610010</v>
      </c>
      <c r="K77" t="str">
        <v>Edu Expósito</v>
      </c>
      <c r="L77" t="str">
        <v>MED</v>
      </c>
      <c r="M77" s="1">
        <v>45972</v>
      </c>
      <c r="N77" s="2">
        <v>40818837</v>
      </c>
    </row>
    <row r="78" spans="1:14" x14ac:dyDescent="0.25">
      <c r="A78" t="str">
        <v>DEF</v>
      </c>
      <c r="B78" t="str">
        <v>Cabrera</v>
      </c>
      <c r="C78">
        <v>45948</v>
      </c>
      <c r="D78">
        <v>15010001</v>
      </c>
      <c r="K78" t="str">
        <v>Gerard</v>
      </c>
      <c r="L78" t="str">
        <v>DEL</v>
      </c>
      <c r="M78" s="1">
        <v>45973</v>
      </c>
      <c r="N78" s="2">
        <v>16610101</v>
      </c>
    </row>
    <row r="79" spans="1:14" x14ac:dyDescent="0.25">
      <c r="A79" t="str">
        <v>MED</v>
      </c>
      <c r="B79" t="str">
        <v>Samú</v>
      </c>
      <c r="C79">
        <v>45952</v>
      </c>
      <c r="D79">
        <v>7874521</v>
      </c>
    </row>
    <row r="80" spans="1:14" x14ac:dyDescent="0.25">
      <c r="A80" t="str">
        <v>DEL</v>
      </c>
      <c r="B80" t="str">
        <v>Pere Milla</v>
      </c>
      <c r="C80">
        <v>45952</v>
      </c>
      <c r="D80">
        <v>18009683</v>
      </c>
    </row>
    <row r="81" spans="1:4" x14ac:dyDescent="0.25">
      <c r="A81" t="str">
        <v>MED</v>
      </c>
      <c r="B81" t="str">
        <v>Lozano</v>
      </c>
      <c r="C81">
        <v>45953</v>
      </c>
      <c r="D81">
        <v>10014326</v>
      </c>
    </row>
    <row r="82" spans="1:4" x14ac:dyDescent="0.25">
      <c r="A82" t="str">
        <v>DEF</v>
      </c>
      <c r="B82" t="str">
        <v>Moreno</v>
      </c>
      <c r="C82">
        <v>45953</v>
      </c>
      <c r="D82">
        <v>4100010</v>
      </c>
    </row>
    <row r="83" spans="1:4" x14ac:dyDescent="0.25">
      <c r="A83" t="str">
        <v>MED</v>
      </c>
      <c r="B83" t="str">
        <v>Javi Guerra</v>
      </c>
      <c r="C83">
        <v>45954</v>
      </c>
      <c r="D83">
        <v>16333241</v>
      </c>
    </row>
    <row r="84" spans="1:4" x14ac:dyDescent="0.25">
      <c r="A84" t="str">
        <v>DEL</v>
      </c>
      <c r="B84" t="str">
        <v>Rashford</v>
      </c>
      <c r="C84">
        <v>45956</v>
      </c>
      <c r="D84">
        <v>91655316</v>
      </c>
    </row>
    <row r="85" spans="1:4" x14ac:dyDescent="0.25">
      <c r="A85" t="str">
        <v>DEF</v>
      </c>
      <c r="B85" t="str">
        <v>Giménez</v>
      </c>
      <c r="C85">
        <v>45956</v>
      </c>
      <c r="D85">
        <v>13110101</v>
      </c>
    </row>
    <row r="86" spans="1:4" x14ac:dyDescent="0.25">
      <c r="A86" t="str">
        <v>MED</v>
      </c>
      <c r="B86" t="str">
        <v>Edu Expósito</v>
      </c>
      <c r="C86">
        <v>45958</v>
      </c>
      <c r="D86">
        <v>26279253</v>
      </c>
    </row>
    <row r="87" spans="1:4" x14ac:dyDescent="0.25">
      <c r="A87" t="str">
        <v>DEF</v>
      </c>
      <c r="B87" t="str">
        <v>Femenia</v>
      </c>
      <c r="C87">
        <v>45958</v>
      </c>
      <c r="D87">
        <v>6501001</v>
      </c>
    </row>
    <row r="88" spans="1:4" x14ac:dyDescent="0.25">
      <c r="A88" t="str">
        <v>DEL</v>
      </c>
      <c r="B88" t="str">
        <v>Gerard</v>
      </c>
      <c r="C88">
        <v>45959</v>
      </c>
      <c r="D88">
        <v>16610101</v>
      </c>
    </row>
    <row r="89" spans="1:4" x14ac:dyDescent="0.25">
      <c r="A89" t="str">
        <v>DEL</v>
      </c>
      <c r="B89" t="str">
        <v>Oyarzabal</v>
      </c>
      <c r="C89">
        <v>45959</v>
      </c>
      <c r="D89">
        <v>43160079</v>
      </c>
    </row>
    <row r="90" spans="1:4" x14ac:dyDescent="0.25">
      <c r="A90" t="str">
        <v>POR</v>
      </c>
      <c r="B90" t="str">
        <v>Pau López</v>
      </c>
      <c r="C90">
        <v>45960</v>
      </c>
      <c r="D90">
        <v>14758698</v>
      </c>
    </row>
    <row r="91" spans="1:4" x14ac:dyDescent="0.25">
      <c r="A91" t="str">
        <v>MED</v>
      </c>
      <c r="B91" t="str">
        <v>Aguado</v>
      </c>
      <c r="C91">
        <v>45964</v>
      </c>
      <c r="D91">
        <v>1286806</v>
      </c>
    </row>
    <row r="92" spans="1:4" x14ac:dyDescent="0.25">
      <c r="A92" t="str">
        <v>DEF</v>
      </c>
      <c r="B92" t="str">
        <v>Valjent</v>
      </c>
      <c r="C92">
        <v>45966</v>
      </c>
      <c r="D92">
        <v>7108000</v>
      </c>
    </row>
    <row r="93" spans="1:4" x14ac:dyDescent="0.25">
      <c r="A93" t="str">
        <v>DEF</v>
      </c>
      <c r="B93" t="str">
        <v>Gorosabel</v>
      </c>
      <c r="C93">
        <v>45967</v>
      </c>
      <c r="D93">
        <v>4100010</v>
      </c>
    </row>
    <row r="94" spans="1:4" x14ac:dyDescent="0.25">
      <c r="A94" t="str">
        <v>MED</v>
      </c>
      <c r="B94" t="str">
        <v>Valverde</v>
      </c>
      <c r="C94">
        <v>45969</v>
      </c>
      <c r="D94">
        <v>90120101</v>
      </c>
    </row>
    <row r="95" spans="1:4" x14ac:dyDescent="0.25">
      <c r="A95" t="str">
        <v>PROBLEMAAAAAA</v>
      </c>
      <c r="B95" t="str">
        <v>PROBLEMAAAAAA</v>
      </c>
      <c r="C95">
        <v>45974</v>
      </c>
      <c r="D95">
        <v>35610101</v>
      </c>
    </row>
  </sheetData>
  <hyperlinks>
    <hyperlink ref="A1" location="Sumario!A1" display="Indice" xr:uid="{689278C1-9181-4EBC-A876-D90F31F13D90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4F602-9425-46C9-8764-5DC9E452C47A}">
  <dimension ref="A1:P114"/>
  <sheetViews>
    <sheetView workbookViewId="0"/>
  </sheetViews>
  <sheetFormatPr baseColWidth="10" defaultRowHeight="15" x14ac:dyDescent="0.25"/>
  <cols>
    <col min="3" max="3" width="11.42578125" style="1"/>
    <col min="4" max="4" width="11.42578125" style="2"/>
    <col min="13" max="13" width="11.42578125" style="1"/>
    <col min="14" max="15" width="14.140625" style="2" bestFit="1" customWidth="1"/>
    <col min="16" max="16" width="12.28515625" bestFit="1" customWidth="1"/>
  </cols>
  <sheetData>
    <row r="1" spans="1:16" x14ac:dyDescent="0.25">
      <c r="A1" s="3" t="s">
        <v>94</v>
      </c>
      <c r="B1" t="s">
        <v>13</v>
      </c>
      <c r="H1" s="1"/>
      <c r="I1" s="2"/>
    </row>
    <row r="2" spans="1:16" x14ac:dyDescent="0.25">
      <c r="A2" t="s">
        <v>188</v>
      </c>
      <c r="H2" s="1"/>
      <c r="I2" s="2"/>
      <c r="K2" t="s">
        <v>189</v>
      </c>
    </row>
    <row r="3" spans="1:16" x14ac:dyDescent="0.25">
      <c r="A3" t="s">
        <v>75</v>
      </c>
      <c r="B3" t="s">
        <v>25</v>
      </c>
      <c r="C3" s="1" t="s">
        <v>76</v>
      </c>
      <c r="D3" s="2" t="s">
        <v>95</v>
      </c>
      <c r="E3" t="s">
        <v>190</v>
      </c>
      <c r="H3" s="1"/>
      <c r="I3" s="2"/>
      <c r="K3" t="s">
        <v>75</v>
      </c>
      <c r="L3" t="s">
        <v>25</v>
      </c>
      <c r="M3" s="1" t="s">
        <v>93</v>
      </c>
      <c r="N3" s="2" t="s">
        <v>96</v>
      </c>
      <c r="O3" s="2" t="s">
        <v>95</v>
      </c>
      <c r="P3" t="s">
        <v>280</v>
      </c>
    </row>
    <row r="4" spans="1:16" x14ac:dyDescent="0.25">
      <c r="A4" t="str" cm="1">
        <f t="array" ref="A4:A114">_xlfn._xlws.FILTER(Fichajes!C:C,Fichajes!G:G=B1)</f>
        <v>MED</v>
      </c>
      <c r="B4" t="str" cm="1">
        <f t="array" ref="B4:B114">_xlfn._xlws.FILTER(Fichajes!B:B,Fichajes!G:G=B1)</f>
        <v>Barrenetxea</v>
      </c>
      <c r="C4" s="1" cm="1">
        <f t="array" ref="C4:C114">_xlfn._xlws.FILTER(Fichajes!F:F,Fichajes!$G:$G=$B1)</f>
        <v>45872</v>
      </c>
      <c r="D4" s="2" cm="1">
        <f t="array" ref="D4:D114">_xlfn._xlws.FILTER(Fichajes!I:I,Fichajes!$G:$G=$B1)</f>
        <v>0</v>
      </c>
      <c r="E4" t="str">
        <f t="shared" ref="E4:E39" si="0">IF(B4="","",IFERROR(
   IF(
      (VLOOKUP(B4,K:N,3,FALSE)) &lt; C4,
      "X",
      ""
   ),
   "X")
)</f>
        <v/>
      </c>
      <c r="H4" s="1"/>
      <c r="I4" s="2"/>
      <c r="K4" t="str" cm="1">
        <f t="array" ref="K4:K95">_xlfn._xlws.FILTER(Fichajes!B:B,Fichajes!$H:$H=B$1)</f>
        <v>Endrick</v>
      </c>
      <c r="L4" t="str" cm="1">
        <f t="array" ref="L4:L95">_xlfn._xlws.FILTER(Fichajes!C:C,Fichajes!$H:$H=B$1)</f>
        <v>DEL</v>
      </c>
      <c r="M4" s="1" cm="1">
        <f t="array" ref="M4:M95">_xlfn._xlws.FILTER(Fichajes!F:F,Fichajes!$H:$H=B$1)</f>
        <v>45873</v>
      </c>
      <c r="N4" s="2" cm="1">
        <f t="array" ref="N4:N95">_xlfn._xlws.FILTER(Fichajes!I:I,Fichajes!$H:$H=B$1)</f>
        <v>8378245</v>
      </c>
      <c r="O4" s="2">
        <f t="shared" ref="O4:O14" si="1">IF(ISBLANK(N4),"",VLOOKUP(K4,B:D,3,FALSE))</f>
        <v>0</v>
      </c>
      <c r="P4" s="2">
        <f t="shared" ref="P4:P14" si="2">IF(ISBLANK(N4),"",N4-O4)</f>
        <v>8378245</v>
      </c>
    </row>
    <row r="5" spans="1:16" x14ac:dyDescent="0.25">
      <c r="A5" t="str">
        <v>POR</v>
      </c>
      <c r="B5" t="str">
        <v>Batalla</v>
      </c>
      <c r="C5" s="1">
        <v>45872</v>
      </c>
      <c r="D5" s="2">
        <v>0</v>
      </c>
      <c r="E5" t="str">
        <f t="shared" si="0"/>
        <v/>
      </c>
      <c r="H5" s="1"/>
      <c r="I5" s="2"/>
      <c r="K5" t="str">
        <v>Paredes</v>
      </c>
      <c r="L5" t="str">
        <v>DEF</v>
      </c>
      <c r="M5" s="1">
        <v>45873</v>
      </c>
      <c r="N5" s="2">
        <v>11553769</v>
      </c>
      <c r="O5" s="2">
        <f t="shared" si="1"/>
        <v>0</v>
      </c>
      <c r="P5" s="2">
        <f t="shared" si="2"/>
        <v>11553769</v>
      </c>
    </row>
    <row r="6" spans="1:16" x14ac:dyDescent="0.25">
      <c r="A6" t="str">
        <v>MED</v>
      </c>
      <c r="B6" t="str">
        <v>Brahim</v>
      </c>
      <c r="C6" s="1">
        <v>45872</v>
      </c>
      <c r="D6" s="2">
        <v>0</v>
      </c>
      <c r="E6" t="str">
        <f t="shared" si="0"/>
        <v/>
      </c>
      <c r="H6" s="1"/>
      <c r="I6" s="2"/>
      <c r="K6" t="str">
        <v>Barrenetxea</v>
      </c>
      <c r="L6" t="str">
        <v>MED</v>
      </c>
      <c r="M6" s="1">
        <v>45874</v>
      </c>
      <c r="N6" s="2">
        <v>5672311</v>
      </c>
      <c r="O6" s="2">
        <f t="shared" si="1"/>
        <v>0</v>
      </c>
      <c r="P6" s="2">
        <f t="shared" si="2"/>
        <v>5672311</v>
      </c>
    </row>
    <row r="7" spans="1:16" x14ac:dyDescent="0.25">
      <c r="A7" t="str">
        <v>DEF</v>
      </c>
      <c r="B7" t="str">
        <v>Catena</v>
      </c>
      <c r="C7" s="1">
        <v>45872</v>
      </c>
      <c r="D7" s="2">
        <v>0</v>
      </c>
      <c r="E7" t="str">
        <f t="shared" si="0"/>
        <v/>
      </c>
      <c r="H7" s="1"/>
      <c r="I7" s="2"/>
      <c r="K7" t="str">
        <v>Rodrygo</v>
      </c>
      <c r="L7" t="str">
        <v>DEL</v>
      </c>
      <c r="M7" s="1">
        <v>45875</v>
      </c>
      <c r="N7" s="2">
        <v>25325866</v>
      </c>
      <c r="O7" s="2">
        <f t="shared" si="1"/>
        <v>0</v>
      </c>
      <c r="P7" s="2">
        <f t="shared" si="2"/>
        <v>25325866</v>
      </c>
    </row>
    <row r="8" spans="1:16" x14ac:dyDescent="0.25">
      <c r="A8" t="str">
        <v>DEF</v>
      </c>
      <c r="B8" t="str">
        <v>Domínguez</v>
      </c>
      <c r="C8" s="1">
        <v>45872</v>
      </c>
      <c r="D8" s="2">
        <v>0</v>
      </c>
      <c r="E8" t="str">
        <f t="shared" si="0"/>
        <v/>
      </c>
      <c r="H8" s="1"/>
      <c r="I8" s="2"/>
      <c r="K8" t="str">
        <v>Brahim</v>
      </c>
      <c r="L8" t="str">
        <v>MED</v>
      </c>
      <c r="M8" s="1">
        <v>45876</v>
      </c>
      <c r="N8" s="2">
        <v>20221672</v>
      </c>
      <c r="O8" s="2">
        <f t="shared" si="1"/>
        <v>0</v>
      </c>
      <c r="P8" s="2">
        <f t="shared" si="2"/>
        <v>20221672</v>
      </c>
    </row>
    <row r="9" spans="1:16" x14ac:dyDescent="0.25">
      <c r="A9" t="str">
        <v>DEL</v>
      </c>
      <c r="B9" t="str">
        <v>Endrick</v>
      </c>
      <c r="C9" s="1">
        <v>45872</v>
      </c>
      <c r="D9" s="2">
        <v>0</v>
      </c>
      <c r="E9" t="str">
        <f t="shared" si="0"/>
        <v/>
      </c>
      <c r="H9" s="1"/>
      <c r="I9" s="2"/>
      <c r="K9" t="str">
        <v>Lenglet</v>
      </c>
      <c r="L9" t="str">
        <v>DEF</v>
      </c>
      <c r="M9" s="1">
        <v>45877</v>
      </c>
      <c r="N9" s="2">
        <v>6883495</v>
      </c>
      <c r="O9" s="2">
        <f t="shared" si="1"/>
        <v>0</v>
      </c>
      <c r="P9" s="2">
        <f t="shared" si="2"/>
        <v>6883495</v>
      </c>
    </row>
    <row r="10" spans="1:16" x14ac:dyDescent="0.25">
      <c r="A10" t="str">
        <v>MED</v>
      </c>
      <c r="B10" t="str">
        <v>Gavi</v>
      </c>
      <c r="C10" s="1">
        <v>45872</v>
      </c>
      <c r="D10" s="2">
        <v>0</v>
      </c>
      <c r="E10" t="str">
        <f t="shared" si="0"/>
        <v/>
      </c>
      <c r="H10" s="1"/>
      <c r="I10" s="2"/>
      <c r="K10" t="str">
        <v>Mojica</v>
      </c>
      <c r="L10" t="str">
        <v>DEF</v>
      </c>
      <c r="M10" s="1">
        <v>45878</v>
      </c>
      <c r="N10" s="2">
        <v>15508519</v>
      </c>
      <c r="O10" s="2">
        <f t="shared" si="1"/>
        <v>0</v>
      </c>
      <c r="P10" s="2">
        <f t="shared" si="2"/>
        <v>15508519</v>
      </c>
    </row>
    <row r="11" spans="1:16" x14ac:dyDescent="0.25">
      <c r="A11" t="str">
        <v>MED</v>
      </c>
      <c r="B11" t="str">
        <v>Jauregizar</v>
      </c>
      <c r="C11" s="1">
        <v>45872</v>
      </c>
      <c r="D11" s="2">
        <v>0</v>
      </c>
      <c r="E11" t="str">
        <f t="shared" si="0"/>
        <v/>
      </c>
      <c r="H11" s="1"/>
      <c r="I11" s="2"/>
      <c r="K11" t="str">
        <v>Gavi</v>
      </c>
      <c r="L11" t="str">
        <v>MED</v>
      </c>
      <c r="M11" s="1">
        <v>45881</v>
      </c>
      <c r="N11" s="2">
        <v>19786242</v>
      </c>
      <c r="O11" s="2">
        <f t="shared" si="1"/>
        <v>0</v>
      </c>
      <c r="P11" s="2">
        <f t="shared" si="2"/>
        <v>19786242</v>
      </c>
    </row>
    <row r="12" spans="1:16" x14ac:dyDescent="0.25">
      <c r="A12" t="str">
        <v>MED</v>
      </c>
      <c r="B12" t="str">
        <v>Cardoso</v>
      </c>
      <c r="C12" s="1">
        <v>45872</v>
      </c>
      <c r="D12" s="2">
        <v>0</v>
      </c>
      <c r="E12" t="str">
        <f t="shared" si="0"/>
        <v/>
      </c>
      <c r="H12" s="1"/>
      <c r="I12" s="2"/>
      <c r="K12" t="str">
        <v>Andrei</v>
      </c>
      <c r="L12" t="str">
        <v>DEF</v>
      </c>
      <c r="M12" s="1">
        <v>45882</v>
      </c>
      <c r="N12" s="2">
        <v>14907854</v>
      </c>
      <c r="O12" s="2">
        <f t="shared" si="1"/>
        <v>14500000</v>
      </c>
      <c r="P12" s="2">
        <f t="shared" si="2"/>
        <v>407854</v>
      </c>
    </row>
    <row r="13" spans="1:16" x14ac:dyDescent="0.25">
      <c r="A13" t="str">
        <v>DEF</v>
      </c>
      <c r="B13" t="str">
        <v>Lenglet</v>
      </c>
      <c r="C13" s="1">
        <v>45872</v>
      </c>
      <c r="D13" s="2">
        <v>0</v>
      </c>
      <c r="E13" t="str">
        <f t="shared" si="0"/>
        <v/>
      </c>
      <c r="H13" s="1"/>
      <c r="I13" s="2"/>
      <c r="K13" t="str">
        <v>Lukebakio</v>
      </c>
      <c r="L13" t="str">
        <v>DEL</v>
      </c>
      <c r="M13" s="1">
        <v>45882</v>
      </c>
      <c r="N13" s="2">
        <v>63271385</v>
      </c>
      <c r="O13" s="2">
        <f t="shared" si="1"/>
        <v>60000000</v>
      </c>
      <c r="P13" s="2">
        <f t="shared" si="2"/>
        <v>3271385</v>
      </c>
    </row>
    <row r="14" spans="1:16" x14ac:dyDescent="0.25">
      <c r="A14" t="str">
        <v>DEL</v>
      </c>
      <c r="B14" t="str">
        <v>Mayoral</v>
      </c>
      <c r="C14" s="1">
        <v>45872</v>
      </c>
      <c r="D14" s="2">
        <v>0</v>
      </c>
      <c r="E14" t="str">
        <f t="shared" si="0"/>
        <v/>
      </c>
      <c r="H14" s="1"/>
      <c r="I14" s="2"/>
      <c r="K14" t="str">
        <v>Diego Rico</v>
      </c>
      <c r="L14" t="str">
        <v>DEF</v>
      </c>
      <c r="M14" s="1">
        <v>45884</v>
      </c>
      <c r="N14" s="2">
        <v>5281906</v>
      </c>
      <c r="O14" s="2">
        <f t="shared" si="1"/>
        <v>7300000</v>
      </c>
      <c r="P14" s="2">
        <f t="shared" si="2"/>
        <v>-2018094</v>
      </c>
    </row>
    <row r="15" spans="1:16" x14ac:dyDescent="0.25">
      <c r="A15" t="str">
        <v>DEF</v>
      </c>
      <c r="B15" t="str">
        <v>Mojica</v>
      </c>
      <c r="C15" s="1">
        <v>45872</v>
      </c>
      <c r="D15" s="2">
        <v>0</v>
      </c>
      <c r="E15" t="str">
        <f t="shared" si="0"/>
        <v/>
      </c>
      <c r="H15" s="1"/>
      <c r="I15" s="2"/>
      <c r="K15" t="str">
        <v>Brugui</v>
      </c>
      <c r="L15" t="str">
        <v>DEL</v>
      </c>
      <c r="M15" s="1">
        <v>45885</v>
      </c>
      <c r="N15" s="2">
        <v>2210717</v>
      </c>
      <c r="O15" s="2">
        <f>IF(ISBLANK(N15),"",VLOOKUP(K15,B:D,3,FALSE))</f>
        <v>2113301</v>
      </c>
      <c r="P15" s="2">
        <f>IF(ISBLANK(N15),"",N15-O15)</f>
        <v>97416</v>
      </c>
    </row>
    <row r="16" spans="1:16" x14ac:dyDescent="0.25">
      <c r="A16" t="str">
        <v>DEF</v>
      </c>
      <c r="B16" t="str">
        <v>Paredes</v>
      </c>
      <c r="C16" s="1">
        <v>45872</v>
      </c>
      <c r="D16" s="2">
        <v>0</v>
      </c>
      <c r="E16" t="str">
        <f t="shared" si="0"/>
        <v/>
      </c>
      <c r="H16" s="1"/>
      <c r="I16" s="2"/>
      <c r="K16" t="str">
        <v>Hassan</v>
      </c>
      <c r="L16" t="str">
        <v>MED</v>
      </c>
      <c r="M16" s="1">
        <v>45886</v>
      </c>
      <c r="N16" s="2">
        <v>4070699</v>
      </c>
      <c r="O16" s="2">
        <f t="shared" ref="O16:O48" si="3">IF(ISBLANK(N16),"",VLOOKUP(K16,B:D,3,FALSE))</f>
        <v>4005000</v>
      </c>
      <c r="P16" s="2">
        <f t="shared" ref="P16:P48" si="4">IF(ISBLANK(N16),"",N16-O16)</f>
        <v>65699</v>
      </c>
    </row>
    <row r="17" spans="1:16" x14ac:dyDescent="0.25">
      <c r="A17" t="str">
        <v>DEL</v>
      </c>
      <c r="B17" t="str">
        <v>Rodrygo</v>
      </c>
      <c r="C17" s="1">
        <v>45872</v>
      </c>
      <c r="D17" s="2">
        <v>0</v>
      </c>
      <c r="E17" t="str">
        <f t="shared" si="0"/>
        <v/>
      </c>
      <c r="H17" s="1"/>
      <c r="I17" s="2"/>
      <c r="K17" t="str">
        <v>Swedberg</v>
      </c>
      <c r="L17" t="str">
        <v>MED</v>
      </c>
      <c r="M17" s="1">
        <v>45887</v>
      </c>
      <c r="N17" s="2">
        <v>2475784</v>
      </c>
      <c r="O17" s="2">
        <f t="shared" si="3"/>
        <v>3800000</v>
      </c>
      <c r="P17" s="2">
        <f t="shared" si="4"/>
        <v>-1324216</v>
      </c>
    </row>
    <row r="18" spans="1:16" x14ac:dyDescent="0.25">
      <c r="A18" t="str">
        <v>MED</v>
      </c>
      <c r="B18" t="str">
        <v>Gudelj</v>
      </c>
      <c r="C18" s="1">
        <v>45875</v>
      </c>
      <c r="D18" s="2">
        <v>7900000</v>
      </c>
      <c r="E18" t="str">
        <f t="shared" si="0"/>
        <v/>
      </c>
      <c r="H18" s="1"/>
      <c r="I18" s="2"/>
      <c r="K18" t="str">
        <v>Sergio Mestre</v>
      </c>
      <c r="L18" t="str">
        <v>POR</v>
      </c>
      <c r="M18" s="1">
        <v>45893</v>
      </c>
      <c r="N18" s="2">
        <v>492829</v>
      </c>
      <c r="O18" s="2">
        <f t="shared" si="3"/>
        <v>491779</v>
      </c>
      <c r="P18" s="2">
        <f t="shared" si="4"/>
        <v>1050</v>
      </c>
    </row>
    <row r="19" spans="1:16" x14ac:dyDescent="0.25">
      <c r="A19" t="str">
        <v>DEL</v>
      </c>
      <c r="B19" t="str">
        <v>Durán</v>
      </c>
      <c r="C19" s="1">
        <v>45875</v>
      </c>
      <c r="D19" s="2">
        <v>1600000</v>
      </c>
      <c r="E19" t="str">
        <f t="shared" si="0"/>
        <v/>
      </c>
      <c r="H19" s="1"/>
      <c r="I19" s="2"/>
      <c r="K19" t="str">
        <v>Affengruber</v>
      </c>
      <c r="L19" t="str">
        <v>DEF</v>
      </c>
      <c r="M19" s="1">
        <v>45912</v>
      </c>
      <c r="N19" s="2">
        <v>15365462</v>
      </c>
      <c r="O19" s="2">
        <f t="shared" si="3"/>
        <v>6879879</v>
      </c>
      <c r="P19" s="2">
        <f t="shared" si="4"/>
        <v>8485583</v>
      </c>
    </row>
    <row r="20" spans="1:16" x14ac:dyDescent="0.25">
      <c r="A20" t="str">
        <v>DEF</v>
      </c>
      <c r="B20" t="str">
        <v>Andrei</v>
      </c>
      <c r="C20" s="1">
        <v>45876</v>
      </c>
      <c r="D20" s="2">
        <v>14500000</v>
      </c>
      <c r="E20" t="str">
        <f t="shared" si="0"/>
        <v/>
      </c>
      <c r="H20" s="1"/>
      <c r="I20" s="2"/>
      <c r="K20" t="str">
        <v>Batalla</v>
      </c>
      <c r="L20" t="str">
        <v>POR</v>
      </c>
      <c r="M20" s="1">
        <v>45915</v>
      </c>
      <c r="N20" s="2">
        <v>15113096</v>
      </c>
      <c r="O20" s="2">
        <f t="shared" si="3"/>
        <v>0</v>
      </c>
      <c r="P20" s="2">
        <f t="shared" si="4"/>
        <v>15113096</v>
      </c>
    </row>
    <row r="21" spans="1:16" x14ac:dyDescent="0.25">
      <c r="A21" t="str">
        <v>MED</v>
      </c>
      <c r="B21" t="str">
        <v>Arambarri</v>
      </c>
      <c r="C21" s="1">
        <v>45877</v>
      </c>
      <c r="D21" s="2">
        <v>12000000</v>
      </c>
      <c r="E21" t="str">
        <f t="shared" si="0"/>
        <v/>
      </c>
      <c r="H21" s="1"/>
      <c r="I21" s="2"/>
      <c r="K21" t="str">
        <v>Cardoso</v>
      </c>
      <c r="L21" t="str">
        <v>MED</v>
      </c>
      <c r="M21" s="1">
        <v>45896</v>
      </c>
      <c r="N21" s="2">
        <v>31077187</v>
      </c>
      <c r="O21" s="2">
        <f t="shared" si="3"/>
        <v>0</v>
      </c>
      <c r="P21" s="2">
        <f t="shared" si="4"/>
        <v>31077187</v>
      </c>
    </row>
    <row r="22" spans="1:16" x14ac:dyDescent="0.25">
      <c r="A22" t="str">
        <v>DEF</v>
      </c>
      <c r="B22" t="str">
        <v>Mouriño</v>
      </c>
      <c r="C22" s="1">
        <v>45877</v>
      </c>
      <c r="D22" s="2">
        <v>10430000</v>
      </c>
      <c r="E22" t="str">
        <f t="shared" si="0"/>
        <v/>
      </c>
      <c r="H22" s="1"/>
      <c r="I22" s="2"/>
      <c r="K22" t="str">
        <v>Mayoral</v>
      </c>
      <c r="L22" t="str">
        <v>DEL</v>
      </c>
      <c r="M22" s="1">
        <v>45898</v>
      </c>
      <c r="N22" s="2">
        <v>5228916</v>
      </c>
      <c r="O22" s="2">
        <f t="shared" si="3"/>
        <v>0</v>
      </c>
      <c r="P22" s="2">
        <f t="shared" si="4"/>
        <v>5228916</v>
      </c>
    </row>
    <row r="23" spans="1:16" x14ac:dyDescent="0.25">
      <c r="A23" t="str">
        <v>DEF</v>
      </c>
      <c r="B23" t="str">
        <v>Diego Rico</v>
      </c>
      <c r="C23" s="1">
        <v>45877</v>
      </c>
      <c r="D23" s="2">
        <v>7300000</v>
      </c>
      <c r="E23" t="str">
        <f t="shared" si="0"/>
        <v/>
      </c>
      <c r="H23" s="1"/>
      <c r="I23" s="2"/>
      <c r="K23" t="str">
        <v>Toni Martinez</v>
      </c>
      <c r="L23" t="str">
        <v>DEL</v>
      </c>
      <c r="M23" s="1">
        <v>45899</v>
      </c>
      <c r="N23" s="2">
        <v>2585606</v>
      </c>
      <c r="O23" s="2">
        <f t="shared" si="3"/>
        <v>2352150</v>
      </c>
      <c r="P23" s="2">
        <f t="shared" si="4"/>
        <v>233456</v>
      </c>
    </row>
    <row r="24" spans="1:16" x14ac:dyDescent="0.25">
      <c r="A24" t="str">
        <v>MED</v>
      </c>
      <c r="B24" t="str">
        <v>Swedberg</v>
      </c>
      <c r="C24" s="1">
        <v>45877</v>
      </c>
      <c r="D24" s="2">
        <v>3800000</v>
      </c>
      <c r="E24" t="str">
        <f t="shared" si="0"/>
        <v/>
      </c>
      <c r="K24" t="str">
        <v>Catena</v>
      </c>
      <c r="L24" t="str">
        <v>DEF</v>
      </c>
      <c r="M24" s="1">
        <v>45917</v>
      </c>
      <c r="N24" s="2">
        <v>34082326</v>
      </c>
      <c r="O24" s="2">
        <f t="shared" si="3"/>
        <v>0</v>
      </c>
      <c r="P24" s="2">
        <f t="shared" si="4"/>
        <v>34082326</v>
      </c>
    </row>
    <row r="25" spans="1:16" x14ac:dyDescent="0.25">
      <c r="A25" t="str">
        <v>MED</v>
      </c>
      <c r="B25" t="str">
        <v>Hassan</v>
      </c>
      <c r="C25" s="1">
        <v>45878</v>
      </c>
      <c r="D25" s="2">
        <v>4005000</v>
      </c>
      <c r="E25" t="str">
        <f t="shared" si="0"/>
        <v/>
      </c>
      <c r="K25" t="str">
        <v>Danjuma</v>
      </c>
      <c r="L25" t="str">
        <v>DEL</v>
      </c>
      <c r="M25" s="1">
        <v>45929</v>
      </c>
      <c r="N25" s="2">
        <v>20055695</v>
      </c>
      <c r="O25" s="2">
        <f t="shared" si="3"/>
        <v>11055695</v>
      </c>
      <c r="P25" s="2">
        <f t="shared" si="4"/>
        <v>9000000</v>
      </c>
    </row>
    <row r="26" spans="1:16" x14ac:dyDescent="0.25">
      <c r="A26" t="str">
        <v>DEL</v>
      </c>
      <c r="B26" t="str">
        <v>N. Williams</v>
      </c>
      <c r="C26" s="1">
        <v>45878</v>
      </c>
      <c r="D26" s="2">
        <v>87000000</v>
      </c>
      <c r="E26" t="str">
        <f t="shared" si="0"/>
        <v/>
      </c>
      <c r="K26" t="str">
        <v>Arambarri</v>
      </c>
      <c r="L26" t="str">
        <v>MED</v>
      </c>
      <c r="M26" s="1">
        <v>45902</v>
      </c>
      <c r="N26" s="2">
        <v>10476412</v>
      </c>
      <c r="O26" s="2">
        <f t="shared" si="3"/>
        <v>12000000</v>
      </c>
      <c r="P26" s="2">
        <f t="shared" si="4"/>
        <v>-1523588</v>
      </c>
    </row>
    <row r="27" spans="1:16" x14ac:dyDescent="0.25">
      <c r="A27" t="str">
        <v>MED</v>
      </c>
      <c r="B27" t="str">
        <v>Sibo</v>
      </c>
      <c r="C27" s="1">
        <v>45878</v>
      </c>
      <c r="D27" s="2">
        <v>4000000</v>
      </c>
      <c r="E27" t="str">
        <f t="shared" si="0"/>
        <v/>
      </c>
      <c r="K27" t="str">
        <v>Puado</v>
      </c>
      <c r="L27" t="str">
        <v>MED</v>
      </c>
      <c r="M27" s="1">
        <v>45903</v>
      </c>
      <c r="N27" s="2">
        <v>39923050</v>
      </c>
      <c r="O27" s="2">
        <f t="shared" si="3"/>
        <v>41053831</v>
      </c>
      <c r="P27" s="2">
        <f t="shared" si="4"/>
        <v>-1130781</v>
      </c>
    </row>
    <row r="28" spans="1:16" x14ac:dyDescent="0.25">
      <c r="A28" t="str">
        <v>DEF</v>
      </c>
      <c r="B28" t="str">
        <v>Tárrega</v>
      </c>
      <c r="C28" s="1">
        <v>45878</v>
      </c>
      <c r="D28" s="2">
        <v>21000358</v>
      </c>
      <c r="E28" t="str">
        <f t="shared" si="0"/>
        <v/>
      </c>
      <c r="K28" t="str">
        <v>C. Álvarez</v>
      </c>
      <c r="L28" t="str">
        <v>MED</v>
      </c>
      <c r="M28" s="1">
        <v>45920</v>
      </c>
      <c r="N28" s="2">
        <v>7411401</v>
      </c>
      <c r="O28" s="2">
        <f t="shared" si="3"/>
        <v>2611001</v>
      </c>
      <c r="P28" s="2">
        <f t="shared" si="4"/>
        <v>4800400</v>
      </c>
    </row>
    <row r="29" spans="1:16" x14ac:dyDescent="0.25">
      <c r="A29" t="str">
        <v>DEL</v>
      </c>
      <c r="B29" t="str">
        <v>Lukebakio</v>
      </c>
      <c r="C29" s="1">
        <v>45881</v>
      </c>
      <c r="D29" s="2">
        <v>60000000</v>
      </c>
      <c r="E29" t="str">
        <f t="shared" si="0"/>
        <v/>
      </c>
      <c r="K29" t="str">
        <v>Domínguez</v>
      </c>
      <c r="L29" t="str">
        <v>DEF</v>
      </c>
      <c r="M29" s="1">
        <v>45908</v>
      </c>
      <c r="N29" s="2">
        <v>1805368</v>
      </c>
      <c r="O29" s="2">
        <f t="shared" si="3"/>
        <v>0</v>
      </c>
      <c r="P29" s="2">
        <f t="shared" si="4"/>
        <v>1805368</v>
      </c>
    </row>
    <row r="30" spans="1:16" x14ac:dyDescent="0.25">
      <c r="A30" t="str">
        <v>DEL</v>
      </c>
      <c r="B30" t="str">
        <v>Brugui</v>
      </c>
      <c r="C30" s="1">
        <v>45884</v>
      </c>
      <c r="D30" s="2">
        <v>2113301</v>
      </c>
      <c r="E30" t="str">
        <f t="shared" si="0"/>
        <v/>
      </c>
      <c r="K30" t="str">
        <v>Jauregizar</v>
      </c>
      <c r="L30" t="str">
        <v>MED</v>
      </c>
      <c r="M30" s="1">
        <v>45909</v>
      </c>
      <c r="N30" s="2">
        <v>12759618</v>
      </c>
      <c r="O30" s="2">
        <f t="shared" si="3"/>
        <v>0</v>
      </c>
      <c r="P30" s="2">
        <f t="shared" si="4"/>
        <v>12759618</v>
      </c>
    </row>
    <row r="31" spans="1:16" x14ac:dyDescent="0.25">
      <c r="A31" t="str">
        <v>DEL</v>
      </c>
      <c r="B31" t="str">
        <v>Pépé</v>
      </c>
      <c r="C31" s="1">
        <v>45886</v>
      </c>
      <c r="D31" s="2">
        <v>19282733</v>
      </c>
      <c r="E31" t="str">
        <f t="shared" si="0"/>
        <v/>
      </c>
      <c r="K31" t="str">
        <v>Durán</v>
      </c>
      <c r="L31" t="str">
        <v>DEL</v>
      </c>
      <c r="M31" s="1">
        <v>45897</v>
      </c>
      <c r="N31" s="2">
        <v>1600000</v>
      </c>
      <c r="O31" s="2">
        <f t="shared" si="3"/>
        <v>1600000</v>
      </c>
      <c r="P31" s="2">
        <f t="shared" si="4"/>
        <v>0</v>
      </c>
    </row>
    <row r="32" spans="1:16" x14ac:dyDescent="0.25">
      <c r="A32" t="str">
        <v>DEF</v>
      </c>
      <c r="B32" t="str">
        <v>Rosier</v>
      </c>
      <c r="C32" s="1">
        <v>45886</v>
      </c>
      <c r="D32" s="2">
        <v>8813000</v>
      </c>
      <c r="E32" t="str">
        <f t="shared" si="0"/>
        <v/>
      </c>
      <c r="K32" t="str">
        <v>Gudelj</v>
      </c>
      <c r="L32" t="str">
        <v>MED</v>
      </c>
      <c r="M32" s="1">
        <v>45911</v>
      </c>
      <c r="N32" s="2">
        <v>7900000</v>
      </c>
      <c r="O32" s="2">
        <f t="shared" si="3"/>
        <v>7900000</v>
      </c>
      <c r="P32" s="2">
        <f t="shared" si="4"/>
        <v>0</v>
      </c>
    </row>
    <row r="33" spans="1:16" x14ac:dyDescent="0.25">
      <c r="A33" t="str">
        <v>POR</v>
      </c>
      <c r="B33" t="str">
        <v>Sergio Mestre</v>
      </c>
      <c r="C33" s="1">
        <v>45890</v>
      </c>
      <c r="D33" s="2">
        <v>491779</v>
      </c>
      <c r="E33" t="str">
        <f t="shared" si="0"/>
        <v/>
      </c>
      <c r="K33" t="str">
        <v>Lo Celso</v>
      </c>
      <c r="L33" t="str">
        <v>MED</v>
      </c>
      <c r="M33" s="1">
        <v>45920</v>
      </c>
      <c r="N33" s="2">
        <v>75609428</v>
      </c>
      <c r="O33" s="2">
        <f t="shared" si="3"/>
        <v>75609428</v>
      </c>
      <c r="P33" s="2">
        <f t="shared" si="4"/>
        <v>0</v>
      </c>
    </row>
    <row r="34" spans="1:16" x14ac:dyDescent="0.25">
      <c r="A34" t="str">
        <v>POR</v>
      </c>
      <c r="B34" t="str">
        <v>Dituro</v>
      </c>
      <c r="C34" s="1">
        <v>45891</v>
      </c>
      <c r="D34" s="2">
        <v>3012293</v>
      </c>
      <c r="E34" t="str">
        <f t="shared" si="0"/>
        <v/>
      </c>
      <c r="K34" t="str">
        <v>De Frutos</v>
      </c>
      <c r="L34" t="str">
        <v>DEL</v>
      </c>
      <c r="M34" s="1">
        <v>45915</v>
      </c>
      <c r="N34" s="2">
        <v>29486340</v>
      </c>
      <c r="O34" s="2">
        <f t="shared" si="3"/>
        <v>18666684</v>
      </c>
      <c r="P34" s="2">
        <f t="shared" si="4"/>
        <v>10819656</v>
      </c>
    </row>
    <row r="35" spans="1:16" x14ac:dyDescent="0.25">
      <c r="A35" t="str">
        <v>DEL</v>
      </c>
      <c r="B35" t="str">
        <v>Toni Martinez</v>
      </c>
      <c r="C35" s="1">
        <v>45894</v>
      </c>
      <c r="D35" s="2">
        <v>2352150</v>
      </c>
      <c r="E35" t="str">
        <f t="shared" si="0"/>
        <v/>
      </c>
      <c r="K35" t="str">
        <v>Rafa Marín</v>
      </c>
      <c r="L35" t="str">
        <v>DEF</v>
      </c>
      <c r="M35" s="1">
        <v>45915</v>
      </c>
      <c r="N35" s="2">
        <v>30094284</v>
      </c>
      <c r="O35" s="2">
        <f t="shared" si="3"/>
        <v>25100001</v>
      </c>
      <c r="P35" s="2">
        <f t="shared" si="4"/>
        <v>4994283</v>
      </c>
    </row>
    <row r="36" spans="1:16" x14ac:dyDescent="0.25">
      <c r="A36" t="str">
        <v>DEF</v>
      </c>
      <c r="B36" t="str">
        <v>De la Fuente</v>
      </c>
      <c r="C36" s="1">
        <v>45896</v>
      </c>
      <c r="D36" s="2">
        <v>1130330</v>
      </c>
      <c r="E36" t="str">
        <f t="shared" si="0"/>
        <v/>
      </c>
      <c r="K36" t="str">
        <v>Bryan</v>
      </c>
      <c r="L36" t="str">
        <v>DEL</v>
      </c>
      <c r="M36" s="1">
        <v>45916</v>
      </c>
      <c r="N36" s="2">
        <v>15661683</v>
      </c>
      <c r="O36" s="2">
        <f t="shared" si="3"/>
        <v>17019211</v>
      </c>
      <c r="P36" s="2">
        <f t="shared" si="4"/>
        <v>-1357528</v>
      </c>
    </row>
    <row r="37" spans="1:16" x14ac:dyDescent="0.25">
      <c r="A37" t="str">
        <v>DEF</v>
      </c>
      <c r="B37" t="str">
        <v>Affengruber</v>
      </c>
      <c r="C37" s="1">
        <v>45898</v>
      </c>
      <c r="D37" s="2">
        <v>6879879</v>
      </c>
      <c r="E37" t="str">
        <f t="shared" si="0"/>
        <v/>
      </c>
      <c r="K37" t="str">
        <v>Luis Milla</v>
      </c>
      <c r="L37" t="str">
        <v>MED</v>
      </c>
      <c r="M37" s="1">
        <v>45916</v>
      </c>
      <c r="N37" s="2">
        <v>40232141</v>
      </c>
      <c r="O37" s="2">
        <f t="shared" si="3"/>
        <v>18956233</v>
      </c>
      <c r="P37" s="2">
        <f t="shared" si="4"/>
        <v>21275908</v>
      </c>
    </row>
    <row r="38" spans="1:16" x14ac:dyDescent="0.25">
      <c r="A38" t="str">
        <v>DEL</v>
      </c>
      <c r="B38" t="str">
        <v>Danjuma</v>
      </c>
      <c r="C38" s="1">
        <v>45899</v>
      </c>
      <c r="D38" s="2">
        <v>11055695</v>
      </c>
      <c r="E38" t="str">
        <f t="shared" si="0"/>
        <v/>
      </c>
      <c r="K38" t="str">
        <v>Mbappé</v>
      </c>
      <c r="L38" t="str">
        <v>DEL</v>
      </c>
      <c r="M38" s="1">
        <v>45930</v>
      </c>
      <c r="N38" s="2">
        <v>172998122</v>
      </c>
      <c r="O38" s="2">
        <f t="shared" si="3"/>
        <v>154612000</v>
      </c>
      <c r="P38" s="2">
        <f t="shared" si="4"/>
        <v>18386122</v>
      </c>
    </row>
    <row r="39" spans="1:16" x14ac:dyDescent="0.25">
      <c r="A39" t="str">
        <v>DEL</v>
      </c>
      <c r="B39" t="str">
        <v>De Frutos</v>
      </c>
      <c r="C39" s="1">
        <v>45900</v>
      </c>
      <c r="D39" s="2">
        <v>18666684</v>
      </c>
      <c r="E39" t="str">
        <f t="shared" si="0"/>
        <v/>
      </c>
      <c r="K39" t="str">
        <v>Sibo</v>
      </c>
      <c r="L39" t="str">
        <v>MED</v>
      </c>
      <c r="M39" s="1">
        <v>45916</v>
      </c>
      <c r="N39" s="2">
        <v>1301089</v>
      </c>
      <c r="O39" s="2">
        <f t="shared" si="3"/>
        <v>4000000</v>
      </c>
      <c r="P39" s="2">
        <f t="shared" si="4"/>
        <v>-2698911</v>
      </c>
    </row>
    <row r="40" spans="1:16" x14ac:dyDescent="0.25">
      <c r="A40" t="str">
        <v>DEF</v>
      </c>
      <c r="B40" t="str">
        <v>Rafa Marín</v>
      </c>
      <c r="C40" s="1">
        <v>45900</v>
      </c>
      <c r="D40" s="2">
        <v>25100001</v>
      </c>
      <c r="K40" t="str">
        <v>Mouriño</v>
      </c>
      <c r="L40" t="str">
        <v>DEF</v>
      </c>
      <c r="M40" s="1">
        <v>45893</v>
      </c>
      <c r="N40" s="2">
        <v>16430000</v>
      </c>
      <c r="O40" s="2">
        <f t="shared" si="3"/>
        <v>10430000</v>
      </c>
      <c r="P40" s="2">
        <f t="shared" si="4"/>
        <v>6000000</v>
      </c>
    </row>
    <row r="41" spans="1:16" x14ac:dyDescent="0.25">
      <c r="A41" t="str">
        <v>MED</v>
      </c>
      <c r="B41" t="str">
        <v>Puado</v>
      </c>
      <c r="C41" s="1">
        <v>45901</v>
      </c>
      <c r="D41" s="2">
        <v>41053831</v>
      </c>
      <c r="K41" t="str">
        <v>N. Williams</v>
      </c>
      <c r="L41" t="str">
        <v>DEL</v>
      </c>
      <c r="M41" s="1">
        <v>45894</v>
      </c>
      <c r="N41" s="2">
        <v>102089122</v>
      </c>
      <c r="O41" s="2">
        <f t="shared" si="3"/>
        <v>87000000</v>
      </c>
      <c r="P41" s="2">
        <f t="shared" si="4"/>
        <v>15089122</v>
      </c>
    </row>
    <row r="42" spans="1:16" x14ac:dyDescent="0.25">
      <c r="A42" t="str">
        <v>MED</v>
      </c>
      <c r="B42" t="str">
        <v>Luis Milla</v>
      </c>
      <c r="C42" s="1">
        <v>45902</v>
      </c>
      <c r="D42" s="2">
        <v>18956233</v>
      </c>
      <c r="K42" t="str">
        <v>De la Fuente</v>
      </c>
      <c r="L42" t="str">
        <v>DEF</v>
      </c>
      <c r="M42" s="1">
        <v>45917</v>
      </c>
      <c r="N42" s="2">
        <v>533402</v>
      </c>
      <c r="O42" s="2">
        <f t="shared" si="3"/>
        <v>1130330</v>
      </c>
      <c r="P42" s="2">
        <f t="shared" si="4"/>
        <v>-596928</v>
      </c>
    </row>
    <row r="43" spans="1:16" x14ac:dyDescent="0.25">
      <c r="A43" t="str">
        <v>DEL</v>
      </c>
      <c r="B43" t="str">
        <v>Rafa Mir</v>
      </c>
      <c r="C43" s="1">
        <v>45902</v>
      </c>
      <c r="D43" s="2">
        <v>11460297</v>
      </c>
      <c r="K43" t="str">
        <v>Leo Román</v>
      </c>
      <c r="L43" t="str">
        <v>POR</v>
      </c>
      <c r="M43" s="1">
        <v>45919</v>
      </c>
      <c r="N43" s="2">
        <v>6138407</v>
      </c>
      <c r="O43" s="2">
        <f t="shared" si="3"/>
        <v>6107069</v>
      </c>
      <c r="P43" s="2">
        <f t="shared" si="4"/>
        <v>31338</v>
      </c>
    </row>
    <row r="44" spans="1:16" x14ac:dyDescent="0.25">
      <c r="A44" t="str">
        <v>DEF</v>
      </c>
      <c r="B44" t="str">
        <v>Tenaglia</v>
      </c>
      <c r="C44" s="1">
        <v>45902</v>
      </c>
      <c r="D44" s="2">
        <v>14284108</v>
      </c>
      <c r="K44" t="str">
        <v>Pépé</v>
      </c>
      <c r="L44" t="str">
        <v>DEL</v>
      </c>
      <c r="M44" s="1">
        <v>45900</v>
      </c>
      <c r="N44" s="2">
        <v>40046131</v>
      </c>
      <c r="O44" s="2">
        <f t="shared" si="3"/>
        <v>19282733</v>
      </c>
      <c r="P44" s="2">
        <f t="shared" si="4"/>
        <v>20763398</v>
      </c>
    </row>
    <row r="45" spans="1:16" x14ac:dyDescent="0.25">
      <c r="A45" t="str">
        <v>MED</v>
      </c>
      <c r="B45" t="str">
        <v>C. Álvarez</v>
      </c>
      <c r="C45" s="1">
        <v>45904</v>
      </c>
      <c r="D45" s="2">
        <v>2611001</v>
      </c>
      <c r="K45" t="str">
        <v>Rafa Mir</v>
      </c>
      <c r="L45" t="str">
        <v>DEL</v>
      </c>
      <c r="M45" s="1">
        <v>45916</v>
      </c>
      <c r="N45" s="2">
        <v>20225343</v>
      </c>
      <c r="O45" s="2">
        <f t="shared" si="3"/>
        <v>11460297</v>
      </c>
      <c r="P45" s="2">
        <f t="shared" si="4"/>
        <v>8765046</v>
      </c>
    </row>
    <row r="46" spans="1:16" x14ac:dyDescent="0.25">
      <c r="A46" t="str">
        <v>DEF</v>
      </c>
      <c r="B46" t="str">
        <v>D. Llorente</v>
      </c>
      <c r="C46" s="1">
        <v>45905</v>
      </c>
      <c r="D46" s="2">
        <v>3760715</v>
      </c>
      <c r="K46" t="str">
        <v>Rosier</v>
      </c>
      <c r="L46" t="str">
        <v>DEF</v>
      </c>
      <c r="M46" s="1">
        <v>45922</v>
      </c>
      <c r="N46" s="2">
        <v>23160593</v>
      </c>
      <c r="O46" s="2">
        <f t="shared" si="3"/>
        <v>8813000</v>
      </c>
      <c r="P46" s="2">
        <f t="shared" si="4"/>
        <v>14347593</v>
      </c>
    </row>
    <row r="47" spans="1:16" x14ac:dyDescent="0.25">
      <c r="A47" t="str">
        <v>DEL</v>
      </c>
      <c r="B47" t="str">
        <v>Bryan</v>
      </c>
      <c r="C47" s="1">
        <v>45906</v>
      </c>
      <c r="D47" s="2">
        <v>17019211</v>
      </c>
      <c r="K47" t="str">
        <v>D. Llorente</v>
      </c>
      <c r="L47" t="str">
        <v>DEF</v>
      </c>
      <c r="M47" s="1">
        <v>45923</v>
      </c>
      <c r="N47" s="2">
        <v>2960237</v>
      </c>
      <c r="O47" s="2">
        <f t="shared" si="3"/>
        <v>3760715</v>
      </c>
      <c r="P47" s="2">
        <f t="shared" si="4"/>
        <v>-800478</v>
      </c>
    </row>
    <row r="48" spans="1:16" x14ac:dyDescent="0.25">
      <c r="A48" t="str">
        <v>MED</v>
      </c>
      <c r="B48" t="str">
        <v>Lo Celso</v>
      </c>
      <c r="C48" s="1">
        <v>45906</v>
      </c>
      <c r="D48" s="2">
        <v>75609428</v>
      </c>
      <c r="K48" t="str">
        <v>Rosier</v>
      </c>
      <c r="L48" t="str">
        <v>DEF</v>
      </c>
      <c r="M48" s="1">
        <v>45900</v>
      </c>
      <c r="N48" s="2">
        <v>15838779</v>
      </c>
      <c r="O48" s="2">
        <f t="shared" si="3"/>
        <v>8813000</v>
      </c>
      <c r="P48" s="2">
        <f t="shared" si="4"/>
        <v>7025779</v>
      </c>
    </row>
    <row r="49" spans="1:14" x14ac:dyDescent="0.25">
      <c r="A49" t="str">
        <v>DEL</v>
      </c>
      <c r="B49" t="str">
        <v>Vargas</v>
      </c>
      <c r="C49" s="1">
        <v>45908</v>
      </c>
      <c r="D49" s="2">
        <v>15298469</v>
      </c>
      <c r="K49" t="str">
        <v>Sow</v>
      </c>
      <c r="L49" t="str">
        <v>MED</v>
      </c>
      <c r="M49" s="1">
        <v>45926</v>
      </c>
      <c r="N49" s="2">
        <v>2213460</v>
      </c>
    </row>
    <row r="50" spans="1:14" x14ac:dyDescent="0.25">
      <c r="A50" t="str">
        <v>DEF</v>
      </c>
      <c r="B50" t="str">
        <v>Bartra</v>
      </c>
      <c r="C50" s="1">
        <v>45909</v>
      </c>
      <c r="D50" s="2">
        <v>34151526</v>
      </c>
      <c r="K50" t="str">
        <v>Bartra</v>
      </c>
      <c r="L50" t="str">
        <v>DEF</v>
      </c>
      <c r="M50" s="1">
        <v>45927</v>
      </c>
      <c r="N50" s="2">
        <v>35852023</v>
      </c>
    </row>
    <row r="51" spans="1:14" x14ac:dyDescent="0.25">
      <c r="A51" t="str">
        <v>MED</v>
      </c>
      <c r="B51" t="str">
        <v>Sow</v>
      </c>
      <c r="C51" s="1">
        <v>45911</v>
      </c>
      <c r="D51" s="2">
        <v>2213460</v>
      </c>
      <c r="K51" t="str">
        <v>Garcés</v>
      </c>
      <c r="L51" t="str">
        <v>DEF</v>
      </c>
      <c r="M51" s="1">
        <v>45928</v>
      </c>
      <c r="N51" s="2">
        <v>5567778</v>
      </c>
    </row>
    <row r="52" spans="1:14" x14ac:dyDescent="0.25">
      <c r="A52" t="str">
        <v>DEL</v>
      </c>
      <c r="B52" t="str">
        <v>Alemão</v>
      </c>
      <c r="C52" s="1">
        <v>45913</v>
      </c>
      <c r="D52" s="2">
        <v>5000000</v>
      </c>
      <c r="K52" t="str">
        <v>Asprilla</v>
      </c>
      <c r="L52" t="str">
        <v>DEL</v>
      </c>
      <c r="M52" s="1">
        <v>45929</v>
      </c>
      <c r="N52" s="2">
        <v>3481230</v>
      </c>
    </row>
    <row r="53" spans="1:14" x14ac:dyDescent="0.25">
      <c r="A53" t="str">
        <v>DEF</v>
      </c>
      <c r="B53" t="str">
        <v>Garcés</v>
      </c>
      <c r="C53" s="1">
        <v>45915</v>
      </c>
      <c r="D53" s="2">
        <v>3431812</v>
      </c>
      <c r="K53" t="str">
        <v>Tenaglia</v>
      </c>
      <c r="L53" t="str">
        <v>DEF</v>
      </c>
      <c r="M53" s="1">
        <v>45916</v>
      </c>
      <c r="N53" s="2">
        <v>17000000</v>
      </c>
    </row>
    <row r="54" spans="1:14" x14ac:dyDescent="0.25">
      <c r="A54" t="str">
        <v>MED</v>
      </c>
      <c r="B54" t="str">
        <v>Valera</v>
      </c>
      <c r="C54" s="1">
        <v>45915</v>
      </c>
      <c r="D54" s="2">
        <v>12098300</v>
      </c>
      <c r="K54" t="str">
        <v>Valera</v>
      </c>
      <c r="L54" t="str">
        <v>MED</v>
      </c>
      <c r="M54" s="1">
        <v>45929</v>
      </c>
      <c r="N54" s="2">
        <v>12098300</v>
      </c>
    </row>
    <row r="55" spans="1:14" x14ac:dyDescent="0.25">
      <c r="A55" t="str">
        <v>DEL</v>
      </c>
      <c r="B55" t="str">
        <v>Mbappé</v>
      </c>
      <c r="C55" s="1">
        <v>45916</v>
      </c>
      <c r="D55" s="2">
        <v>154612000</v>
      </c>
      <c r="K55" t="str">
        <v>Vargas</v>
      </c>
      <c r="L55" t="str">
        <v>DEL</v>
      </c>
      <c r="M55" s="1">
        <v>45923</v>
      </c>
      <c r="N55" s="2">
        <v>30085836</v>
      </c>
    </row>
    <row r="56" spans="1:14" x14ac:dyDescent="0.25">
      <c r="A56" t="str">
        <v>POR</v>
      </c>
      <c r="B56" t="str">
        <v>Leo Román</v>
      </c>
      <c r="C56" s="1">
        <v>45917</v>
      </c>
      <c r="D56" s="2">
        <v>6107069</v>
      </c>
      <c r="K56" t="str">
        <v>Arambarri</v>
      </c>
      <c r="L56" t="str">
        <v>MED</v>
      </c>
      <c r="M56" s="1">
        <v>45931</v>
      </c>
      <c r="N56" s="2">
        <v>20000000</v>
      </c>
    </row>
    <row r="57" spans="1:14" x14ac:dyDescent="0.25">
      <c r="A57" t="str">
        <v>DEF</v>
      </c>
      <c r="B57" t="str">
        <v>Rosier</v>
      </c>
      <c r="C57" s="1">
        <v>45917</v>
      </c>
      <c r="D57" s="2">
        <v>22431853</v>
      </c>
      <c r="K57" t="str">
        <v>Alemão</v>
      </c>
      <c r="L57" t="str">
        <v>DEL</v>
      </c>
      <c r="M57" s="1">
        <v>45932</v>
      </c>
      <c r="N57" s="2">
        <v>5000000</v>
      </c>
    </row>
    <row r="58" spans="1:14" x14ac:dyDescent="0.25">
      <c r="A58" t="str">
        <v>POR</v>
      </c>
      <c r="B58" t="str">
        <v>Ryan</v>
      </c>
      <c r="C58" s="1">
        <v>45917</v>
      </c>
      <c r="D58" s="2">
        <v>5500000</v>
      </c>
      <c r="K58" t="str">
        <v>Romero</v>
      </c>
      <c r="L58" t="str">
        <v>DEF</v>
      </c>
      <c r="M58" s="1">
        <v>45933</v>
      </c>
      <c r="N58" s="2">
        <v>16000000</v>
      </c>
    </row>
    <row r="59" spans="1:14" x14ac:dyDescent="0.25">
      <c r="A59" t="str">
        <v>DEL</v>
      </c>
      <c r="B59" t="str">
        <v>Asprilla</v>
      </c>
      <c r="C59" s="1">
        <v>45918</v>
      </c>
      <c r="D59" s="2">
        <v>4680931</v>
      </c>
      <c r="K59" t="str">
        <v>Dituro</v>
      </c>
      <c r="L59" t="str">
        <v>POR</v>
      </c>
      <c r="M59" s="1">
        <v>45933</v>
      </c>
      <c r="N59" s="2">
        <v>6708375</v>
      </c>
    </row>
    <row r="60" spans="1:14" x14ac:dyDescent="0.25">
      <c r="A60" t="str">
        <v>MED</v>
      </c>
      <c r="B60" t="str">
        <v>Olasagasti</v>
      </c>
      <c r="C60" s="1">
        <v>45918</v>
      </c>
      <c r="D60" s="2">
        <v>639825</v>
      </c>
      <c r="K60" t="str">
        <v>Ryan</v>
      </c>
      <c r="L60" t="str">
        <v>POR</v>
      </c>
      <c r="M60" s="1">
        <v>45934</v>
      </c>
      <c r="N60" s="2">
        <v>10000000</v>
      </c>
    </row>
    <row r="61" spans="1:14" x14ac:dyDescent="0.25">
      <c r="A61" t="str">
        <v>DEF</v>
      </c>
      <c r="B61" t="str">
        <v>D. Duarte</v>
      </c>
      <c r="C61" s="1">
        <v>45920</v>
      </c>
      <c r="D61" s="2">
        <v>1672958</v>
      </c>
      <c r="K61" t="str">
        <v>Ferran</v>
      </c>
      <c r="L61" t="str">
        <v>DEL</v>
      </c>
      <c r="M61" s="1">
        <v>45937</v>
      </c>
      <c r="N61" s="2">
        <v>73786727</v>
      </c>
    </row>
    <row r="62" spans="1:14" x14ac:dyDescent="0.25">
      <c r="A62" t="str">
        <v>MED</v>
      </c>
      <c r="B62" t="str">
        <v>Arambarri</v>
      </c>
      <c r="C62" s="1">
        <v>45921</v>
      </c>
      <c r="D62" s="2">
        <v>13265558</v>
      </c>
      <c r="K62" t="str">
        <v>Maffeo</v>
      </c>
      <c r="L62" t="str">
        <v>DEF</v>
      </c>
      <c r="M62" s="1">
        <v>45938</v>
      </c>
      <c r="N62" s="2">
        <v>1532830</v>
      </c>
    </row>
    <row r="63" spans="1:14" x14ac:dyDescent="0.25">
      <c r="A63" t="str">
        <v>MED</v>
      </c>
      <c r="B63" t="str">
        <v>Barrios</v>
      </c>
      <c r="C63" s="1">
        <v>45921</v>
      </c>
      <c r="D63" s="2">
        <v>44211971</v>
      </c>
      <c r="K63" t="str">
        <v>Álvaro García</v>
      </c>
      <c r="L63" t="str">
        <v>MED</v>
      </c>
      <c r="M63" s="1">
        <v>45938</v>
      </c>
      <c r="N63" s="2">
        <v>27583249</v>
      </c>
    </row>
    <row r="64" spans="1:14" x14ac:dyDescent="0.25">
      <c r="A64" t="str">
        <v>DEF</v>
      </c>
      <c r="B64" t="str">
        <v>Maffeo</v>
      </c>
      <c r="C64" s="1">
        <v>45922</v>
      </c>
      <c r="D64" s="2">
        <v>1532929</v>
      </c>
      <c r="K64" t="str">
        <v>André Silva</v>
      </c>
      <c r="L64" t="str">
        <v>DEL</v>
      </c>
      <c r="M64" s="1">
        <v>45943</v>
      </c>
      <c r="N64" s="2">
        <v>10100101</v>
      </c>
    </row>
    <row r="65" spans="1:14" x14ac:dyDescent="0.25">
      <c r="A65" t="str">
        <v>MED</v>
      </c>
      <c r="B65" t="str">
        <v>Álvaro García</v>
      </c>
      <c r="C65" s="1">
        <v>45924</v>
      </c>
      <c r="D65" s="2">
        <v>28000101</v>
      </c>
      <c r="K65" t="str">
        <v>Barrios</v>
      </c>
      <c r="L65" t="str">
        <v>MED</v>
      </c>
      <c r="M65" s="1">
        <v>45944</v>
      </c>
      <c r="N65" s="2">
        <v>54863573</v>
      </c>
    </row>
    <row r="66" spans="1:14" x14ac:dyDescent="0.25">
      <c r="A66" t="str">
        <v>MED</v>
      </c>
      <c r="B66" t="str">
        <v>P. Gueye</v>
      </c>
      <c r="C66" s="1">
        <v>45924</v>
      </c>
      <c r="D66" s="2">
        <v>36878878</v>
      </c>
      <c r="K66" t="str">
        <v>Pépé</v>
      </c>
      <c r="L66" t="str">
        <v>DEL</v>
      </c>
      <c r="M66" s="1">
        <v>45945</v>
      </c>
      <c r="N66" s="2">
        <v>91296567</v>
      </c>
    </row>
    <row r="67" spans="1:14" x14ac:dyDescent="0.25">
      <c r="A67" t="str">
        <v>DEL</v>
      </c>
      <c r="B67" t="str">
        <v>Akhomach</v>
      </c>
      <c r="C67" s="1">
        <v>45925</v>
      </c>
      <c r="D67" s="2">
        <v>1021263</v>
      </c>
      <c r="K67" t="str">
        <v>Olasagasti</v>
      </c>
      <c r="L67" t="str">
        <v>MED</v>
      </c>
      <c r="M67" s="1">
        <v>45946</v>
      </c>
      <c r="N67" s="2">
        <v>537161</v>
      </c>
    </row>
    <row r="68" spans="1:14" x14ac:dyDescent="0.25">
      <c r="A68" t="str">
        <v>DEF</v>
      </c>
      <c r="B68" t="str">
        <v>Romero</v>
      </c>
      <c r="C68" s="1">
        <v>45928</v>
      </c>
      <c r="D68" s="2">
        <v>15623192</v>
      </c>
      <c r="K68" t="str">
        <v>Odriozola</v>
      </c>
      <c r="L68" t="str">
        <v>DEF</v>
      </c>
      <c r="M68" s="1">
        <v>45948</v>
      </c>
      <c r="N68" s="2">
        <v>603024</v>
      </c>
    </row>
    <row r="69" spans="1:14" x14ac:dyDescent="0.25">
      <c r="A69" t="str">
        <v>DEL</v>
      </c>
      <c r="B69" t="str">
        <v>André Silva</v>
      </c>
      <c r="C69" s="1">
        <v>45929</v>
      </c>
      <c r="D69" s="2">
        <v>10100101</v>
      </c>
      <c r="K69" t="str">
        <v>Josan</v>
      </c>
      <c r="L69" t="str">
        <v>MED</v>
      </c>
      <c r="M69" s="1">
        <v>45948</v>
      </c>
      <c r="N69" s="2">
        <v>587912</v>
      </c>
    </row>
    <row r="70" spans="1:14" x14ac:dyDescent="0.25">
      <c r="A70" t="str">
        <v>DEF</v>
      </c>
      <c r="B70" t="str">
        <v>Tenaglia</v>
      </c>
      <c r="C70" s="1">
        <v>45930</v>
      </c>
      <c r="D70" s="2">
        <v>18024671</v>
      </c>
      <c r="K70" t="str">
        <v>Akhomach</v>
      </c>
      <c r="L70" t="str">
        <v>DEL</v>
      </c>
      <c r="M70" s="1">
        <v>45949</v>
      </c>
      <c r="N70" s="2">
        <v>742930</v>
      </c>
    </row>
    <row r="71" spans="1:14" x14ac:dyDescent="0.25">
      <c r="A71" t="str">
        <v>DEL</v>
      </c>
      <c r="B71" t="str">
        <v>Pépé</v>
      </c>
      <c r="C71" s="1">
        <v>45931</v>
      </c>
      <c r="D71" s="2">
        <v>85296567</v>
      </c>
      <c r="K71" t="str">
        <v>Starfelt</v>
      </c>
      <c r="L71" t="str">
        <v>DEF</v>
      </c>
      <c r="M71" s="1">
        <v>45950</v>
      </c>
      <c r="N71" s="2">
        <v>1087433</v>
      </c>
    </row>
    <row r="72" spans="1:14" x14ac:dyDescent="0.25">
      <c r="A72" t="str">
        <v>DEF</v>
      </c>
      <c r="B72" t="str">
        <v>Catena</v>
      </c>
      <c r="C72" s="1">
        <v>45931</v>
      </c>
      <c r="D72" s="2">
        <v>34082326</v>
      </c>
      <c r="K72" t="str">
        <v>Cardoso</v>
      </c>
      <c r="L72" t="str">
        <v>DEF</v>
      </c>
      <c r="M72" s="1">
        <v>45951</v>
      </c>
      <c r="N72" s="2">
        <v>1154520</v>
      </c>
    </row>
    <row r="73" spans="1:14" x14ac:dyDescent="0.25">
      <c r="A73" t="str">
        <v>MED</v>
      </c>
      <c r="B73" t="str">
        <v>Martim Neto</v>
      </c>
      <c r="C73" s="1">
        <v>45931</v>
      </c>
      <c r="D73" s="2">
        <v>6085841</v>
      </c>
      <c r="K73" t="str">
        <v>P. Gueye</v>
      </c>
      <c r="L73" t="str">
        <v>MED</v>
      </c>
      <c r="M73" s="1">
        <v>45952</v>
      </c>
      <c r="N73" s="2">
        <v>60499808</v>
      </c>
    </row>
    <row r="74" spans="1:14" x14ac:dyDescent="0.25">
      <c r="A74" t="str">
        <v>DEL</v>
      </c>
      <c r="B74" t="str">
        <v>Ferran</v>
      </c>
      <c r="C74" s="1">
        <v>45931</v>
      </c>
      <c r="D74" s="2">
        <v>79644740</v>
      </c>
      <c r="K74" t="str">
        <v>Mayoral</v>
      </c>
      <c r="L74" t="str">
        <v>DEL</v>
      </c>
      <c r="M74" s="1">
        <v>45952</v>
      </c>
      <c r="N74" s="2">
        <v>6494883</v>
      </c>
    </row>
    <row r="75" spans="1:14" x14ac:dyDescent="0.25">
      <c r="A75" t="str">
        <v>DEL</v>
      </c>
      <c r="B75" t="str">
        <v>Vargas</v>
      </c>
      <c r="C75" s="1">
        <v>45937</v>
      </c>
      <c r="D75" s="2">
        <v>34085836</v>
      </c>
      <c r="K75" t="str">
        <v>Pere Milla</v>
      </c>
      <c r="L75" t="str">
        <v>DEL</v>
      </c>
      <c r="M75" s="1">
        <v>45952</v>
      </c>
      <c r="N75" s="2">
        <v>18009683</v>
      </c>
    </row>
    <row r="76" spans="1:14" x14ac:dyDescent="0.25">
      <c r="A76" t="str">
        <v>DEL</v>
      </c>
      <c r="B76" t="str">
        <v>Pere Milla</v>
      </c>
      <c r="C76" s="1">
        <v>45938</v>
      </c>
      <c r="D76" s="2">
        <v>10928095</v>
      </c>
      <c r="K76" t="str">
        <v>Tenaglia</v>
      </c>
      <c r="L76" t="str">
        <v>DEF</v>
      </c>
      <c r="M76" s="1">
        <v>45952</v>
      </c>
      <c r="N76" s="2">
        <v>30480521</v>
      </c>
    </row>
    <row r="77" spans="1:14" x14ac:dyDescent="0.25">
      <c r="A77" t="str">
        <v>DEF</v>
      </c>
      <c r="B77" t="str">
        <v>Cardoso</v>
      </c>
      <c r="C77" s="1">
        <v>45938</v>
      </c>
      <c r="D77" s="2">
        <v>1556770</v>
      </c>
      <c r="K77" t="str">
        <v>Tárrega</v>
      </c>
      <c r="L77" t="str">
        <v>DEF</v>
      </c>
      <c r="M77" s="1">
        <v>45956</v>
      </c>
      <c r="N77" s="2">
        <v>14283957</v>
      </c>
    </row>
    <row r="78" spans="1:14" x14ac:dyDescent="0.25">
      <c r="A78" t="str">
        <v>MED</v>
      </c>
      <c r="B78" t="str">
        <v>Barrenetxea</v>
      </c>
      <c r="C78" s="1">
        <v>45938</v>
      </c>
      <c r="D78" s="2">
        <v>32736001</v>
      </c>
      <c r="K78" t="str">
        <v>Pedri</v>
      </c>
      <c r="L78" t="str">
        <v>MED</v>
      </c>
      <c r="M78" s="1">
        <v>45956</v>
      </c>
      <c r="N78" s="2">
        <v>150678037</v>
      </c>
    </row>
    <row r="79" spans="1:14" x14ac:dyDescent="0.25">
      <c r="A79" t="str">
        <v>POR</v>
      </c>
      <c r="B79" t="str">
        <v>Vlachodimos</v>
      </c>
      <c r="C79" s="1">
        <v>45939</v>
      </c>
      <c r="D79" s="2">
        <v>12831346</v>
      </c>
      <c r="K79" t="str">
        <v>Guruzeta</v>
      </c>
      <c r="L79" t="str">
        <v>DEL</v>
      </c>
      <c r="M79" s="1">
        <v>45959</v>
      </c>
      <c r="N79" s="2">
        <v>2440803</v>
      </c>
    </row>
    <row r="80" spans="1:14" x14ac:dyDescent="0.25">
      <c r="A80" t="str">
        <v>DEL</v>
      </c>
      <c r="B80" t="str">
        <v>Mayoral</v>
      </c>
      <c r="C80" s="1">
        <v>45939</v>
      </c>
      <c r="D80" s="2">
        <v>7711880</v>
      </c>
      <c r="K80" t="str">
        <v>Barrios</v>
      </c>
      <c r="L80" t="str">
        <v>MED</v>
      </c>
      <c r="M80" s="1">
        <v>45959</v>
      </c>
      <c r="N80" s="2">
        <v>60784765</v>
      </c>
    </row>
    <row r="81" spans="1:14" x14ac:dyDescent="0.25">
      <c r="A81" t="str">
        <v>MED</v>
      </c>
      <c r="B81" t="str">
        <v>Mendoza</v>
      </c>
      <c r="C81" s="1">
        <v>45940</v>
      </c>
      <c r="D81" s="2">
        <v>4374460</v>
      </c>
      <c r="K81" t="str">
        <v>Vargas</v>
      </c>
      <c r="L81" t="str">
        <v>DEL</v>
      </c>
      <c r="M81" s="1">
        <v>45959</v>
      </c>
      <c r="N81" s="2">
        <v>48822625</v>
      </c>
    </row>
    <row r="82" spans="1:14" x14ac:dyDescent="0.25">
      <c r="A82" t="str">
        <v>MED</v>
      </c>
      <c r="B82" t="str">
        <v>Pedri</v>
      </c>
      <c r="C82" s="1">
        <v>45940</v>
      </c>
      <c r="D82" s="2">
        <v>132979000</v>
      </c>
      <c r="K82" t="str">
        <v>De Frutos</v>
      </c>
      <c r="L82" t="str">
        <v>DEL</v>
      </c>
      <c r="M82" s="1">
        <v>45959</v>
      </c>
      <c r="N82" s="2">
        <v>55082664</v>
      </c>
    </row>
    <row r="83" spans="1:14" x14ac:dyDescent="0.25">
      <c r="A83" t="str">
        <v>DEF</v>
      </c>
      <c r="B83" t="str">
        <v>Carmo</v>
      </c>
      <c r="C83" s="1">
        <v>45941</v>
      </c>
      <c r="D83" s="2">
        <v>1800000</v>
      </c>
      <c r="K83" t="str">
        <v>Martim Neto</v>
      </c>
      <c r="L83" t="str">
        <v>MED</v>
      </c>
      <c r="M83" s="1">
        <v>45960</v>
      </c>
      <c r="N83" s="2">
        <v>6085841</v>
      </c>
    </row>
    <row r="84" spans="1:14" x14ac:dyDescent="0.25">
      <c r="A84" t="str">
        <v>DEF</v>
      </c>
      <c r="B84" t="str">
        <v>Odriozola</v>
      </c>
      <c r="C84" s="1">
        <v>45944</v>
      </c>
      <c r="D84" s="2">
        <v>589924</v>
      </c>
      <c r="K84" t="str">
        <v>Mouriño</v>
      </c>
      <c r="L84" t="str">
        <v>DEF</v>
      </c>
      <c r="M84" s="1">
        <v>45960</v>
      </c>
      <c r="N84" s="2">
        <v>21315426</v>
      </c>
    </row>
    <row r="85" spans="1:14" x14ac:dyDescent="0.25">
      <c r="A85" t="str">
        <v>MED</v>
      </c>
      <c r="B85" t="str">
        <v>Josan</v>
      </c>
      <c r="C85" s="1">
        <v>45944</v>
      </c>
      <c r="D85" s="2">
        <v>605044</v>
      </c>
      <c r="K85" t="str">
        <v>Areso</v>
      </c>
      <c r="L85" t="str">
        <v>DEF</v>
      </c>
      <c r="M85" s="1">
        <v>45960</v>
      </c>
      <c r="N85" s="2">
        <v>15881043</v>
      </c>
    </row>
    <row r="86" spans="1:14" x14ac:dyDescent="0.25">
      <c r="A86" t="str">
        <v>DEL</v>
      </c>
      <c r="B86" t="str">
        <v>De Frutos</v>
      </c>
      <c r="C86" s="1">
        <v>45945</v>
      </c>
      <c r="D86" s="2">
        <v>42650147</v>
      </c>
      <c r="K86" t="str">
        <v>Ibáñez</v>
      </c>
      <c r="L86" t="str">
        <v>MED</v>
      </c>
      <c r="M86" s="1">
        <v>45961</v>
      </c>
      <c r="N86" s="2">
        <v>2601491</v>
      </c>
    </row>
    <row r="87" spans="1:14" x14ac:dyDescent="0.25">
      <c r="A87" t="str">
        <v>DEF</v>
      </c>
      <c r="B87" t="str">
        <v>Areso</v>
      </c>
      <c r="C87" s="1">
        <v>45945</v>
      </c>
      <c r="D87" s="2">
        <v>15500000</v>
      </c>
      <c r="K87" t="str">
        <v>Víctor Muñoz</v>
      </c>
      <c r="L87" t="str">
        <v>DEL</v>
      </c>
      <c r="M87" s="1">
        <v>45962</v>
      </c>
      <c r="N87" s="2">
        <v>11669144</v>
      </c>
    </row>
    <row r="88" spans="1:14" x14ac:dyDescent="0.25">
      <c r="A88" t="str">
        <v>DEF</v>
      </c>
      <c r="B88" t="str">
        <v>Starfelt</v>
      </c>
      <c r="C88" s="1">
        <v>45945</v>
      </c>
      <c r="D88" s="2">
        <v>1090537</v>
      </c>
      <c r="K88" t="str">
        <v>Barrenetxea</v>
      </c>
      <c r="L88" t="str">
        <v>MED</v>
      </c>
      <c r="M88" s="1">
        <v>45962</v>
      </c>
      <c r="N88" s="2">
        <v>58141897</v>
      </c>
    </row>
    <row r="89" spans="1:14" x14ac:dyDescent="0.25">
      <c r="A89" t="str">
        <v>MED</v>
      </c>
      <c r="B89" t="str">
        <v>Vencedor</v>
      </c>
      <c r="C89" s="1">
        <v>45947</v>
      </c>
      <c r="D89" s="2">
        <v>1685667</v>
      </c>
      <c r="K89" t="str">
        <v>Catena</v>
      </c>
      <c r="L89" t="str">
        <v>DEF</v>
      </c>
      <c r="M89" s="1">
        <v>45964</v>
      </c>
      <c r="N89" s="2">
        <v>48538794</v>
      </c>
    </row>
    <row r="90" spans="1:14" x14ac:dyDescent="0.25">
      <c r="A90" t="str">
        <v>DEL</v>
      </c>
      <c r="B90" t="str">
        <v>Víctor Muñoz</v>
      </c>
      <c r="C90" s="1">
        <v>45951</v>
      </c>
      <c r="D90" s="2">
        <v>13159467</v>
      </c>
      <c r="K90" t="str">
        <v>Moleiro</v>
      </c>
      <c r="L90" t="str">
        <v>MED</v>
      </c>
      <c r="M90" s="1">
        <v>45969</v>
      </c>
      <c r="N90" s="2">
        <v>40174874</v>
      </c>
    </row>
    <row r="91" spans="1:14" x14ac:dyDescent="0.25">
      <c r="A91" t="str">
        <v>POR</v>
      </c>
      <c r="B91" t="str">
        <v>Aarón</v>
      </c>
      <c r="C91" s="1">
        <v>45952</v>
      </c>
      <c r="D91" s="2">
        <v>34874548</v>
      </c>
      <c r="K91" t="str">
        <v>Güler</v>
      </c>
      <c r="L91" t="str">
        <v>MED</v>
      </c>
      <c r="M91" s="1">
        <v>45970</v>
      </c>
      <c r="N91" s="2">
        <v>129370736</v>
      </c>
    </row>
    <row r="92" spans="1:14" x14ac:dyDescent="0.25">
      <c r="A92" t="str">
        <v>MED</v>
      </c>
      <c r="B92" t="str">
        <v>Gorrotxategi</v>
      </c>
      <c r="C92" s="1">
        <v>45952</v>
      </c>
      <c r="D92" s="2">
        <v>6100101</v>
      </c>
      <c r="K92" t="str">
        <v>Virgili</v>
      </c>
      <c r="L92" t="str">
        <v>DEL</v>
      </c>
      <c r="M92" s="1">
        <v>45970</v>
      </c>
      <c r="N92" s="2">
        <v>9000954</v>
      </c>
    </row>
    <row r="93" spans="1:14" x14ac:dyDescent="0.25">
      <c r="A93" t="str">
        <v>MED</v>
      </c>
      <c r="B93" t="str">
        <v>Moleiro</v>
      </c>
      <c r="C93" s="1">
        <v>45952</v>
      </c>
      <c r="D93" s="2">
        <v>24794268</v>
      </c>
      <c r="K93" t="str">
        <v>Carmo</v>
      </c>
      <c r="L93" t="str">
        <v>DEF</v>
      </c>
      <c r="M93" s="1">
        <v>45971</v>
      </c>
      <c r="N93" s="2">
        <v>10000000</v>
      </c>
    </row>
    <row r="94" spans="1:14" x14ac:dyDescent="0.25">
      <c r="A94" t="str">
        <v>MED</v>
      </c>
      <c r="B94" t="str">
        <v>Ibáñez</v>
      </c>
      <c r="C94" s="1">
        <v>45954</v>
      </c>
      <c r="D94" s="2">
        <v>3680000</v>
      </c>
      <c r="K94" t="str">
        <v>Militão</v>
      </c>
      <c r="L94" t="str">
        <v>DEF</v>
      </c>
      <c r="M94" s="1">
        <v>45972</v>
      </c>
      <c r="N94" s="2">
        <v>72458863</v>
      </c>
    </row>
    <row r="95" spans="1:14" x14ac:dyDescent="0.25">
      <c r="A95" t="str">
        <v>DEL</v>
      </c>
      <c r="B95" t="str">
        <v>Guruzeta</v>
      </c>
      <c r="C95" s="1">
        <v>45954</v>
      </c>
      <c r="D95" s="2">
        <v>2659046</v>
      </c>
      <c r="K95" t="str">
        <v>Abde</v>
      </c>
      <c r="L95" t="str">
        <v>DEL</v>
      </c>
      <c r="M95" s="1">
        <v>45974</v>
      </c>
      <c r="N95" s="2">
        <v>43309964</v>
      </c>
    </row>
    <row r="96" spans="1:14" x14ac:dyDescent="0.25">
      <c r="A96" t="str">
        <v>DEF</v>
      </c>
      <c r="B96" t="str">
        <v>Mouriño</v>
      </c>
      <c r="C96" s="1">
        <v>45954</v>
      </c>
      <c r="D96" s="2">
        <v>19487521</v>
      </c>
    </row>
    <row r="97" spans="1:4" x14ac:dyDescent="0.25">
      <c r="A97" t="str">
        <v>DEL</v>
      </c>
      <c r="B97" t="str">
        <v>Virgili</v>
      </c>
      <c r="C97" s="1">
        <v>45955</v>
      </c>
      <c r="D97" s="2">
        <v>5340954</v>
      </c>
    </row>
    <row r="98" spans="1:4" x14ac:dyDescent="0.25">
      <c r="A98" t="str">
        <v>MED</v>
      </c>
      <c r="B98" t="str">
        <v>Barrios</v>
      </c>
      <c r="C98" s="1">
        <v>45955</v>
      </c>
      <c r="D98" s="2">
        <v>58240000</v>
      </c>
    </row>
    <row r="99" spans="1:4" x14ac:dyDescent="0.25">
      <c r="A99" t="str">
        <v>DEL</v>
      </c>
      <c r="B99" t="str">
        <v>Abde</v>
      </c>
      <c r="C99" s="1">
        <v>45959</v>
      </c>
      <c r="D99" s="2">
        <v>32239613</v>
      </c>
    </row>
    <row r="100" spans="1:4" x14ac:dyDescent="0.25">
      <c r="A100" t="str">
        <v>DEF</v>
      </c>
      <c r="B100" t="str">
        <v>Militão</v>
      </c>
      <c r="C100" s="1">
        <v>45959</v>
      </c>
      <c r="D100" s="2">
        <v>68101190</v>
      </c>
    </row>
    <row r="101" spans="1:4" x14ac:dyDescent="0.25">
      <c r="A101" t="str">
        <v>MED</v>
      </c>
      <c r="B101" t="str">
        <v>Luis Milla</v>
      </c>
      <c r="C101" s="1">
        <v>45959</v>
      </c>
      <c r="D101" s="2">
        <v>90222396</v>
      </c>
    </row>
    <row r="102" spans="1:4" x14ac:dyDescent="0.25">
      <c r="A102" t="str">
        <v>MED</v>
      </c>
      <c r="B102" t="str">
        <v>Güler</v>
      </c>
      <c r="C102" s="1">
        <v>45960</v>
      </c>
      <c r="D102" s="2">
        <v>122854925</v>
      </c>
    </row>
    <row r="103" spans="1:4" x14ac:dyDescent="0.25">
      <c r="A103" t="str">
        <v>DEL</v>
      </c>
      <c r="B103" t="str">
        <v>Aspas</v>
      </c>
      <c r="C103" s="1">
        <v>45961</v>
      </c>
      <c r="D103" s="2">
        <v>12161036</v>
      </c>
    </row>
    <row r="104" spans="1:4" x14ac:dyDescent="0.25">
      <c r="A104" t="str">
        <v>DEF</v>
      </c>
      <c r="B104" t="str">
        <v>Cabrera</v>
      </c>
      <c r="C104" s="1">
        <v>45962</v>
      </c>
      <c r="D104" s="2">
        <v>15010001</v>
      </c>
    </row>
    <row r="105" spans="1:4" x14ac:dyDescent="0.25">
      <c r="A105" t="str">
        <v>DEL</v>
      </c>
      <c r="B105" t="str">
        <v>Antony</v>
      </c>
      <c r="C105" s="1">
        <v>45965</v>
      </c>
      <c r="D105" s="2">
        <v>105297326</v>
      </c>
    </row>
    <row r="106" spans="1:4" x14ac:dyDescent="0.25">
      <c r="A106" t="str">
        <v>MED</v>
      </c>
      <c r="B106" t="str">
        <v>Navarro</v>
      </c>
      <c r="C106" s="1">
        <v>45967</v>
      </c>
      <c r="D106" s="2">
        <v>4800000</v>
      </c>
    </row>
    <row r="107" spans="1:4" x14ac:dyDescent="0.25">
      <c r="A107" t="str">
        <v>POR</v>
      </c>
      <c r="B107" t="str">
        <v>Herrera</v>
      </c>
      <c r="C107" s="1">
        <v>45969</v>
      </c>
      <c r="D107" s="2">
        <v>28870000</v>
      </c>
    </row>
    <row r="108" spans="1:4" x14ac:dyDescent="0.25">
      <c r="A108" t="str">
        <v>DEF</v>
      </c>
      <c r="B108" t="str">
        <v>Pep Chavarría</v>
      </c>
      <c r="C108" s="1">
        <v>45970</v>
      </c>
      <c r="D108" s="2">
        <v>14035574</v>
      </c>
    </row>
    <row r="109" spans="1:4" x14ac:dyDescent="0.25">
      <c r="A109" t="str">
        <v>DEF</v>
      </c>
      <c r="B109" t="str">
        <v>Nianzou</v>
      </c>
      <c r="C109" s="1">
        <v>45970</v>
      </c>
      <c r="D109" s="2">
        <v>3174000</v>
      </c>
    </row>
    <row r="110" spans="1:4" x14ac:dyDescent="0.25">
      <c r="A110" t="str">
        <v>DEF</v>
      </c>
      <c r="B110" t="str">
        <v>Parada</v>
      </c>
      <c r="C110" s="1">
        <v>45971</v>
      </c>
      <c r="D110" s="2">
        <v>600000</v>
      </c>
    </row>
    <row r="111" spans="1:4" x14ac:dyDescent="0.25">
      <c r="A111" t="str">
        <v>DEL</v>
      </c>
      <c r="B111" t="str">
        <v>Giuliano</v>
      </c>
      <c r="C111" s="1">
        <v>45972</v>
      </c>
      <c r="D111" s="2">
        <v>80336900</v>
      </c>
    </row>
    <row r="112" spans="1:4" x14ac:dyDescent="0.25">
      <c r="A112" t="str">
        <v>DEF</v>
      </c>
      <c r="B112" t="str">
        <v>Bellerín</v>
      </c>
      <c r="C112" s="1">
        <v>45972</v>
      </c>
      <c r="D112" s="2">
        <v>35463083</v>
      </c>
    </row>
    <row r="113" spans="1:4" x14ac:dyDescent="0.25">
      <c r="A113" t="str">
        <v>MED</v>
      </c>
      <c r="B113" t="str">
        <v>Edu Expósito</v>
      </c>
      <c r="C113" s="1">
        <v>45972</v>
      </c>
      <c r="D113" s="2">
        <v>40818837</v>
      </c>
    </row>
    <row r="114" spans="1:4" x14ac:dyDescent="0.25">
      <c r="A114" t="str">
        <v>DEL</v>
      </c>
      <c r="B114" t="str">
        <v>Iglesias</v>
      </c>
      <c r="C114" s="1">
        <v>45973</v>
      </c>
      <c r="D114" s="2">
        <v>19552500</v>
      </c>
    </row>
  </sheetData>
  <hyperlinks>
    <hyperlink ref="A1" location="Sumario!A1" display="Indice" xr:uid="{00727AE7-7C74-4B40-85CC-18BE0AFA9CC1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6543F-C580-4635-9DCA-97FAECF05569}">
  <dimension ref="A1:P63"/>
  <sheetViews>
    <sheetView workbookViewId="0">
      <selection activeCell="K14" sqref="K14"/>
    </sheetView>
  </sheetViews>
  <sheetFormatPr baseColWidth="10" defaultRowHeight="15" x14ac:dyDescent="0.25"/>
  <cols>
    <col min="3" max="3" width="11.42578125" style="1"/>
    <col min="13" max="13" width="11.42578125" style="1"/>
    <col min="14" max="15" width="14.140625" style="2" bestFit="1" customWidth="1"/>
    <col min="16" max="16" width="12.28515625" bestFit="1" customWidth="1"/>
  </cols>
  <sheetData>
    <row r="1" spans="1:16" x14ac:dyDescent="0.25">
      <c r="A1" s="3" t="s">
        <v>94</v>
      </c>
      <c r="B1" t="s">
        <v>14</v>
      </c>
      <c r="D1" s="2"/>
      <c r="H1" s="1"/>
      <c r="I1" s="2"/>
    </row>
    <row r="2" spans="1:16" x14ac:dyDescent="0.25">
      <c r="A2" t="s">
        <v>188</v>
      </c>
      <c r="D2" s="2"/>
      <c r="H2" s="1"/>
      <c r="I2" s="2"/>
      <c r="K2" t="s">
        <v>189</v>
      </c>
    </row>
    <row r="3" spans="1:16" x14ac:dyDescent="0.25">
      <c r="A3" t="s">
        <v>75</v>
      </c>
      <c r="B3" t="s">
        <v>25</v>
      </c>
      <c r="C3" s="1" t="s">
        <v>76</v>
      </c>
      <c r="D3" s="2" t="s">
        <v>95</v>
      </c>
      <c r="E3" t="s">
        <v>190</v>
      </c>
      <c r="H3" s="1"/>
      <c r="I3" s="2"/>
      <c r="K3" t="s">
        <v>75</v>
      </c>
      <c r="L3" t="s">
        <v>25</v>
      </c>
      <c r="M3" s="1" t="s">
        <v>93</v>
      </c>
      <c r="N3" s="2" t="s">
        <v>96</v>
      </c>
      <c r="O3" s="2" t="s">
        <v>95</v>
      </c>
      <c r="P3" t="s">
        <v>280</v>
      </c>
    </row>
    <row r="4" spans="1:16" x14ac:dyDescent="0.25">
      <c r="A4" t="str" cm="1">
        <f t="array" ref="A4:A63">_xlfn._xlws.FILTER(Fichajes!C:C,Fichajes!G:G=B1)</f>
        <v>MED</v>
      </c>
      <c r="B4" t="str" cm="1">
        <f t="array" ref="B4:B63">_xlfn._xlws.FILTER(Fichajes!B:B,Fichajes!G:G=B1)</f>
        <v>Álvaro García</v>
      </c>
      <c r="C4" s="1" cm="1">
        <f t="array" ref="C4:C63">_xlfn._xlws.FILTER(Fichajes!F:F,Fichajes!$G:$G=$B1)</f>
        <v>45872</v>
      </c>
      <c r="D4" s="2" cm="1">
        <f t="array" ref="D4:D63">_xlfn._xlws.FILTER(Fichajes!I:I,Fichajes!$G:$G=$B1)</f>
        <v>0</v>
      </c>
      <c r="E4" t="str">
        <f t="shared" ref="E4:E30" si="0">IF(B4="","",IFERROR(
   IF(
      (VLOOKUP(B4,K:N,3,FALSE)) &lt; C4,
      "X",
      ""
   ),
   "X")
)</f>
        <v/>
      </c>
      <c r="H4" s="1"/>
      <c r="I4" s="2"/>
      <c r="K4" t="str" cm="1">
        <f t="array" ref="K4:K42">_xlfn._xlws.FILTER(Fichajes!B:B,Fichajes!$H:$H=B$1)</f>
        <v>Álvaro García</v>
      </c>
      <c r="L4" t="str" cm="1">
        <f t="array" ref="L4:L42">_xlfn._xlws.FILTER(Fichajes!C:C,Fichajes!$H:$H=B$1)</f>
        <v>MED</v>
      </c>
      <c r="M4" s="1" cm="1">
        <f t="array" ref="M4:M42">_xlfn._xlws.FILTER(Fichajes!F:F,Fichajes!$H:$H=B$1)</f>
        <v>45875</v>
      </c>
      <c r="N4" s="2" cm="1">
        <f t="array" ref="N4:N42">_xlfn._xlws.FILTER(Fichajes!I:I,Fichajes!$H:$H=B$1)</f>
        <v>11915702</v>
      </c>
      <c r="O4" s="2">
        <f t="shared" ref="O4:O14" si="1">IF(ISBLANK(N4),"",VLOOKUP(K4,B:D,3,FALSE))</f>
        <v>0</v>
      </c>
      <c r="P4" s="2">
        <f t="shared" ref="P4:P14" si="2">IF(ISBLANK(N4),"",N4-O4)</f>
        <v>11915702</v>
      </c>
    </row>
    <row r="5" spans="1:16" x14ac:dyDescent="0.25">
      <c r="A5" t="str">
        <v>DEF</v>
      </c>
      <c r="B5" t="str">
        <v>Asencio</v>
      </c>
      <c r="C5" s="1">
        <v>45872</v>
      </c>
      <c r="D5" s="2">
        <v>0</v>
      </c>
      <c r="E5" t="str">
        <f t="shared" si="0"/>
        <v/>
      </c>
      <c r="H5" s="1"/>
      <c r="I5" s="2"/>
      <c r="K5" t="str">
        <v>Asencio</v>
      </c>
      <c r="L5" t="str">
        <v>DEF</v>
      </c>
      <c r="M5" s="1">
        <v>45875</v>
      </c>
      <c r="N5" s="2">
        <v>14535398</v>
      </c>
      <c r="O5" s="2">
        <f t="shared" si="1"/>
        <v>0</v>
      </c>
      <c r="P5" s="2">
        <f t="shared" si="2"/>
        <v>14535398</v>
      </c>
    </row>
    <row r="6" spans="1:16" x14ac:dyDescent="0.25">
      <c r="A6" t="str">
        <v>MED</v>
      </c>
      <c r="B6" t="str">
        <v>Becker</v>
      </c>
      <c r="C6" s="1">
        <v>45872</v>
      </c>
      <c r="D6" s="2">
        <v>0</v>
      </c>
      <c r="E6" t="str">
        <f t="shared" si="0"/>
        <v/>
      </c>
      <c r="H6" s="1"/>
      <c r="I6" s="2"/>
      <c r="K6" t="str">
        <v>Becker</v>
      </c>
      <c r="L6" t="str">
        <v>MED</v>
      </c>
      <c r="M6" s="1">
        <v>45875</v>
      </c>
      <c r="N6" s="2">
        <v>7802523</v>
      </c>
      <c r="O6" s="2">
        <f t="shared" si="1"/>
        <v>0</v>
      </c>
      <c r="P6" s="2">
        <f t="shared" si="2"/>
        <v>7802523</v>
      </c>
    </row>
    <row r="7" spans="1:16" x14ac:dyDescent="0.25">
      <c r="A7" t="str">
        <v>DEL</v>
      </c>
      <c r="B7" t="str">
        <v>Berenguer</v>
      </c>
      <c r="C7" s="1">
        <v>45872</v>
      </c>
      <c r="D7" s="2">
        <v>0</v>
      </c>
      <c r="E7" t="str">
        <f t="shared" si="0"/>
        <v/>
      </c>
      <c r="H7" s="1"/>
      <c r="I7" s="2"/>
      <c r="K7" t="str">
        <v>Gallagher</v>
      </c>
      <c r="L7" t="str">
        <v>MED</v>
      </c>
      <c r="M7" s="1">
        <v>45875</v>
      </c>
      <c r="N7" s="2">
        <v>16196589</v>
      </c>
      <c r="O7" s="2">
        <f t="shared" si="1"/>
        <v>0</v>
      </c>
      <c r="P7" s="2">
        <f t="shared" si="2"/>
        <v>16196589</v>
      </c>
    </row>
    <row r="8" spans="1:16" x14ac:dyDescent="0.25">
      <c r="A8" t="str">
        <v>DEF</v>
      </c>
      <c r="B8" t="str">
        <v>S. Cardona</v>
      </c>
      <c r="C8" s="1">
        <v>45872</v>
      </c>
      <c r="D8" s="2">
        <v>0</v>
      </c>
      <c r="E8" t="str">
        <f t="shared" si="0"/>
        <v/>
      </c>
      <c r="H8" s="1"/>
      <c r="I8" s="2"/>
      <c r="K8" t="str">
        <v>Greif</v>
      </c>
      <c r="L8" t="str">
        <v>POR</v>
      </c>
      <c r="M8" s="1">
        <v>45881</v>
      </c>
      <c r="N8" s="2">
        <v>1437484</v>
      </c>
      <c r="O8" s="2">
        <f t="shared" si="1"/>
        <v>1635041</v>
      </c>
      <c r="P8" s="2">
        <f t="shared" si="2"/>
        <v>-197557</v>
      </c>
    </row>
    <row r="9" spans="1:16" x14ac:dyDescent="0.25">
      <c r="A9" t="str">
        <v>DEL</v>
      </c>
      <c r="B9" t="str">
        <v>Carlos Vicente</v>
      </c>
      <c r="C9" s="1">
        <v>45872</v>
      </c>
      <c r="D9" s="2">
        <v>0</v>
      </c>
      <c r="E9" t="str">
        <f t="shared" si="0"/>
        <v/>
      </c>
      <c r="H9" s="1"/>
      <c r="I9" s="2"/>
      <c r="K9" t="str">
        <v>Fermín</v>
      </c>
      <c r="L9" t="str">
        <v>MED</v>
      </c>
      <c r="M9" s="1">
        <v>45886</v>
      </c>
      <c r="N9" s="2">
        <v>17410012</v>
      </c>
      <c r="O9" s="2">
        <f t="shared" si="1"/>
        <v>0</v>
      </c>
      <c r="P9" s="2">
        <f t="shared" si="2"/>
        <v>17410012</v>
      </c>
    </row>
    <row r="10" spans="1:16" x14ac:dyDescent="0.25">
      <c r="A10" t="str">
        <v>POR</v>
      </c>
      <c r="B10" t="str">
        <v>Conde</v>
      </c>
      <c r="C10" s="1">
        <v>45872</v>
      </c>
      <c r="D10" s="2">
        <v>0</v>
      </c>
      <c r="E10" t="str">
        <f t="shared" si="0"/>
        <v>X</v>
      </c>
      <c r="H10" s="1"/>
      <c r="I10" s="2"/>
      <c r="K10" t="str">
        <v>Sucic</v>
      </c>
      <c r="L10" t="str">
        <v>MED</v>
      </c>
      <c r="M10" s="1">
        <v>45886</v>
      </c>
      <c r="N10" s="2">
        <v>9687480</v>
      </c>
      <c r="O10" s="2">
        <f t="shared" si="1"/>
        <v>0</v>
      </c>
      <c r="P10" s="2">
        <f t="shared" si="2"/>
        <v>9687480</v>
      </c>
    </row>
    <row r="11" spans="1:16" x14ac:dyDescent="0.25">
      <c r="A11" t="str">
        <v>MED</v>
      </c>
      <c r="B11" t="str">
        <v>Fermín</v>
      </c>
      <c r="C11" s="1">
        <v>45872</v>
      </c>
      <c r="D11" s="2">
        <v>0</v>
      </c>
      <c r="E11" t="str">
        <f t="shared" si="0"/>
        <v/>
      </c>
      <c r="H11" s="1"/>
      <c r="I11" s="2"/>
      <c r="K11" t="str">
        <v>Garcés</v>
      </c>
      <c r="L11" t="str">
        <v>DEF</v>
      </c>
      <c r="M11" s="1">
        <v>45887</v>
      </c>
      <c r="N11" s="2">
        <v>1011015</v>
      </c>
      <c r="O11" s="2">
        <f t="shared" si="1"/>
        <v>0</v>
      </c>
      <c r="P11" s="2">
        <f t="shared" si="2"/>
        <v>1011015</v>
      </c>
    </row>
    <row r="12" spans="1:16" x14ac:dyDescent="0.25">
      <c r="A12" t="str">
        <v>MED</v>
      </c>
      <c r="B12" t="str">
        <v>Gallagher</v>
      </c>
      <c r="C12" s="1">
        <v>45872</v>
      </c>
      <c r="D12" s="2">
        <v>0</v>
      </c>
      <c r="E12" t="str">
        <f t="shared" si="0"/>
        <v/>
      </c>
      <c r="H12" s="1"/>
      <c r="I12" s="2"/>
      <c r="K12" t="str">
        <v>Barrenetxea</v>
      </c>
      <c r="L12" t="str">
        <v>MED</v>
      </c>
      <c r="M12" s="1">
        <v>45893</v>
      </c>
      <c r="N12" s="2">
        <v>5678911</v>
      </c>
      <c r="O12" s="2">
        <f t="shared" si="1"/>
        <v>5678911</v>
      </c>
      <c r="P12" s="2">
        <f t="shared" si="2"/>
        <v>0</v>
      </c>
    </row>
    <row r="13" spans="1:16" x14ac:dyDescent="0.25">
      <c r="A13" t="str">
        <v>DEF</v>
      </c>
      <c r="B13" t="str">
        <v>Garcés</v>
      </c>
      <c r="C13" s="1">
        <v>45872</v>
      </c>
      <c r="D13" s="2">
        <v>0</v>
      </c>
      <c r="E13" t="str">
        <f t="shared" si="0"/>
        <v/>
      </c>
      <c r="H13" s="1"/>
      <c r="I13" s="2"/>
      <c r="K13" t="str">
        <v>Gayà</v>
      </c>
      <c r="L13" t="str">
        <v>DEF</v>
      </c>
      <c r="M13" s="1">
        <v>45893</v>
      </c>
      <c r="N13" s="2">
        <v>12638922</v>
      </c>
      <c r="O13" s="2">
        <f t="shared" si="1"/>
        <v>0</v>
      </c>
      <c r="P13" s="2">
        <f t="shared" si="2"/>
        <v>12638922</v>
      </c>
    </row>
    <row r="14" spans="1:16" x14ac:dyDescent="0.25">
      <c r="A14" t="str">
        <v>DEF</v>
      </c>
      <c r="B14" t="str">
        <v>Gayà</v>
      </c>
      <c r="C14" s="1">
        <v>45872</v>
      </c>
      <c r="D14" s="2">
        <v>0</v>
      </c>
      <c r="E14" t="str">
        <f t="shared" si="0"/>
        <v/>
      </c>
      <c r="H14" s="1"/>
      <c r="I14" s="2"/>
      <c r="K14" t="str">
        <v>Romero</v>
      </c>
      <c r="L14" t="str">
        <v>DEL</v>
      </c>
      <c r="M14" s="1">
        <v>45897</v>
      </c>
      <c r="N14" s="2">
        <v>4858486</v>
      </c>
      <c r="O14" s="2">
        <f t="shared" si="1"/>
        <v>0</v>
      </c>
      <c r="P14" s="2">
        <f t="shared" si="2"/>
        <v>4858486</v>
      </c>
    </row>
    <row r="15" spans="1:16" x14ac:dyDescent="0.25">
      <c r="A15" t="str">
        <v>DEL</v>
      </c>
      <c r="B15" t="str">
        <v>Romero</v>
      </c>
      <c r="C15" s="1">
        <v>45872</v>
      </c>
      <c r="D15" s="2">
        <v>0</v>
      </c>
      <c r="E15" t="str">
        <f t="shared" si="0"/>
        <v/>
      </c>
      <c r="H15" s="1"/>
      <c r="I15" s="2"/>
      <c r="K15" t="str">
        <v>M. Alonso</v>
      </c>
      <c r="L15" t="str">
        <v>DEF</v>
      </c>
      <c r="M15" s="1">
        <v>45897</v>
      </c>
      <c r="N15" s="2">
        <v>18644883</v>
      </c>
      <c r="O15" s="2">
        <f>IF(ISBLANK(N15),"",VLOOKUP(K15,B:D,3,FALSE))</f>
        <v>0</v>
      </c>
      <c r="P15" s="2">
        <f>IF(ISBLANK(N15),"",N15-O15)</f>
        <v>18644883</v>
      </c>
    </row>
    <row r="16" spans="1:16" x14ac:dyDescent="0.25">
      <c r="A16" t="str">
        <v>DEF</v>
      </c>
      <c r="B16" t="str">
        <v>M. Alonso</v>
      </c>
      <c r="C16" s="1">
        <v>45872</v>
      </c>
      <c r="D16" s="2">
        <v>0</v>
      </c>
      <c r="E16" t="str">
        <f t="shared" si="0"/>
        <v/>
      </c>
      <c r="H16" s="1"/>
      <c r="I16" s="2"/>
      <c r="K16" t="str">
        <v>Á. Núñez</v>
      </c>
      <c r="L16" t="str">
        <v>DEF</v>
      </c>
      <c r="M16" s="1">
        <v>45903</v>
      </c>
      <c r="N16" s="2">
        <v>6869728</v>
      </c>
      <c r="O16" s="2">
        <f t="shared" ref="O16:O48" si="3">IF(ISBLANK(N16),"",VLOOKUP(K16,B:D,3,FALSE))</f>
        <v>1749728</v>
      </c>
      <c r="P16" s="2">
        <f t="shared" ref="P16:P48" si="4">IF(ISBLANK(N16),"",N16-O16)</f>
        <v>5120000</v>
      </c>
    </row>
    <row r="17" spans="1:16" x14ac:dyDescent="0.25">
      <c r="A17" t="str">
        <v>MED</v>
      </c>
      <c r="B17" t="str">
        <v>Sucic</v>
      </c>
      <c r="C17" s="1">
        <v>45872</v>
      </c>
      <c r="D17" s="2">
        <v>0</v>
      </c>
      <c r="E17" t="str">
        <f t="shared" si="0"/>
        <v/>
      </c>
      <c r="H17" s="1"/>
      <c r="I17" s="2"/>
      <c r="K17" t="str">
        <v>Pathé Ciss</v>
      </c>
      <c r="L17" t="str">
        <v>MED</v>
      </c>
      <c r="M17" s="1">
        <v>45897</v>
      </c>
      <c r="N17" s="2">
        <v>8000010</v>
      </c>
      <c r="O17" s="2">
        <f t="shared" si="3"/>
        <v>5000010</v>
      </c>
      <c r="P17" s="2">
        <f t="shared" si="4"/>
        <v>3000000</v>
      </c>
    </row>
    <row r="18" spans="1:16" x14ac:dyDescent="0.25">
      <c r="A18" t="str">
        <v>MED</v>
      </c>
      <c r="B18" t="str">
        <v>Rubén G.</v>
      </c>
      <c r="C18" s="1">
        <v>45873</v>
      </c>
      <c r="D18" s="2">
        <v>15000001</v>
      </c>
      <c r="E18" t="str">
        <f t="shared" si="0"/>
        <v/>
      </c>
      <c r="H18" s="1"/>
      <c r="I18" s="2"/>
      <c r="K18" t="str">
        <v>Mouriño</v>
      </c>
      <c r="L18" t="str">
        <v>DEF</v>
      </c>
      <c r="M18" s="1">
        <v>45907</v>
      </c>
      <c r="N18" s="2">
        <v>23676456</v>
      </c>
      <c r="O18" s="2">
        <f t="shared" si="3"/>
        <v>16430000</v>
      </c>
      <c r="P18" s="2">
        <f t="shared" si="4"/>
        <v>7246456</v>
      </c>
    </row>
    <row r="19" spans="1:16" x14ac:dyDescent="0.25">
      <c r="A19" t="str">
        <v>DEL</v>
      </c>
      <c r="B19" t="str">
        <v>Budimir</v>
      </c>
      <c r="C19" s="1">
        <v>45877</v>
      </c>
      <c r="D19" s="2">
        <v>55000001</v>
      </c>
      <c r="E19" t="str">
        <f t="shared" si="0"/>
        <v/>
      </c>
      <c r="H19" s="1"/>
      <c r="I19" s="2"/>
      <c r="K19" t="str">
        <v>Berenguer</v>
      </c>
      <c r="L19" t="str">
        <v>DEL</v>
      </c>
      <c r="M19" s="1">
        <v>45909</v>
      </c>
      <c r="N19" s="2">
        <v>30366706</v>
      </c>
      <c r="O19" s="2">
        <f t="shared" si="3"/>
        <v>0</v>
      </c>
      <c r="P19" s="2">
        <f t="shared" si="4"/>
        <v>30366706</v>
      </c>
    </row>
    <row r="20" spans="1:16" x14ac:dyDescent="0.25">
      <c r="A20" t="str">
        <v>POR</v>
      </c>
      <c r="B20" t="str">
        <v>Adrián</v>
      </c>
      <c r="C20" s="1">
        <v>45879</v>
      </c>
      <c r="D20" s="2">
        <v>1354393</v>
      </c>
      <c r="E20" t="str">
        <f t="shared" si="0"/>
        <v>X</v>
      </c>
      <c r="H20" s="1"/>
      <c r="I20" s="2"/>
      <c r="K20" t="str">
        <v>Carlos Vicente</v>
      </c>
      <c r="L20" t="str">
        <v>DEL</v>
      </c>
      <c r="M20" s="1">
        <v>45910</v>
      </c>
      <c r="N20" s="2">
        <v>32487271</v>
      </c>
      <c r="O20" s="2">
        <f t="shared" si="3"/>
        <v>0</v>
      </c>
      <c r="P20" s="2">
        <f t="shared" si="4"/>
        <v>32487271</v>
      </c>
    </row>
    <row r="21" spans="1:16" x14ac:dyDescent="0.25">
      <c r="A21" t="str">
        <v>MED</v>
      </c>
      <c r="B21" t="str">
        <v>Barrenetxea</v>
      </c>
      <c r="C21" s="1">
        <v>45879</v>
      </c>
      <c r="D21" s="2">
        <v>5678911</v>
      </c>
      <c r="E21" t="str">
        <f t="shared" si="0"/>
        <v/>
      </c>
      <c r="H21" s="1"/>
      <c r="I21" s="2"/>
      <c r="K21" t="str">
        <v>Pablo Martínez</v>
      </c>
      <c r="L21" t="str">
        <v>MED</v>
      </c>
      <c r="M21" s="1">
        <v>45911</v>
      </c>
      <c r="N21" s="2">
        <v>3000010</v>
      </c>
      <c r="O21" s="2">
        <f t="shared" si="3"/>
        <v>3000010</v>
      </c>
      <c r="P21" s="2">
        <f t="shared" si="4"/>
        <v>0</v>
      </c>
    </row>
    <row r="22" spans="1:16" x14ac:dyDescent="0.25">
      <c r="A22" t="str">
        <v>POR</v>
      </c>
      <c r="B22" t="str">
        <v>Greif</v>
      </c>
      <c r="C22" s="1">
        <v>45879</v>
      </c>
      <c r="D22" s="2">
        <v>1635041</v>
      </c>
      <c r="E22" t="str">
        <f t="shared" si="0"/>
        <v/>
      </c>
      <c r="H22" s="1"/>
      <c r="I22" s="2"/>
      <c r="K22" t="str">
        <v>Calvo</v>
      </c>
      <c r="L22" t="str">
        <v>DEF</v>
      </c>
      <c r="M22" s="1">
        <v>45923</v>
      </c>
      <c r="N22" s="2">
        <v>1557616</v>
      </c>
      <c r="O22" s="2">
        <f t="shared" si="3"/>
        <v>1318951</v>
      </c>
      <c r="P22" s="2">
        <f t="shared" si="4"/>
        <v>238665</v>
      </c>
    </row>
    <row r="23" spans="1:16" x14ac:dyDescent="0.25">
      <c r="A23" t="str">
        <v>MED</v>
      </c>
      <c r="B23" t="str">
        <v>Pathé Ciss</v>
      </c>
      <c r="C23" s="1">
        <v>45882</v>
      </c>
      <c r="D23" s="2">
        <v>5000010</v>
      </c>
      <c r="E23" t="str">
        <f t="shared" si="0"/>
        <v/>
      </c>
      <c r="H23" s="1"/>
      <c r="I23" s="2"/>
      <c r="K23" t="str">
        <v>Álvaro García</v>
      </c>
      <c r="L23" t="str">
        <v>MED</v>
      </c>
      <c r="M23" s="1">
        <v>45924</v>
      </c>
      <c r="N23" s="2">
        <v>28000101</v>
      </c>
      <c r="O23" s="2">
        <f t="shared" si="3"/>
        <v>0</v>
      </c>
      <c r="P23" s="2">
        <f t="shared" si="4"/>
        <v>28000101</v>
      </c>
    </row>
    <row r="24" spans="1:16" x14ac:dyDescent="0.25">
      <c r="A24" t="str">
        <v>POR</v>
      </c>
      <c r="B24" t="str">
        <v>Unai Simón</v>
      </c>
      <c r="C24" s="1">
        <v>45882</v>
      </c>
      <c r="D24" s="2">
        <v>57000001</v>
      </c>
      <c r="E24" t="str">
        <f t="shared" si="0"/>
        <v>X</v>
      </c>
      <c r="K24" t="str">
        <v>Agoume</v>
      </c>
      <c r="L24" t="str">
        <v>MED</v>
      </c>
      <c r="M24" s="1">
        <v>45928</v>
      </c>
      <c r="N24" s="2">
        <v>8502618</v>
      </c>
      <c r="O24" s="2">
        <f t="shared" si="3"/>
        <v>7541427</v>
      </c>
      <c r="P24" s="2">
        <f t="shared" si="4"/>
        <v>961191</v>
      </c>
    </row>
    <row r="25" spans="1:16" x14ac:dyDescent="0.25">
      <c r="A25" t="str">
        <v>DEF</v>
      </c>
      <c r="B25" t="str">
        <v>Á. Núñez</v>
      </c>
      <c r="C25" s="1">
        <v>45889</v>
      </c>
      <c r="D25" s="2">
        <v>1749728</v>
      </c>
      <c r="E25" t="str">
        <f t="shared" si="0"/>
        <v/>
      </c>
      <c r="K25" t="str">
        <v>Mendoza</v>
      </c>
      <c r="L25" t="str">
        <v>MED</v>
      </c>
      <c r="M25" s="1">
        <v>45928</v>
      </c>
      <c r="N25" s="2">
        <v>5601830</v>
      </c>
      <c r="O25" s="2">
        <f t="shared" si="3"/>
        <v>4172591</v>
      </c>
      <c r="P25" s="2">
        <f t="shared" si="4"/>
        <v>1429239</v>
      </c>
    </row>
    <row r="26" spans="1:16" x14ac:dyDescent="0.25">
      <c r="A26" t="str">
        <v>DEF</v>
      </c>
      <c r="B26" t="str">
        <v>Jorge Cabello</v>
      </c>
      <c r="C26" s="1">
        <v>45890</v>
      </c>
      <c r="D26" s="2">
        <v>1230000</v>
      </c>
      <c r="E26" t="str">
        <f t="shared" si="0"/>
        <v>X</v>
      </c>
      <c r="K26" t="str">
        <v>Rubén G.</v>
      </c>
      <c r="L26" t="str">
        <v>MED</v>
      </c>
      <c r="M26" s="1">
        <v>45929</v>
      </c>
      <c r="N26" s="2">
        <v>5317380</v>
      </c>
      <c r="O26" s="2">
        <f t="shared" si="3"/>
        <v>15000001</v>
      </c>
      <c r="P26" s="2">
        <f t="shared" si="4"/>
        <v>-9682621</v>
      </c>
    </row>
    <row r="27" spans="1:16" x14ac:dyDescent="0.25">
      <c r="A27" t="str">
        <v>MED</v>
      </c>
      <c r="B27" t="str">
        <v>Pablo Martínez</v>
      </c>
      <c r="C27" s="1">
        <v>45890</v>
      </c>
      <c r="D27" s="2">
        <v>3000010</v>
      </c>
      <c r="E27" t="str">
        <f t="shared" si="0"/>
        <v/>
      </c>
      <c r="K27" t="str">
        <v>Jauregizar</v>
      </c>
      <c r="L27" t="str">
        <v>MED</v>
      </c>
      <c r="M27" s="1">
        <v>45930</v>
      </c>
      <c r="N27" s="2">
        <v>18099036</v>
      </c>
      <c r="O27" s="2">
        <f t="shared" si="3"/>
        <v>18000010</v>
      </c>
      <c r="P27" s="2">
        <f t="shared" si="4"/>
        <v>99026</v>
      </c>
    </row>
    <row r="28" spans="1:16" x14ac:dyDescent="0.25">
      <c r="A28" t="str">
        <v>MED</v>
      </c>
      <c r="B28" t="str">
        <v>Darder</v>
      </c>
      <c r="C28" s="1">
        <v>45897</v>
      </c>
      <c r="D28" s="2">
        <v>31560995</v>
      </c>
      <c r="E28" t="str">
        <f t="shared" si="0"/>
        <v/>
      </c>
      <c r="K28" t="str">
        <v>Foulquier</v>
      </c>
      <c r="L28" t="str">
        <v>DEF</v>
      </c>
      <c r="M28" s="1">
        <v>45931</v>
      </c>
      <c r="N28" s="2">
        <v>10552100</v>
      </c>
      <c r="O28" s="2">
        <f t="shared" si="3"/>
        <v>10552100</v>
      </c>
      <c r="P28" s="2">
        <f t="shared" si="4"/>
        <v>0</v>
      </c>
    </row>
    <row r="29" spans="1:16" x14ac:dyDescent="0.25">
      <c r="A29" t="str">
        <v>DEF</v>
      </c>
      <c r="B29" t="str">
        <v>Calvo</v>
      </c>
      <c r="C29" s="1">
        <v>45898</v>
      </c>
      <c r="D29" s="2">
        <v>1318951</v>
      </c>
      <c r="E29" t="str">
        <f t="shared" si="0"/>
        <v/>
      </c>
      <c r="K29" t="str">
        <v>Budimir</v>
      </c>
      <c r="L29" t="str">
        <v>DEL</v>
      </c>
      <c r="M29" s="1">
        <v>45934</v>
      </c>
      <c r="N29" s="2">
        <v>36605526</v>
      </c>
      <c r="O29" s="2">
        <f t="shared" si="3"/>
        <v>55000001</v>
      </c>
      <c r="P29" s="2">
        <f t="shared" si="4"/>
        <v>-18394475</v>
      </c>
    </row>
    <row r="30" spans="1:16" x14ac:dyDescent="0.25">
      <c r="A30" t="str">
        <v>DEF</v>
      </c>
      <c r="B30" t="str">
        <v>Morey</v>
      </c>
      <c r="C30" s="1">
        <v>45898</v>
      </c>
      <c r="D30" s="2">
        <v>4561231</v>
      </c>
      <c r="E30" t="str">
        <f t="shared" si="0"/>
        <v>X</v>
      </c>
      <c r="K30" t="str">
        <v>Mario Martín</v>
      </c>
      <c r="L30" t="str">
        <v>MED</v>
      </c>
      <c r="M30" s="1">
        <v>45934</v>
      </c>
      <c r="N30" s="2">
        <v>2468142</v>
      </c>
      <c r="O30" s="2">
        <f t="shared" si="3"/>
        <v>3861510</v>
      </c>
      <c r="P30" s="2">
        <f t="shared" si="4"/>
        <v>-1393368</v>
      </c>
    </row>
    <row r="31" spans="1:16" x14ac:dyDescent="0.25">
      <c r="A31" t="str">
        <v>MED</v>
      </c>
      <c r="B31" t="str">
        <v>Álvaro García</v>
      </c>
      <c r="C31" s="1">
        <v>45907</v>
      </c>
      <c r="D31" s="2">
        <v>23000001</v>
      </c>
      <c r="K31" t="str">
        <v>Darder</v>
      </c>
      <c r="L31" t="str">
        <v>MED</v>
      </c>
      <c r="M31" s="1">
        <v>45939</v>
      </c>
      <c r="N31" s="2">
        <v>15322230</v>
      </c>
      <c r="O31" s="2">
        <f t="shared" si="3"/>
        <v>31560995</v>
      </c>
      <c r="P31" s="2">
        <f t="shared" si="4"/>
        <v>-16238765</v>
      </c>
    </row>
    <row r="32" spans="1:16" x14ac:dyDescent="0.25">
      <c r="A32" t="str">
        <v>MED</v>
      </c>
      <c r="B32" t="str">
        <v>Agoume</v>
      </c>
      <c r="C32" s="1">
        <v>45910</v>
      </c>
      <c r="D32">
        <v>7541427</v>
      </c>
      <c r="K32" t="str">
        <v>Cucho</v>
      </c>
      <c r="L32" t="str">
        <v>DEL</v>
      </c>
      <c r="M32" s="1">
        <v>45945</v>
      </c>
      <c r="N32" s="2">
        <v>43491641</v>
      </c>
      <c r="O32" s="2">
        <f t="shared" si="3"/>
        <v>20301719</v>
      </c>
      <c r="P32" s="2">
        <f t="shared" si="4"/>
        <v>23189922</v>
      </c>
    </row>
    <row r="33" spans="1:16" x14ac:dyDescent="0.25">
      <c r="A33" t="str">
        <v>DEL</v>
      </c>
      <c r="B33" t="str">
        <v>Diego López</v>
      </c>
      <c r="C33" s="1">
        <v>45910</v>
      </c>
      <c r="D33">
        <v>27177700</v>
      </c>
      <c r="K33" t="str">
        <v>Rodríguez</v>
      </c>
      <c r="L33" t="str">
        <v>DEF</v>
      </c>
      <c r="M33" s="1">
        <v>45949</v>
      </c>
      <c r="N33" s="2">
        <v>7834207</v>
      </c>
      <c r="O33" s="2">
        <f t="shared" si="3"/>
        <v>10225841</v>
      </c>
      <c r="P33" s="2">
        <f t="shared" si="4"/>
        <v>-2391634</v>
      </c>
    </row>
    <row r="34" spans="1:16" x14ac:dyDescent="0.25">
      <c r="A34" t="str">
        <v>DEF</v>
      </c>
      <c r="B34" t="str">
        <v>Foulquier</v>
      </c>
      <c r="C34" s="1">
        <v>45910</v>
      </c>
      <c r="D34">
        <v>10552100</v>
      </c>
      <c r="K34" t="str">
        <v>González</v>
      </c>
      <c r="L34" t="str">
        <v>MED</v>
      </c>
      <c r="M34" s="1">
        <v>45949</v>
      </c>
      <c r="N34" s="2">
        <v>22184235</v>
      </c>
      <c r="O34" s="2">
        <f t="shared" si="3"/>
        <v>24447215</v>
      </c>
      <c r="P34" s="2">
        <f t="shared" si="4"/>
        <v>-2262980</v>
      </c>
    </row>
    <row r="35" spans="1:16" x14ac:dyDescent="0.25">
      <c r="A35" t="str">
        <v>MED</v>
      </c>
      <c r="B35" t="str">
        <v>Jauregizar</v>
      </c>
      <c r="C35" s="1">
        <v>45916</v>
      </c>
      <c r="D35">
        <v>18000010</v>
      </c>
      <c r="K35" t="str">
        <v>Navarro</v>
      </c>
      <c r="L35" t="str">
        <v>MED</v>
      </c>
      <c r="M35" s="1">
        <v>45953</v>
      </c>
      <c r="N35" s="2">
        <v>4800000</v>
      </c>
      <c r="O35" s="2">
        <f t="shared" si="3"/>
        <v>4800000</v>
      </c>
      <c r="P35" s="2">
        <f t="shared" si="4"/>
        <v>0</v>
      </c>
    </row>
    <row r="36" spans="1:16" x14ac:dyDescent="0.25">
      <c r="A36" t="str">
        <v>MED</v>
      </c>
      <c r="B36" t="str">
        <v>Mendoza</v>
      </c>
      <c r="C36" s="1">
        <v>45916</v>
      </c>
      <c r="D36">
        <v>4172591</v>
      </c>
      <c r="K36" t="str">
        <v>Agoume</v>
      </c>
      <c r="L36" t="str">
        <v>MED</v>
      </c>
      <c r="M36" s="1">
        <v>45955</v>
      </c>
      <c r="N36" s="2">
        <v>10276217</v>
      </c>
      <c r="O36" s="2">
        <f t="shared" si="3"/>
        <v>7541427</v>
      </c>
      <c r="P36" s="2">
        <f t="shared" si="4"/>
        <v>2734790</v>
      </c>
    </row>
    <row r="37" spans="1:16" x14ac:dyDescent="0.25">
      <c r="A37" t="str">
        <v>DEF</v>
      </c>
      <c r="B37" t="str">
        <v>Mouriño</v>
      </c>
      <c r="C37" s="1">
        <v>45893</v>
      </c>
      <c r="D37">
        <v>16430000</v>
      </c>
      <c r="K37" t="str">
        <v>Rueda</v>
      </c>
      <c r="L37" t="str">
        <v>DEF</v>
      </c>
      <c r="M37" s="1">
        <v>45955</v>
      </c>
      <c r="N37" s="2">
        <v>6767088</v>
      </c>
      <c r="O37" s="2">
        <f t="shared" si="3"/>
        <v>12000010</v>
      </c>
      <c r="P37" s="2">
        <f t="shared" si="4"/>
        <v>-5232922</v>
      </c>
    </row>
    <row r="38" spans="1:16" x14ac:dyDescent="0.25">
      <c r="A38" t="str">
        <v>MED</v>
      </c>
      <c r="B38" t="str">
        <v>Mario Martín</v>
      </c>
      <c r="C38" s="1">
        <v>45920</v>
      </c>
      <c r="D38">
        <v>3861510</v>
      </c>
      <c r="K38" t="str">
        <v>Iglesias</v>
      </c>
      <c r="L38" t="str">
        <v>DEL</v>
      </c>
      <c r="M38" s="1">
        <v>45959</v>
      </c>
      <c r="N38" s="2">
        <v>17552500</v>
      </c>
      <c r="O38" s="2">
        <f t="shared" si="3"/>
        <v>17552500</v>
      </c>
      <c r="P38" s="2">
        <f t="shared" si="4"/>
        <v>0</v>
      </c>
    </row>
    <row r="39" spans="1:16" x14ac:dyDescent="0.25">
      <c r="A39" t="str">
        <v>DEF</v>
      </c>
      <c r="B39" t="str">
        <v>Bigas</v>
      </c>
      <c r="C39" s="1">
        <v>45921</v>
      </c>
      <c r="D39">
        <v>9255000</v>
      </c>
      <c r="K39" t="str">
        <v>Fermín</v>
      </c>
      <c r="L39" t="str">
        <v>MED</v>
      </c>
      <c r="M39" s="1">
        <v>45964</v>
      </c>
      <c r="N39" s="2">
        <v>55222222</v>
      </c>
      <c r="O39" s="2">
        <f t="shared" si="3"/>
        <v>0</v>
      </c>
      <c r="P39" s="2">
        <f t="shared" si="4"/>
        <v>55222222</v>
      </c>
    </row>
    <row r="40" spans="1:16" x14ac:dyDescent="0.25">
      <c r="A40" t="str">
        <v>DEL</v>
      </c>
      <c r="B40" t="str">
        <v>Cucho</v>
      </c>
      <c r="C40" s="1">
        <v>45928</v>
      </c>
      <c r="D40">
        <v>20301719</v>
      </c>
      <c r="K40" t="str">
        <v>Diego López</v>
      </c>
      <c r="L40" t="str">
        <v>DEL</v>
      </c>
      <c r="M40" s="1">
        <v>45964</v>
      </c>
      <c r="N40" s="2">
        <v>10328338</v>
      </c>
      <c r="O40" s="2">
        <f t="shared" si="3"/>
        <v>27177700</v>
      </c>
      <c r="P40" s="2">
        <f t="shared" si="4"/>
        <v>-16849362</v>
      </c>
    </row>
    <row r="41" spans="1:16" x14ac:dyDescent="0.25">
      <c r="A41" t="str">
        <v>DEF</v>
      </c>
      <c r="B41" t="str">
        <v>Rueda</v>
      </c>
      <c r="C41" s="1">
        <v>45929</v>
      </c>
      <c r="D41">
        <v>12000010</v>
      </c>
      <c r="K41" t="str">
        <v>S. Cardona</v>
      </c>
      <c r="L41" t="str">
        <v>DEF</v>
      </c>
      <c r="M41" s="1">
        <v>45965</v>
      </c>
      <c r="N41" s="2">
        <v>26208176</v>
      </c>
      <c r="O41" s="2">
        <f t="shared" si="3"/>
        <v>0</v>
      </c>
      <c r="P41" s="2">
        <f t="shared" si="4"/>
        <v>26208176</v>
      </c>
    </row>
    <row r="42" spans="1:16" x14ac:dyDescent="0.25">
      <c r="A42" t="str">
        <v>MED</v>
      </c>
      <c r="B42" t="str">
        <v>Arambarri</v>
      </c>
      <c r="C42" s="1">
        <v>45931</v>
      </c>
      <c r="D42">
        <v>20000000</v>
      </c>
      <c r="K42" t="str">
        <v>Hassan</v>
      </c>
      <c r="L42" t="str">
        <v>MED</v>
      </c>
      <c r="M42" s="1">
        <v>45965</v>
      </c>
      <c r="N42" s="2">
        <v>3596768</v>
      </c>
      <c r="O42" s="2">
        <f t="shared" si="3"/>
        <v>5000051</v>
      </c>
      <c r="P42" s="2">
        <f t="shared" si="4"/>
        <v>-1403283</v>
      </c>
    </row>
    <row r="43" spans="1:16" x14ac:dyDescent="0.25">
      <c r="A43" t="str">
        <v>MED</v>
      </c>
      <c r="B43" t="str">
        <v>Dendoncker</v>
      </c>
      <c r="C43" s="1">
        <v>45931</v>
      </c>
      <c r="D43">
        <v>8987987</v>
      </c>
      <c r="O43" s="2" t="str">
        <f t="shared" si="3"/>
        <v/>
      </c>
      <c r="P43" s="2" t="str">
        <f t="shared" si="4"/>
        <v/>
      </c>
    </row>
    <row r="44" spans="1:16" x14ac:dyDescent="0.25">
      <c r="A44" t="str">
        <v>DEF</v>
      </c>
      <c r="B44" t="str">
        <v>Pétrot</v>
      </c>
      <c r="C44" s="1">
        <v>45933</v>
      </c>
      <c r="D44">
        <v>547689</v>
      </c>
      <c r="O44" s="2" t="str">
        <f t="shared" si="3"/>
        <v/>
      </c>
      <c r="P44" s="2" t="str">
        <f t="shared" si="4"/>
        <v/>
      </c>
    </row>
    <row r="45" spans="1:16" x14ac:dyDescent="0.25">
      <c r="A45" t="str">
        <v>DEF</v>
      </c>
      <c r="B45" t="str">
        <v>Costas</v>
      </c>
      <c r="C45" s="1">
        <v>45933</v>
      </c>
      <c r="D45">
        <v>850978</v>
      </c>
      <c r="O45" s="2" t="str">
        <f t="shared" si="3"/>
        <v/>
      </c>
      <c r="P45" s="2" t="str">
        <f t="shared" si="4"/>
        <v/>
      </c>
    </row>
    <row r="46" spans="1:16" x14ac:dyDescent="0.25">
      <c r="A46" t="str">
        <v>MED</v>
      </c>
      <c r="B46" t="str">
        <v>Navarro</v>
      </c>
      <c r="C46" s="1">
        <v>45934</v>
      </c>
      <c r="D46">
        <v>4800000</v>
      </c>
      <c r="O46" s="2" t="str">
        <f t="shared" si="3"/>
        <v/>
      </c>
      <c r="P46" s="2" t="str">
        <f t="shared" si="4"/>
        <v/>
      </c>
    </row>
    <row r="47" spans="1:16" x14ac:dyDescent="0.25">
      <c r="A47" t="str">
        <v>DEL</v>
      </c>
      <c r="B47" t="str">
        <v>Iglesias</v>
      </c>
      <c r="C47" s="1">
        <v>45935</v>
      </c>
      <c r="D47">
        <v>17552500</v>
      </c>
      <c r="O47" s="2" t="str">
        <f t="shared" si="3"/>
        <v/>
      </c>
      <c r="P47" s="2" t="str">
        <f t="shared" si="4"/>
        <v/>
      </c>
    </row>
    <row r="48" spans="1:16" x14ac:dyDescent="0.25">
      <c r="A48" t="str">
        <v>MED</v>
      </c>
      <c r="B48" t="str">
        <v>Agoume</v>
      </c>
      <c r="C48" s="1">
        <v>45935</v>
      </c>
      <c r="D48">
        <v>12000158</v>
      </c>
      <c r="O48" s="2" t="str">
        <f t="shared" si="3"/>
        <v/>
      </c>
      <c r="P48" s="2" t="str">
        <f t="shared" si="4"/>
        <v/>
      </c>
    </row>
    <row r="49" spans="1:4" x14ac:dyDescent="0.25">
      <c r="A49" t="str">
        <v>DEF</v>
      </c>
      <c r="B49" t="str">
        <v>Rodríguez</v>
      </c>
      <c r="C49" s="1">
        <v>45936</v>
      </c>
      <c r="D49">
        <v>10225841</v>
      </c>
    </row>
    <row r="50" spans="1:4" x14ac:dyDescent="0.25">
      <c r="A50" t="str">
        <v>MED</v>
      </c>
      <c r="B50" t="str">
        <v>Fermín</v>
      </c>
      <c r="C50" s="1">
        <v>45937</v>
      </c>
      <c r="D50">
        <v>22222222</v>
      </c>
    </row>
    <row r="51" spans="1:4" x14ac:dyDescent="0.25">
      <c r="A51" t="str">
        <v>DEF</v>
      </c>
      <c r="B51" t="str">
        <v>Lejeune</v>
      </c>
      <c r="C51" s="1">
        <v>45947</v>
      </c>
      <c r="D51">
        <v>22222100</v>
      </c>
    </row>
    <row r="52" spans="1:4" x14ac:dyDescent="0.25">
      <c r="A52" t="str">
        <v>MED</v>
      </c>
      <c r="B52" t="str">
        <v>González</v>
      </c>
      <c r="C52" s="1">
        <v>45947</v>
      </c>
      <c r="D52">
        <v>24447215</v>
      </c>
    </row>
    <row r="53" spans="1:4" x14ac:dyDescent="0.25">
      <c r="A53" t="str">
        <v>DEF</v>
      </c>
      <c r="B53" t="str">
        <v>Aramburu</v>
      </c>
      <c r="C53" s="1">
        <v>45949</v>
      </c>
      <c r="D53">
        <v>2591087</v>
      </c>
    </row>
    <row r="54" spans="1:4" x14ac:dyDescent="0.25">
      <c r="A54" t="str">
        <v>DEF</v>
      </c>
      <c r="B54" t="str">
        <v>Diego Rico</v>
      </c>
      <c r="C54" s="1">
        <v>45949</v>
      </c>
      <c r="D54">
        <v>5837819</v>
      </c>
    </row>
    <row r="55" spans="1:4" x14ac:dyDescent="0.25">
      <c r="A55" t="str">
        <v>MED</v>
      </c>
      <c r="B55" t="str">
        <v>Álvaro García</v>
      </c>
      <c r="C55" s="1">
        <v>45956</v>
      </c>
      <c r="D55">
        <v>38055522</v>
      </c>
    </row>
    <row r="56" spans="1:4" x14ac:dyDescent="0.25">
      <c r="A56" t="str">
        <v>DEL</v>
      </c>
      <c r="B56" t="str">
        <v>Toni Martinez</v>
      </c>
      <c r="C56" s="1">
        <v>45957</v>
      </c>
      <c r="D56">
        <v>3445353</v>
      </c>
    </row>
    <row r="57" spans="1:4" x14ac:dyDescent="0.25">
      <c r="A57" t="str">
        <v>MED</v>
      </c>
      <c r="B57" t="str">
        <v>Hassan</v>
      </c>
      <c r="C57" s="1">
        <v>45957</v>
      </c>
      <c r="D57">
        <v>5000051</v>
      </c>
    </row>
    <row r="58" spans="1:4" x14ac:dyDescent="0.25">
      <c r="A58" t="str">
        <v>DEF</v>
      </c>
      <c r="B58" t="str">
        <v>Mojica</v>
      </c>
      <c r="C58" s="1">
        <v>45961</v>
      </c>
      <c r="D58">
        <v>8800005</v>
      </c>
    </row>
    <row r="59" spans="1:4" x14ac:dyDescent="0.25">
      <c r="A59" t="str">
        <v>MED</v>
      </c>
      <c r="B59" t="str">
        <v>Koke</v>
      </c>
      <c r="C59" s="1">
        <v>45964</v>
      </c>
      <c r="D59">
        <v>13000000</v>
      </c>
    </row>
    <row r="60" spans="1:4" x14ac:dyDescent="0.25">
      <c r="A60" t="str">
        <v>DEL</v>
      </c>
      <c r="B60" t="str">
        <v>Cucho</v>
      </c>
      <c r="C60" s="1">
        <v>45964</v>
      </c>
      <c r="D60">
        <v>49503076</v>
      </c>
    </row>
    <row r="61" spans="1:4" x14ac:dyDescent="0.25">
      <c r="A61" t="str">
        <v>DEL</v>
      </c>
      <c r="B61" t="str">
        <v>Virgili</v>
      </c>
      <c r="C61" s="1">
        <v>45970</v>
      </c>
      <c r="D61">
        <v>9000954</v>
      </c>
    </row>
    <row r="62" spans="1:4" x14ac:dyDescent="0.25">
      <c r="A62" t="str">
        <v>POR</v>
      </c>
      <c r="B62" t="str">
        <v>Peña</v>
      </c>
      <c r="C62" s="1">
        <v>45974</v>
      </c>
      <c r="D62">
        <v>2424017</v>
      </c>
    </row>
    <row r="63" spans="1:4" x14ac:dyDescent="0.25">
      <c r="A63" t="str">
        <v>MED</v>
      </c>
      <c r="B63" t="str">
        <v>Brais</v>
      </c>
      <c r="C63" s="1">
        <v>45974</v>
      </c>
      <c r="D63">
        <v>19286482</v>
      </c>
    </row>
  </sheetData>
  <hyperlinks>
    <hyperlink ref="A1" location="Sumario!A1" display="Indice" xr:uid="{161C6059-FFF8-4FC8-8F1F-4D28B0F2B134}"/>
  </hyperlink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654623d6-1504-4f22-a146-b7c72637766a}" enabled="0" method="" siteId="{654623d6-1504-4f22-a146-b7c72637766a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15</vt:i4>
      </vt:variant>
    </vt:vector>
  </HeadingPairs>
  <TitlesOfParts>
    <vt:vector size="15" baseType="lpstr">
      <vt:lpstr>Sumario</vt:lpstr>
      <vt:lpstr>Nombres</vt:lpstr>
      <vt:lpstr>Fichajes</vt:lpstr>
      <vt:lpstr>Premios</vt:lpstr>
      <vt:lpstr>Puntos</vt:lpstr>
      <vt:lpstr>FC Recreativo de Juerga</vt:lpstr>
      <vt:lpstr>yandrak</vt:lpstr>
      <vt:lpstr>Shiquetito 9</vt:lpstr>
      <vt:lpstr>davidcdl10</vt:lpstr>
      <vt:lpstr>JMGuti14</vt:lpstr>
      <vt:lpstr>AdolfitoFlick</vt:lpstr>
      <vt:lpstr>Desteban19</vt:lpstr>
      <vt:lpstr>FC Capitan</vt:lpstr>
      <vt:lpstr>Reivaj95</vt:lpstr>
      <vt:lpstr>CrisGC14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 Diaz</dc:creator>
  <cp:lastModifiedBy>Marc Diaz</cp:lastModifiedBy>
  <dcterms:created xsi:type="dcterms:W3CDTF">2025-08-08T11:47:26Z</dcterms:created>
  <dcterms:modified xsi:type="dcterms:W3CDTF">2025-11-14T14:15:47Z</dcterms:modified>
</cp:coreProperties>
</file>